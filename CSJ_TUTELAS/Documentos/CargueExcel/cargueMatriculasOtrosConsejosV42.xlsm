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yectos\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Cargue!$B$1:$V$48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" i="2" l="1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3" i="2" l="1"/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<sst xmlns="http://schemas.openxmlformats.org/spreadsheetml/2006/main" count="29066" uniqueCount="10724">
  <si>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</si>
  <si>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</si>
  <si>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</si>
  <si>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</si>
  <si>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</si>
  <si>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</si>
  <si>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</si>
  <si>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</si>
  <si>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</si>
  <si>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</si>
  <si>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</si>
  <si>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</si>
  <si>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</si>
  <si>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</si>
  <si>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</si>
  <si>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</si>
  <si>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</si>
  <si>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</si>
  <si>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</si>
  <si>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</si>
  <si>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</si>
  <si>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</si>
  <si>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</si>
  <si>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</si>
  <si>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</si>
  <si>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</si>
  <si>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</si>
  <si>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</si>
  <si>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</si>
  <si>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</si>
  <si>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</si>
  <si>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</si>
  <si>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</si>
  <si>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</si>
  <si>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</si>
  <si>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</si>
  <si>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</si>
  <si>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</si>
  <si>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</si>
  <si>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</si>
  <si>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</si>
  <si>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</si>
  <si>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</si>
  <si>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</si>
  <si>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</si>
  <si>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</si>
  <si>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</si>
  <si>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</si>
  <si>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</si>
  <si>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</si>
  <si>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</si>
  <si>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</si>
  <si>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</si>
  <si>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</si>
  <si>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</si>
  <si>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</si>
  <si>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</si>
  <si>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</si>
  <si>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</si>
  <si>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</si>
  <si>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</si>
  <si>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</si>
  <si>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</si>
  <si>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</si>
  <si>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</si>
  <si>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</si>
  <si>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</si>
  <si>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</si>
  <si>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</si>
  <si>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</si>
  <si>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</si>
  <si>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</si>
  <si>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</si>
  <si>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</si>
  <si>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</si>
  <si>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</si>
  <si>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</si>
  <si>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</si>
  <si>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</si>
  <si>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</si>
  <si>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</si>
  <si>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</si>
  <si>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</si>
  <si>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</si>
  <si>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</si>
  <si>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</si>
  <si>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</si>
  <si>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</si>
  <si>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</si>
  <si>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</si>
  <si>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</si>
  <si>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</si>
  <si>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</si>
  <si>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</si>
  <si>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</si>
  <si>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</si>
  <si>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</si>
  <si>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</si>
  <si>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</si>
  <si>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</si>
  <si>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</si>
  <si>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</si>
  <si>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</si>
  <si>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</si>
  <si>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</si>
  <si>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</si>
  <si>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</si>
  <si>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</si>
  <si>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</si>
  <si>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</si>
  <si>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</si>
  <si>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</si>
  <si>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</si>
  <si>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</si>
  <si>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</si>
  <si>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</si>
  <si>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</si>
  <si>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</si>
  <si>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</si>
  <si>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</si>
  <si>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</si>
  <si>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</si>
  <si>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</si>
  <si>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</si>
  <si>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</si>
  <si>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</si>
  <si>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</si>
  <si>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</si>
  <si>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</si>
  <si>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</si>
  <si>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</si>
  <si>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</si>
  <si>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</si>
  <si>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</si>
  <si>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</si>
  <si>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</si>
  <si>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</si>
  <si>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</si>
  <si>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</si>
  <si>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</si>
  <si>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</si>
  <si>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</si>
  <si>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</si>
  <si>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</si>
  <si>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</si>
  <si>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</si>
  <si>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</si>
  <si>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</si>
  <si>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</si>
  <si>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</si>
  <si>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</si>
  <si>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</si>
  <si>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</si>
  <si>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</si>
  <si>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</si>
  <si>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</si>
  <si>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</si>
  <si>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</si>
  <si>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</si>
  <si>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</si>
  <si>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</si>
  <si>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</si>
  <si>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</si>
  <si>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</si>
  <si>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</si>
  <si>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</si>
  <si>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</si>
  <si>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</si>
  <si>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</si>
  <si>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</si>
  <si>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</si>
  <si>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</si>
  <si>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</si>
  <si>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</si>
  <si>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</si>
  <si>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</si>
  <si>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</si>
  <si>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</si>
  <si>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</si>
  <si>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</si>
  <si>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</si>
  <si>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</si>
  <si>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</si>
  <si>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</si>
  <si>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</si>
  <si>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</si>
  <si>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</si>
  <si>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</si>
  <si>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</si>
  <si>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</si>
  <si>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</si>
  <si>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</si>
  <si>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</si>
  <si>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</si>
  <si>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</si>
  <si>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</si>
  <si>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</si>
  <si>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</si>
  <si>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</si>
  <si>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</si>
  <si>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</si>
  <si>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</si>
  <si>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</si>
  <si>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</si>
  <si>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</si>
  <si>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</si>
  <si>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</si>
  <si>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</si>
  <si>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</si>
  <si>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</si>
  <si>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</si>
  <si>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</si>
  <si>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</si>
  <si>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</si>
  <si>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</si>
  <si>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</si>
  <si>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</si>
  <si>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</si>
  <si>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</si>
  <si>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</si>
  <si>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</si>
  <si>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</si>
  <si>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</si>
  <si>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</si>
  <si>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</si>
  <si>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</si>
  <si>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</si>
  <si>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</si>
  <si>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</si>
  <si>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</si>
  <si>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</si>
  <si>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</si>
  <si>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</si>
  <si>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</si>
  <si>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</si>
  <si>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</si>
  <si>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</si>
  <si>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</si>
  <si>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</si>
  <si>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</si>
  <si>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</si>
  <si>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</si>
  <si>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</si>
  <si>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</si>
  <si>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</si>
  <si>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</si>
  <si>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</si>
  <si>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</si>
  <si>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</si>
  <si>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</si>
  <si>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</si>
  <si>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</si>
  <si>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</si>
  <si>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</si>
  <si>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</si>
  <si>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</si>
  <si>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</si>
  <si>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</si>
  <si>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</si>
  <si>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</si>
  <si>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</si>
  <si>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</si>
  <si>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</si>
  <si>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</si>
  <si>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</si>
  <si>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</si>
  <si>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</si>
  <si>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</si>
  <si>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</si>
  <si>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</si>
  <si>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</si>
  <si>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</si>
  <si>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</si>
  <si>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</si>
  <si>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</si>
  <si>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</si>
  <si>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</si>
  <si>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</si>
  <si>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</si>
  <si>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</si>
  <si>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</si>
  <si>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</si>
  <si>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</si>
  <si>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</si>
  <si>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</si>
  <si>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</si>
  <si>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</si>
  <si>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</si>
  <si>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</si>
  <si>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</si>
  <si>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</si>
  <si>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</si>
  <si>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</si>
  <si>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</si>
  <si>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</si>
  <si>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</si>
  <si>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</si>
  <si>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</si>
  <si>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</si>
  <si>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</si>
  <si>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</si>
  <si>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</si>
  <si>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</si>
  <si>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</si>
  <si>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</si>
  <si>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</si>
  <si>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</si>
  <si>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</si>
  <si>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</si>
  <si>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</si>
  <si>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</si>
  <si>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</si>
  <si>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</si>
  <si>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</si>
  <si>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</si>
  <si>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</si>
  <si>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</si>
  <si>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</si>
  <si>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</si>
  <si>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</si>
  <si>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</si>
  <si>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</si>
  <si>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</si>
  <si>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</si>
  <si>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</si>
  <si>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</si>
  <si>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</si>
  <si>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</si>
  <si>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</si>
  <si>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</si>
  <si>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</si>
  <si>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</si>
  <si>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</si>
  <si>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</si>
  <si>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</si>
  <si>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</si>
  <si>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</si>
  <si>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</si>
  <si>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</si>
  <si>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</si>
  <si>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</si>
  <si>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</si>
  <si>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</si>
  <si>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</si>
  <si>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</si>
  <si>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</si>
  <si>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</si>
  <si>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</si>
  <si>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</si>
  <si>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</si>
  <si>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</si>
  <si>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</si>
  <si>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</si>
  <si>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</si>
  <si>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</si>
  <si>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</si>
  <si>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</si>
  <si>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</si>
  <si>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</si>
  <si>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</si>
  <si>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</si>
  <si>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</si>
  <si>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</si>
  <si>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</si>
  <si>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</si>
  <si>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</si>
  <si>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</si>
  <si>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</si>
  <si>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</si>
  <si>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</si>
  <si>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</si>
  <si>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</si>
  <si>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</si>
  <si>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</si>
  <si>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</si>
  <si>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</si>
  <si>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</si>
  <si>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</si>
  <si>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</si>
  <si>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</si>
  <si>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</si>
  <si>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</si>
  <si>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</si>
  <si>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</si>
  <si>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</si>
  <si>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</si>
  <si>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</si>
  <si>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</si>
  <si>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</si>
  <si>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</si>
  <si>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</si>
  <si>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</si>
  <si>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</si>
  <si>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</si>
  <si>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</si>
  <si>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</si>
  <si>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</si>
  <si>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</si>
  <si>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</si>
  <si>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</si>
  <si>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</si>
  <si>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</si>
  <si>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</si>
  <si>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</si>
  <si>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</si>
  <si>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</si>
  <si>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</si>
  <si>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</si>
  <si>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</si>
  <si>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</si>
  <si>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</si>
  <si>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</si>
  <si>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</si>
  <si>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</si>
  <si>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</si>
  <si>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</si>
  <si>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</si>
  <si>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</si>
  <si>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</si>
  <si>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</si>
  <si>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</si>
  <si>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</si>
  <si>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</si>
  <si>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</si>
  <si>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</si>
  <si>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</si>
  <si>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</si>
  <si>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</si>
  <si>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</si>
  <si>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</si>
  <si>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</si>
  <si>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</si>
  <si>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</si>
  <si>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</si>
  <si>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</si>
  <si>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</si>
  <si>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</si>
  <si>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</si>
  <si>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</si>
  <si>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</si>
  <si>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</si>
  <si>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</si>
  <si>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</si>
  <si>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</si>
  <si>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</si>
  <si>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</si>
  <si>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</si>
  <si>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</si>
  <si>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</si>
  <si>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</si>
  <si>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</si>
  <si>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</si>
  <si>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</si>
  <si>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</si>
  <si>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</si>
  <si>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</si>
  <si>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</si>
  <si>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</si>
  <si>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</si>
  <si>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</si>
  <si>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</si>
  <si>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</si>
  <si>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</si>
  <si>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</si>
  <si>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</si>
  <si>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</si>
  <si>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</si>
  <si>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</si>
  <si>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</si>
  <si>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</si>
  <si>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</si>
  <si>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</si>
  <si>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</si>
  <si>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</si>
  <si>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</si>
  <si>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</si>
  <si>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</si>
  <si>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</si>
  <si>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</si>
  <si>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</si>
  <si>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</si>
  <si>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</si>
  <si>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</si>
  <si>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</si>
  <si>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</si>
  <si>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</si>
  <si>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</si>
  <si>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</si>
  <si>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</si>
  <si>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</si>
  <si>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</si>
  <si>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</si>
  <si>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</si>
  <si>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</si>
  <si>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</si>
  <si>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</si>
  <si>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</si>
  <si>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</si>
  <si>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</si>
  <si>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</si>
  <si>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</si>
  <si>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</si>
  <si>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</si>
  <si>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</si>
  <si>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</si>
  <si>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</si>
  <si>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</si>
  <si>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</si>
  <si>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</si>
  <si>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</si>
  <si>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</si>
  <si>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</si>
  <si>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</si>
  <si>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</si>
  <si>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</si>
  <si>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</si>
  <si>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</si>
  <si>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</si>
  <si>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</si>
  <si>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</si>
  <si>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</si>
  <si>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</si>
  <si>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</si>
  <si>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</si>
  <si>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</si>
  <si>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</si>
  <si>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</si>
  <si>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</si>
  <si>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</si>
  <si>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</si>
  <si>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</si>
  <si>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</si>
  <si>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</si>
  <si>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</si>
  <si>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</si>
  <si>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</si>
  <si>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</si>
  <si>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</si>
  <si>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</si>
  <si>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</si>
  <si>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</si>
  <si>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</si>
  <si>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</si>
  <si>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</si>
  <si>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</si>
  <si>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</si>
  <si>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</si>
  <si>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</si>
  <si>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</si>
  <si>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</si>
  <si>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</si>
  <si>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</si>
  <si>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</si>
  <si>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</si>
  <si>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</si>
  <si>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</si>
  <si>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</si>
  <si>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</si>
  <si>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</si>
  <si>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</si>
  <si>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</si>
  <si>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</si>
  <si>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</si>
  <si>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</si>
  <si>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</si>
  <si>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</si>
  <si>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</si>
  <si>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</si>
  <si>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</si>
  <si>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</si>
  <si>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</si>
  <si>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</si>
  <si>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</si>
  <si>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</si>
  <si>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</si>
  <si>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</si>
  <si>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</si>
  <si>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</si>
  <si>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</si>
  <si>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</si>
  <si>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</si>
  <si>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</si>
  <si>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</si>
  <si>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</si>
  <si>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</si>
  <si>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</si>
  <si>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</si>
  <si>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</si>
  <si>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</si>
  <si>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</si>
  <si>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</si>
  <si>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</si>
  <si>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</si>
  <si>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</si>
  <si>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</si>
  <si>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</si>
  <si>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</si>
  <si>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</si>
  <si>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</si>
  <si>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</si>
  <si>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</si>
  <si>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</si>
  <si>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</si>
  <si>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</si>
  <si>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</si>
  <si>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</si>
  <si>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</si>
  <si>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</si>
  <si>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</si>
  <si>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</si>
  <si>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</si>
  <si>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</si>
  <si>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</si>
  <si>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</si>
  <si>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</si>
  <si>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</si>
  <si>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</si>
  <si>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</si>
  <si>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</si>
  <si>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</si>
  <si>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</si>
  <si>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</si>
  <si>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</si>
  <si>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</si>
  <si>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</si>
  <si>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</si>
  <si>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</si>
  <si>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</si>
  <si>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</si>
  <si>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</si>
  <si>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</si>
  <si>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</si>
  <si>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</si>
  <si>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</si>
  <si>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</si>
  <si>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</si>
  <si>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</si>
  <si>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</si>
  <si>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</si>
  <si>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</si>
  <si>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</si>
  <si>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</si>
  <si>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</si>
  <si>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</si>
  <si>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</si>
  <si>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</si>
  <si>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</si>
  <si>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</si>
  <si>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</si>
  <si>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</si>
  <si>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</si>
  <si>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</si>
  <si>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</si>
  <si>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</si>
  <si>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</si>
  <si>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</si>
  <si>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</si>
  <si>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</si>
  <si>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</si>
  <si>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</si>
  <si>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</si>
  <si>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</si>
  <si>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</si>
  <si>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</si>
  <si>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</si>
  <si>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</si>
  <si>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</si>
  <si>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</si>
  <si>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</si>
  <si>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</si>
  <si>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</si>
  <si>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</si>
  <si>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</si>
  <si>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</si>
  <si>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</si>
  <si>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</si>
  <si>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</si>
  <si>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</si>
  <si>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</si>
  <si>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</si>
  <si>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</si>
  <si>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</si>
  <si>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</si>
  <si>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</si>
  <si>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</si>
  <si>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</si>
  <si>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</si>
  <si>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</si>
  <si>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</si>
  <si>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</si>
  <si>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</si>
  <si>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</si>
  <si>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</si>
  <si>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</si>
  <si>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</si>
  <si>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</si>
  <si>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</si>
  <si>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</si>
  <si>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</si>
  <si>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</si>
  <si>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</si>
  <si>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</si>
  <si>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</si>
  <si>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</si>
  <si>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</si>
  <si>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</si>
  <si>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</si>
  <si>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</si>
  <si>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</si>
  <si>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</si>
  <si>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</si>
  <si>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</si>
  <si>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</si>
  <si>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</si>
  <si>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</si>
  <si>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</si>
  <si>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</si>
  <si>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</si>
  <si>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</si>
  <si>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</si>
  <si>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</si>
  <si>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</si>
  <si>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</si>
  <si>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</si>
  <si>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</si>
  <si>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</si>
  <si>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</si>
  <si>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</si>
  <si>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</si>
  <si>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</si>
  <si>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</si>
  <si>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</si>
  <si>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</si>
  <si>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</si>
  <si>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</si>
  <si>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</si>
  <si>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</si>
  <si>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</si>
  <si>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</si>
  <si>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</si>
  <si>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</si>
  <si>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</si>
  <si>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</si>
  <si>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</si>
  <si>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</si>
  <si>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</si>
  <si>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</si>
  <si>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</si>
  <si>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</si>
  <si>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</si>
  <si>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</si>
  <si>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</si>
  <si>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</si>
  <si>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</si>
  <si>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</si>
  <si>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</si>
  <si>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</si>
  <si>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</si>
  <si>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</si>
  <si>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</si>
  <si>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</si>
  <si>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</si>
  <si>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</si>
  <si>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</si>
  <si>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</si>
  <si>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</si>
  <si>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</si>
  <si>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</si>
  <si>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</si>
  <si>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</si>
  <si>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</si>
  <si>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</si>
  <si>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</si>
  <si>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</si>
  <si>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</si>
  <si>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</si>
  <si>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</si>
  <si>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</si>
  <si>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</si>
  <si>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</si>
  <si>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</si>
  <si>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</si>
  <si>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</si>
  <si>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</si>
  <si>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</si>
  <si>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</si>
  <si>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</si>
  <si>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</si>
  <si>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</si>
  <si>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</si>
  <si>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</si>
  <si>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</si>
  <si>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</si>
  <si>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</si>
  <si>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</si>
  <si>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</si>
  <si>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</si>
  <si>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</si>
  <si>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</si>
  <si>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</si>
  <si>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</si>
  <si>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</si>
  <si>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</si>
  <si>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</si>
  <si>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</si>
  <si>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</si>
  <si>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</si>
  <si>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</si>
  <si>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</si>
  <si>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</si>
  <si>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</si>
  <si>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</si>
  <si>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</si>
  <si>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</si>
  <si>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</si>
  <si>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</si>
  <si>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</si>
  <si>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</si>
  <si>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</si>
  <si>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</si>
  <si>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</si>
  <si>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</si>
  <si>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</si>
  <si>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</si>
  <si>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</si>
  <si>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</si>
  <si>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</si>
  <si>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</si>
  <si>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</si>
  <si>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</si>
  <si>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</si>
  <si>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</si>
  <si>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</si>
  <si>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</si>
  <si>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</si>
  <si>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</si>
  <si>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</si>
  <si>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</si>
  <si>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</si>
  <si>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</si>
  <si>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</si>
  <si>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</si>
  <si>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</si>
  <si>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</si>
  <si>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</si>
  <si>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</si>
  <si>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</si>
  <si>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</si>
  <si>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</si>
  <si>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</si>
  <si>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</si>
  <si>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</si>
  <si>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</si>
  <si>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</si>
  <si>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</si>
  <si>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</si>
  <si>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</si>
  <si>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</si>
  <si>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</si>
  <si>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</si>
  <si>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</si>
  <si>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</si>
  <si>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</si>
  <si>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</si>
  <si>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</si>
  <si>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</si>
  <si>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</si>
  <si>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</si>
  <si>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</si>
  <si>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</si>
  <si>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</si>
  <si>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</si>
  <si>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</si>
  <si>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</si>
  <si>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</si>
  <si>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</si>
  <si>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</si>
  <si>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</si>
  <si>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</si>
  <si>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</si>
  <si>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</si>
  <si>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</si>
  <si>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</si>
  <si>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</si>
  <si>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</si>
  <si>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</si>
  <si>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</si>
  <si>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</si>
  <si>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</si>
  <si>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</si>
  <si>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</si>
  <si>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</si>
  <si>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</si>
  <si>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</si>
  <si>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</si>
  <si>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</si>
  <si>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</si>
  <si>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</si>
  <si>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</si>
  <si>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</si>
  <si>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</si>
  <si>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</si>
  <si>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</si>
  <si>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</si>
  <si>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</si>
  <si>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</si>
  <si>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</si>
  <si>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</si>
  <si>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</si>
  <si>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</si>
  <si>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</si>
  <si>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</si>
  <si>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</si>
  <si>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</si>
  <si>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</si>
  <si>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</si>
  <si>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</si>
  <si>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</si>
  <si>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</si>
  <si>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</si>
  <si>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</si>
  <si>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</si>
  <si>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</si>
  <si>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</si>
  <si>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</si>
  <si>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</si>
  <si>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</si>
  <si>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</si>
  <si>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</si>
  <si>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</si>
  <si>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</si>
  <si>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</si>
  <si>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</si>
  <si>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</si>
  <si>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</si>
  <si>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</si>
  <si>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</si>
  <si>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</si>
  <si>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</si>
  <si>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</si>
  <si>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</si>
  <si>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</si>
  <si>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</si>
  <si>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</si>
  <si>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</si>
  <si>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</si>
  <si>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</si>
  <si>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</si>
  <si>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</si>
  <si>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</si>
  <si>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</si>
  <si>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</si>
  <si>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</si>
  <si>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</si>
  <si>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</si>
  <si>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</si>
  <si>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</si>
  <si>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</si>
  <si>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</si>
  <si>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</si>
  <si>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</si>
  <si>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</si>
  <si>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</si>
  <si>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</si>
  <si>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</si>
  <si>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</si>
  <si>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</si>
  <si>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</si>
  <si>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</si>
  <si>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</si>
  <si>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</si>
  <si>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</si>
  <si>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</si>
  <si>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</si>
  <si>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</si>
  <si>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</si>
  <si>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</si>
  <si>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</si>
  <si>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</si>
  <si>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</si>
  <si>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</si>
  <si>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</si>
  <si>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</si>
  <si>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</si>
  <si>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</si>
  <si>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</si>
  <si>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</si>
  <si>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</si>
  <si>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</si>
  <si>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</si>
  <si>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</si>
  <si>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</si>
  <si>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</si>
  <si>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</si>
  <si>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</si>
  <si>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</si>
  <si>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</si>
  <si>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</si>
  <si>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</si>
  <si>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</si>
  <si>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</si>
  <si>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</si>
  <si>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</si>
  <si>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</si>
  <si>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</si>
  <si>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</si>
  <si>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</si>
  <si>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</si>
  <si>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</si>
  <si>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</si>
  <si>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</si>
  <si>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</si>
  <si>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</si>
  <si>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</si>
  <si>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</si>
  <si>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</si>
  <si>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</si>
  <si>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</si>
  <si>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</si>
  <si>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</si>
  <si>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</si>
  <si>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</si>
  <si>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</si>
  <si>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</si>
  <si>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</si>
  <si>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</si>
  <si>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</si>
  <si>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</si>
  <si>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</si>
  <si>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</si>
  <si>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</si>
  <si>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</si>
  <si>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</si>
  <si>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</si>
  <si>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</si>
  <si>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</si>
  <si>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</si>
  <si>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</si>
  <si>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</si>
  <si>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</si>
  <si>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</si>
  <si>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</si>
  <si>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</si>
  <si>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</si>
  <si>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</si>
  <si>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</si>
  <si>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</si>
  <si>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</si>
  <si>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</si>
  <si>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</si>
  <si>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</si>
  <si>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</si>
  <si>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</si>
  <si>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</si>
  <si>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</si>
  <si>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</si>
  <si>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</si>
  <si>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</si>
  <si>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</si>
  <si>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</si>
  <si>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</si>
  <si>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</si>
  <si>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</si>
  <si>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</si>
  <si>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</si>
  <si>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</si>
  <si>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</si>
  <si>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</si>
  <si>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</si>
  <si>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</si>
  <si>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</si>
  <si>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</si>
  <si>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</si>
  <si>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</si>
  <si>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</si>
  <si>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</si>
  <si>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</si>
  <si>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</si>
  <si>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</si>
  <si>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</si>
  <si>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</si>
  <si>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</si>
  <si>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</si>
  <si>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</si>
  <si>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</si>
  <si>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</si>
  <si>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</si>
  <si>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</si>
  <si>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</si>
  <si>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</si>
  <si>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</si>
  <si>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</si>
  <si>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</si>
  <si>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</si>
  <si>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</si>
  <si>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</si>
  <si>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</si>
  <si>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</si>
  <si>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</si>
  <si>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</si>
  <si>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</si>
  <si>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</si>
  <si>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</si>
  <si>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</si>
  <si>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</si>
  <si>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</si>
  <si>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</si>
  <si>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</si>
  <si>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</si>
  <si>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</si>
  <si>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</si>
  <si>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</si>
  <si>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</si>
  <si>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</si>
  <si>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</si>
  <si>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</si>
  <si>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</si>
  <si>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</si>
  <si>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</si>
  <si>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</si>
  <si>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</si>
  <si>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</si>
  <si>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</si>
  <si>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</si>
  <si>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</si>
  <si>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</si>
  <si>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</si>
  <si>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</si>
  <si>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</si>
  <si>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</si>
  <si>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</si>
  <si>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</si>
  <si>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</si>
  <si>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</si>
  <si>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</si>
  <si>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</si>
  <si>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</si>
  <si>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</si>
  <si>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</si>
  <si>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</si>
  <si>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</si>
  <si>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</si>
  <si>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</si>
  <si>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</si>
  <si>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</si>
  <si>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</si>
  <si>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</si>
  <si>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</si>
  <si>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</si>
  <si>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</si>
  <si>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</si>
  <si>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</si>
  <si>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</si>
  <si>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</si>
  <si>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</si>
  <si>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</si>
  <si>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</si>
  <si>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</si>
  <si>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</si>
  <si>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</si>
  <si>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</si>
  <si>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</si>
  <si>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</si>
  <si>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</si>
  <si>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</si>
  <si>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</si>
  <si>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</si>
  <si>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</si>
  <si>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</si>
  <si>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</si>
  <si>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</si>
  <si>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</si>
  <si>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</si>
  <si>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</si>
  <si>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</si>
  <si>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</si>
  <si>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</si>
  <si>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</si>
  <si>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</si>
  <si>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</si>
  <si>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</si>
  <si>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</si>
  <si>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</si>
  <si>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</si>
  <si>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</si>
  <si>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</si>
  <si>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</si>
  <si>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</si>
  <si>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</si>
  <si>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</si>
  <si>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</si>
  <si>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</si>
  <si>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</si>
  <si>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</si>
  <si>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</si>
  <si>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</si>
  <si>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</si>
  <si>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</si>
  <si>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</si>
  <si>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</si>
  <si>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</si>
  <si>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</si>
  <si>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</si>
  <si>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</si>
  <si>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</si>
  <si>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</si>
  <si>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</si>
  <si>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</si>
  <si>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</si>
  <si>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</si>
  <si>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</si>
  <si>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</si>
  <si>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</si>
  <si>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</si>
  <si>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</si>
  <si>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</si>
  <si>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</si>
  <si>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</si>
  <si>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</si>
  <si>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</si>
  <si>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</si>
  <si>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</si>
  <si>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</si>
  <si>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</si>
  <si>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</si>
  <si>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</si>
  <si>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</si>
  <si>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</si>
  <si>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</si>
  <si>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</si>
  <si>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</si>
  <si>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</si>
  <si>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</si>
  <si>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</si>
  <si>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</si>
  <si>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</si>
  <si>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</si>
  <si>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</si>
  <si>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</si>
  <si>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</si>
  <si>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</si>
  <si>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</si>
  <si>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</si>
  <si>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</si>
  <si>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</si>
  <si>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</si>
  <si>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</si>
  <si>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</si>
  <si>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</si>
  <si>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</si>
  <si>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</si>
  <si>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</si>
  <si>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</si>
  <si>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</si>
  <si>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</si>
  <si>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</si>
  <si>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</si>
  <si>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</si>
  <si>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</si>
  <si>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</si>
  <si>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</si>
  <si>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</si>
  <si>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</si>
  <si>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</si>
  <si>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</si>
  <si>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</si>
  <si>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</si>
  <si>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</si>
  <si>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</si>
  <si>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</si>
  <si>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</si>
  <si>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</si>
  <si>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</si>
  <si>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</si>
  <si>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</si>
  <si>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</si>
  <si>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</si>
  <si>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</si>
  <si>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</si>
  <si>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</si>
  <si>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</si>
  <si>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</si>
  <si>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</si>
  <si>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</si>
  <si>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</si>
  <si>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</si>
  <si>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</si>
  <si>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</si>
  <si>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</si>
  <si>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</si>
  <si>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</si>
  <si>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</si>
  <si>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</si>
  <si>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</si>
  <si>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</si>
  <si>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</si>
  <si>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</si>
  <si>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</si>
  <si>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</si>
  <si>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</si>
  <si>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</si>
  <si>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</si>
  <si>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</si>
  <si>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</si>
  <si>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</si>
  <si>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</si>
  <si>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</si>
  <si>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</si>
  <si>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</si>
  <si>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</si>
  <si>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</si>
  <si>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</si>
  <si>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</si>
  <si>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</si>
  <si>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</si>
  <si>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</si>
  <si>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</si>
  <si>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</si>
  <si>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</si>
  <si>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</si>
  <si>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</si>
  <si>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</si>
  <si>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</si>
  <si>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</si>
  <si>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</si>
  <si>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</si>
  <si>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</si>
  <si>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</si>
  <si>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</si>
  <si>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</si>
  <si>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</si>
  <si>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</si>
  <si>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</si>
  <si>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</si>
  <si>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</si>
  <si>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</si>
  <si>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</si>
  <si>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</si>
  <si>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</si>
  <si>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</si>
  <si>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</si>
  <si>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</si>
  <si>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</si>
  <si>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</si>
  <si>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</si>
  <si>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</si>
  <si>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</si>
  <si>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</si>
  <si>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</si>
  <si>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</si>
  <si>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</si>
  <si>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</si>
  <si>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</si>
  <si>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</si>
  <si>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</si>
  <si>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</si>
  <si>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</si>
  <si>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</si>
  <si>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</si>
  <si>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</si>
  <si>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</si>
  <si>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</si>
  <si>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</si>
  <si>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</si>
  <si>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</si>
  <si>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</si>
  <si>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</si>
  <si>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</si>
  <si>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</si>
  <si>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</si>
  <si>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</si>
  <si>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</si>
  <si>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</si>
  <si>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</si>
  <si>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</si>
  <si>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</si>
  <si>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</si>
  <si>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</si>
  <si>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</si>
  <si>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</si>
  <si>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</si>
  <si>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</si>
  <si>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</si>
  <si>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</si>
  <si>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</si>
  <si>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</si>
  <si>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</si>
  <si>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</si>
  <si>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</si>
  <si>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</si>
  <si>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</si>
  <si>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</si>
  <si>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</si>
  <si>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</si>
  <si>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</si>
  <si>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</si>
  <si>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</si>
  <si>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</si>
  <si>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</si>
  <si>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</si>
  <si>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</si>
  <si>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</si>
  <si>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</si>
  <si>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</si>
  <si>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</si>
  <si>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</si>
  <si>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</si>
  <si>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</si>
  <si>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</si>
  <si>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</si>
  <si>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</si>
  <si>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</si>
  <si>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</si>
  <si>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</si>
  <si>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</si>
  <si>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</si>
  <si>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</si>
  <si>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</si>
  <si>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</si>
  <si>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</si>
  <si>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</si>
  <si>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</si>
  <si>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</si>
  <si>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</si>
  <si>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</si>
  <si>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</si>
  <si>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</si>
  <si>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</si>
  <si>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</si>
  <si>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</si>
  <si>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</si>
  <si>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</si>
  <si>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</si>
  <si>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</si>
  <si>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</si>
  <si>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</si>
  <si>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</si>
  <si>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</si>
  <si>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</si>
  <si>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</si>
  <si>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</si>
  <si>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</si>
  <si>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</si>
  <si>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</si>
  <si>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</si>
  <si>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</si>
  <si>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</si>
  <si>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</si>
  <si>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</si>
  <si>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</si>
  <si>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</si>
  <si>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</si>
  <si>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</si>
  <si>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</si>
  <si>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</si>
  <si>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</si>
  <si>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</si>
  <si>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</si>
  <si>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</si>
  <si>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</si>
  <si>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</si>
  <si>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</si>
  <si>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</si>
  <si>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</si>
  <si>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</si>
  <si>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</si>
  <si>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</si>
  <si>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</si>
  <si>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</si>
  <si>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</si>
  <si>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</si>
  <si>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</si>
  <si>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</si>
  <si>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</si>
  <si>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</si>
  <si>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</si>
  <si>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</si>
  <si>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</si>
  <si>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</si>
  <si>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</si>
  <si>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</si>
  <si>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</si>
  <si>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</si>
  <si>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</si>
  <si>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</si>
  <si>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</si>
  <si>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</si>
  <si>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</si>
  <si>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</si>
  <si>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</si>
  <si>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</si>
  <si>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</si>
  <si>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</si>
  <si>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</si>
  <si>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</si>
  <si>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</si>
  <si>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</si>
  <si>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</si>
  <si>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</si>
  <si>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</si>
  <si>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</si>
  <si>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</si>
  <si>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</si>
  <si>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</si>
  <si>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</si>
  <si>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</si>
  <si>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</si>
  <si>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</si>
  <si>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</si>
  <si>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</si>
  <si>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</si>
  <si>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</si>
  <si>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</si>
  <si>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</si>
  <si>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</si>
  <si>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</si>
  <si>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</si>
  <si>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</si>
  <si>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</si>
  <si>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</si>
  <si>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</si>
  <si>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</si>
  <si>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</si>
  <si>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</si>
  <si>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</si>
  <si>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</si>
  <si>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</si>
  <si>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</si>
  <si>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</si>
  <si>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</si>
  <si>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</si>
  <si>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</si>
  <si>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</si>
  <si>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</si>
  <si>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</si>
  <si>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</si>
  <si>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</si>
  <si>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</si>
  <si>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</si>
  <si>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</si>
  <si>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</si>
  <si>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</si>
  <si>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</si>
  <si>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</si>
  <si>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</si>
  <si>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</si>
  <si>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</si>
  <si>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</si>
  <si>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</si>
  <si>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</si>
  <si>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</si>
  <si>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</si>
  <si>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</si>
  <si>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</si>
  <si>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</si>
  <si>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</si>
  <si>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</si>
  <si>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</si>
  <si>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</si>
  <si>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</si>
  <si>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</si>
  <si>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</si>
  <si>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</si>
  <si>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</si>
  <si>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</si>
  <si>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</si>
  <si>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</si>
  <si>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</si>
  <si>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</si>
  <si>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</si>
  <si>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</si>
  <si>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</si>
  <si>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</si>
  <si>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</si>
  <si>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</si>
  <si>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</si>
  <si>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</si>
  <si>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</si>
  <si>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</si>
  <si>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</si>
  <si>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</si>
  <si>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</si>
  <si>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</si>
  <si>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</si>
  <si>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</si>
  <si>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</si>
  <si>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</si>
  <si>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</si>
  <si>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</si>
  <si>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</si>
  <si>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</si>
  <si>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</si>
  <si>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</si>
  <si>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</si>
  <si>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</si>
  <si>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</si>
  <si>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</si>
  <si>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</si>
  <si>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</si>
  <si>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</si>
  <si>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</si>
  <si>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</si>
  <si>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</si>
  <si>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</si>
  <si>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</si>
  <si>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</si>
  <si>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</si>
  <si>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</si>
  <si>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</si>
  <si>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</si>
  <si>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</si>
  <si>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</si>
  <si>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</si>
  <si>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</si>
  <si>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</si>
  <si>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</si>
  <si>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</si>
  <si>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</si>
  <si>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</si>
  <si>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</si>
  <si>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</si>
  <si>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</si>
  <si>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</si>
  <si>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</si>
  <si>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</si>
  <si>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</si>
  <si>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</si>
  <si>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</si>
  <si>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</si>
  <si>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</si>
  <si>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</si>
  <si>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</si>
  <si>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</si>
  <si>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</si>
  <si>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</si>
  <si>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</si>
  <si>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</si>
  <si>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</si>
  <si>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</si>
  <si>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</si>
  <si>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</si>
  <si>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</si>
  <si>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</si>
  <si>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</si>
  <si>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</si>
  <si>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</si>
  <si>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</si>
  <si>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</si>
  <si>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</si>
  <si>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</si>
  <si>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</si>
  <si>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</si>
  <si>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</si>
  <si>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</si>
  <si>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</si>
  <si>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</si>
  <si>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</si>
  <si>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</si>
  <si>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</si>
  <si>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</si>
  <si>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</si>
  <si>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</si>
  <si>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</si>
  <si>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</si>
  <si>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</si>
  <si>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</si>
  <si>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</si>
  <si>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</si>
  <si>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</si>
  <si>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</si>
  <si>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</si>
  <si>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</si>
  <si>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</si>
  <si>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</si>
  <si>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</si>
  <si>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</si>
  <si>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</si>
  <si>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</si>
  <si>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</si>
  <si>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</si>
  <si>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</si>
  <si>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</si>
  <si>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</si>
  <si>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</si>
  <si>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</si>
  <si>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</si>
  <si>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</si>
  <si>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</si>
  <si>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</si>
  <si>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</si>
  <si>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</si>
  <si>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</si>
  <si>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</si>
  <si>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</si>
  <si>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</si>
  <si>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</si>
  <si>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</si>
  <si>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</si>
  <si>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</si>
  <si>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</si>
  <si>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</si>
  <si>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</si>
  <si>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</si>
  <si>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</si>
  <si>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</si>
  <si>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</si>
  <si>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</si>
  <si>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</si>
  <si>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</si>
  <si>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</si>
  <si>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</si>
  <si>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</si>
  <si>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</si>
  <si>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</si>
  <si>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</si>
  <si>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</si>
  <si>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</si>
  <si>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</si>
  <si>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</si>
  <si>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</si>
  <si>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</si>
  <si>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</si>
  <si>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</si>
  <si>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</si>
  <si>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</si>
  <si>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</si>
  <si>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</si>
  <si>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</si>
  <si>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</si>
  <si>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</si>
  <si>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</si>
  <si>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</si>
  <si>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</si>
  <si>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</si>
  <si>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</si>
  <si>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</si>
  <si>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</si>
  <si>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</si>
  <si>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</si>
  <si>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</si>
  <si>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</si>
  <si>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</si>
  <si>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</si>
  <si>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</si>
  <si>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</si>
  <si>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</si>
  <si>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</si>
  <si>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</si>
  <si>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</si>
  <si>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</si>
  <si>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</si>
  <si>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</si>
  <si>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</si>
  <si>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</si>
  <si>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</si>
  <si>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</si>
  <si>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</si>
  <si>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</si>
  <si>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</si>
  <si>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</si>
  <si>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</si>
  <si>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</si>
  <si>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</si>
  <si>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</si>
  <si>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</si>
  <si>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</si>
  <si>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</si>
  <si>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</si>
  <si>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</si>
  <si>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</si>
  <si>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</si>
  <si>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</si>
  <si>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</si>
  <si>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</si>
  <si>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</si>
  <si>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</si>
  <si>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</si>
  <si>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</si>
  <si>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</si>
  <si>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</si>
  <si>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</si>
  <si>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</si>
  <si>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</si>
  <si>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</si>
  <si>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</si>
  <si>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</si>
  <si>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</si>
  <si>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</si>
  <si>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</si>
  <si>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</si>
  <si>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</si>
  <si>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</si>
  <si>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</si>
  <si>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</si>
  <si>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</si>
  <si>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</si>
  <si>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</si>
  <si>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</si>
  <si>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</si>
  <si>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</si>
  <si>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</si>
  <si>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</si>
  <si>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</si>
  <si>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</si>
  <si>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</si>
  <si>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</si>
  <si>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</si>
  <si>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</si>
  <si>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</si>
  <si>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</si>
  <si>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</si>
  <si>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</si>
  <si>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</si>
  <si>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</si>
  <si>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</si>
  <si>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</si>
  <si>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</si>
  <si>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</si>
  <si>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</si>
  <si>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</si>
  <si>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</si>
  <si>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</si>
  <si>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</si>
  <si>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</si>
  <si>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</si>
  <si>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</si>
  <si>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</si>
  <si>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</si>
  <si>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</si>
  <si>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</si>
  <si>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</si>
  <si>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</si>
  <si>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</si>
  <si>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</si>
  <si>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</si>
  <si>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</si>
  <si>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</si>
  <si>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</si>
  <si>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</si>
  <si>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</si>
  <si>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</si>
  <si>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</si>
  <si>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</si>
  <si>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</si>
  <si>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</si>
  <si>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</si>
  <si>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</si>
  <si>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</si>
  <si>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</si>
  <si>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</si>
  <si>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</si>
  <si>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</si>
  <si>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</si>
  <si>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</si>
  <si>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</si>
  <si>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</si>
  <si>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</si>
  <si>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</si>
  <si>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</si>
  <si>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</si>
  <si>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</si>
  <si>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</si>
  <si>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</si>
  <si>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</si>
  <si>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</si>
  <si>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</si>
  <si>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</si>
  <si>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</si>
  <si>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</si>
  <si>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</si>
  <si>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</si>
  <si>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</si>
  <si>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</si>
  <si>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</si>
  <si>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</si>
  <si>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</si>
  <si>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</si>
  <si>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</si>
  <si>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</si>
  <si>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</si>
  <si>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</si>
  <si>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</si>
  <si>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</si>
  <si>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</si>
  <si>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</si>
  <si>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</si>
  <si>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</si>
  <si>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</si>
  <si>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</si>
  <si>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</si>
  <si>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</si>
  <si>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</si>
  <si>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</si>
  <si>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</si>
  <si>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</si>
  <si>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</si>
  <si>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</si>
  <si>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</si>
  <si>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</si>
  <si>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</si>
  <si>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</si>
  <si>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</si>
  <si>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</si>
  <si>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</si>
  <si>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</si>
  <si>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</si>
  <si>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</si>
  <si>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</si>
  <si>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</si>
  <si>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</si>
  <si>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</si>
  <si>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</si>
  <si>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</si>
  <si>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</si>
  <si>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</si>
  <si>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</si>
  <si>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</si>
  <si>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</si>
  <si>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</si>
  <si>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</si>
  <si>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</si>
  <si>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</si>
  <si>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</si>
  <si>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</si>
  <si>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</si>
  <si>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</si>
  <si>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</si>
  <si>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</si>
  <si>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</si>
  <si>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</si>
  <si>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</si>
  <si>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</si>
  <si>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</si>
  <si>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</si>
  <si>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</si>
  <si>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</si>
  <si>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</si>
  <si>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</si>
  <si>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</si>
  <si>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</si>
  <si>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</si>
  <si>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</si>
  <si>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</si>
  <si>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</si>
  <si>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</si>
  <si>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</si>
  <si>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</si>
  <si>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</si>
  <si>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</si>
  <si>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</si>
  <si>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</si>
  <si>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</si>
  <si>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</si>
  <si>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</si>
  <si>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</si>
  <si>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</si>
  <si>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</si>
  <si>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</si>
  <si>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</si>
  <si>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</si>
  <si>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</si>
  <si>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</si>
  <si>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</si>
  <si>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</si>
  <si>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</si>
  <si>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</si>
  <si>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</si>
  <si>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</si>
  <si>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</si>
  <si>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</si>
  <si>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</si>
  <si>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</si>
  <si>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</si>
  <si>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</si>
  <si>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</si>
  <si>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</si>
  <si>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</si>
  <si>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</si>
  <si>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</si>
  <si>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</si>
  <si>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</si>
  <si>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</si>
  <si>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</si>
  <si>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</si>
  <si>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</si>
  <si>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</si>
  <si>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</si>
  <si>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</si>
  <si>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</si>
  <si>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</si>
  <si>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</si>
  <si>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</si>
  <si>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</si>
  <si>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</si>
  <si>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</si>
  <si>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</si>
  <si>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</si>
  <si>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</si>
  <si>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</si>
  <si>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</si>
  <si>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</si>
  <si>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</si>
  <si>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</si>
  <si>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</si>
  <si>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</si>
  <si>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</si>
  <si>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</si>
  <si>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</si>
  <si>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</si>
  <si>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</si>
  <si>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</si>
  <si>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</si>
  <si>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</si>
  <si>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</si>
  <si>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</si>
  <si>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</si>
  <si>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</si>
  <si>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</si>
  <si>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</si>
  <si>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</si>
  <si>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</si>
  <si>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</si>
  <si>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</si>
  <si>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</si>
  <si>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</si>
  <si>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</si>
  <si>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</si>
  <si>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</si>
  <si>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</si>
  <si>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</si>
  <si>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</si>
  <si>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</si>
  <si>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</si>
  <si>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</si>
  <si>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</si>
  <si>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</si>
  <si>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</si>
  <si>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</si>
  <si>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</si>
  <si>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</si>
  <si>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</si>
  <si>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</si>
  <si>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</si>
  <si>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</si>
  <si>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</si>
  <si>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</si>
  <si>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</si>
  <si>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</si>
  <si>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</si>
  <si>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</si>
  <si>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</si>
  <si>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</si>
  <si>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</si>
  <si>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</si>
  <si>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</si>
  <si>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</si>
  <si>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</si>
  <si>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</si>
  <si>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</si>
  <si>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</si>
  <si>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</si>
  <si>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</si>
  <si>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</si>
  <si>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</si>
  <si>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</si>
  <si>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</si>
  <si>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</si>
  <si>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</si>
  <si>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</si>
  <si>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</si>
  <si>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</si>
  <si>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</si>
  <si>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</si>
  <si>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</si>
  <si>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</si>
  <si>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</si>
  <si>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</si>
  <si>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</si>
  <si>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</si>
  <si>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</si>
  <si>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</si>
  <si>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</si>
  <si>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</si>
  <si>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</si>
  <si>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</si>
  <si>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</si>
  <si>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</si>
  <si>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</si>
  <si>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</si>
  <si>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</si>
  <si>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</si>
  <si>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</si>
  <si>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</si>
  <si>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</si>
  <si>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</si>
  <si>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</si>
  <si>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</si>
  <si>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</si>
  <si>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</si>
  <si>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</si>
  <si>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</si>
  <si>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</si>
  <si>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</si>
  <si>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</si>
  <si>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</si>
  <si>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</si>
  <si>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</si>
  <si>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</si>
  <si>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</si>
  <si>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</si>
  <si>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</si>
  <si>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</si>
  <si>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</si>
  <si>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</si>
  <si>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</si>
  <si>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</si>
  <si>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</si>
  <si>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</si>
  <si>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</si>
  <si>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</si>
  <si>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</si>
  <si>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</si>
  <si>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</si>
  <si>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</si>
  <si>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</si>
  <si>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</si>
  <si>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</si>
  <si>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</si>
  <si>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</si>
  <si>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</si>
  <si>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</si>
  <si>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</si>
  <si>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</si>
  <si>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</si>
  <si>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</si>
  <si>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</si>
  <si>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</si>
  <si>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</si>
  <si>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</si>
  <si>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</si>
  <si>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</si>
  <si>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</si>
  <si>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</si>
  <si>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</si>
  <si>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</si>
  <si>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</si>
  <si>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</si>
  <si>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</si>
  <si>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</si>
  <si>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</si>
  <si>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</si>
  <si>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</si>
  <si>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</si>
  <si>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</si>
  <si>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</si>
  <si>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</si>
  <si>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</si>
  <si>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</si>
  <si>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</si>
  <si>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</si>
  <si>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</si>
  <si>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</si>
  <si>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</si>
  <si>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</si>
  <si>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</si>
  <si>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</si>
  <si>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</si>
  <si>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</si>
  <si>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</si>
  <si>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</si>
  <si>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</si>
  <si>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</si>
  <si>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</si>
  <si>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</si>
  <si>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</si>
  <si>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</si>
  <si>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</si>
  <si>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</si>
  <si>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</si>
  <si>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</si>
  <si>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</si>
  <si>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</si>
  <si>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</si>
  <si>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</si>
  <si>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</si>
  <si>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</si>
  <si>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</si>
  <si>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</si>
  <si>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</si>
  <si>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</si>
  <si>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</si>
  <si>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</si>
  <si>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</si>
  <si>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</si>
  <si>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</si>
  <si>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</si>
  <si>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</si>
  <si>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</si>
  <si>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</si>
  <si>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</si>
  <si>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</si>
  <si>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</si>
  <si>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</si>
  <si>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</si>
  <si>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</si>
  <si>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</si>
  <si>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</si>
  <si>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</si>
  <si>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</si>
  <si>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</si>
  <si>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</si>
  <si>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</si>
  <si>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</si>
  <si>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</si>
  <si>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</si>
  <si>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</si>
  <si>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</si>
  <si>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</si>
  <si>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</si>
  <si>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</si>
  <si>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</si>
  <si>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</si>
  <si>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</si>
  <si>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</si>
  <si>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</si>
  <si>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</si>
  <si>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</si>
  <si>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</si>
  <si>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</si>
  <si>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</si>
  <si>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</si>
  <si>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</si>
  <si>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</si>
  <si>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</si>
  <si>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</si>
  <si>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</si>
  <si>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</si>
  <si>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</si>
  <si>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</si>
  <si>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</si>
  <si>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</si>
  <si>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</si>
  <si>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</si>
  <si>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</si>
  <si>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</si>
  <si>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</si>
  <si>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</si>
  <si>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</si>
  <si>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</si>
  <si>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</si>
  <si>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</si>
  <si>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</si>
  <si>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</si>
  <si>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</si>
  <si>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</si>
  <si>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</si>
  <si>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</si>
  <si>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</si>
  <si>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</si>
  <si>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</si>
  <si>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</si>
  <si>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</si>
  <si>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</si>
  <si>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</si>
  <si>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</si>
  <si>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</si>
  <si>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</si>
  <si>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</si>
  <si>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</si>
  <si>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</si>
  <si>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</si>
  <si>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</si>
  <si>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</si>
  <si>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</si>
  <si>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</si>
  <si>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</si>
  <si>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</si>
  <si>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</si>
  <si>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</si>
  <si>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</si>
  <si>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</si>
  <si>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</si>
  <si>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</si>
  <si>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</si>
  <si>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</si>
  <si>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</si>
  <si>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</si>
  <si>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</si>
  <si>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</si>
  <si>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</si>
  <si>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</si>
  <si>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</si>
  <si>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</si>
  <si>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</si>
  <si>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</si>
  <si>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</si>
  <si>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</si>
  <si>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</si>
  <si>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</si>
  <si>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</si>
  <si>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</si>
  <si>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</si>
  <si>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</si>
  <si>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</si>
  <si>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</si>
  <si>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</si>
  <si>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</si>
  <si>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</si>
  <si>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</si>
  <si>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</si>
  <si>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</si>
  <si>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</si>
  <si>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</si>
  <si>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</si>
  <si>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</si>
  <si>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</si>
  <si>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</si>
  <si>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</si>
  <si>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</si>
  <si>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</si>
  <si>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</si>
  <si>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</si>
  <si>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</si>
  <si>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</si>
  <si>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</si>
  <si>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</si>
  <si>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</si>
  <si>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</si>
  <si>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</si>
  <si>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</si>
  <si>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</si>
  <si>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</si>
  <si>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</si>
  <si>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</si>
  <si>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</si>
  <si>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</si>
  <si>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</si>
  <si>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</si>
  <si>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</si>
  <si>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</si>
  <si>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</si>
  <si>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</si>
  <si>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</si>
  <si>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</si>
  <si>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</si>
  <si>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</si>
  <si>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</si>
  <si>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</si>
  <si>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</si>
  <si>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</si>
  <si>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</si>
  <si>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</si>
  <si>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</si>
  <si>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</si>
  <si>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</si>
  <si>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</si>
  <si>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</si>
  <si>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</si>
  <si>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</si>
  <si>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</si>
  <si>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</si>
  <si>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</si>
  <si>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</si>
  <si>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</si>
  <si>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</si>
  <si>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</si>
  <si>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</si>
  <si>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</si>
  <si>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</si>
  <si>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</si>
  <si>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</si>
  <si>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</si>
  <si>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</si>
  <si>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</si>
  <si>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</si>
  <si>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</si>
  <si>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</si>
  <si>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</si>
  <si>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</si>
  <si>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</si>
  <si>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</si>
  <si>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</si>
  <si>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</si>
  <si>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</si>
  <si>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</si>
  <si>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</si>
  <si>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</si>
  <si>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</si>
  <si>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</si>
  <si>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</si>
  <si>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</si>
  <si>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</si>
  <si>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</si>
  <si>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</si>
  <si>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</si>
  <si>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</si>
  <si>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</si>
  <si>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</si>
  <si>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</si>
  <si>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</si>
  <si>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</si>
  <si>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</si>
  <si>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</si>
  <si>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</si>
  <si>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</si>
  <si>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</si>
  <si>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</si>
  <si>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</si>
  <si>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</si>
  <si>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</si>
  <si>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</si>
  <si>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</si>
  <si>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</si>
  <si>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</si>
  <si>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</si>
  <si>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</si>
  <si>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</si>
  <si>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</si>
  <si>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</si>
  <si>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</si>
  <si>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</si>
  <si>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</si>
  <si>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</si>
  <si>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</si>
  <si>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</si>
  <si>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</si>
  <si>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</si>
  <si>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</si>
  <si>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</si>
  <si>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</si>
  <si>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</si>
  <si>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</si>
  <si>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</si>
  <si>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</si>
  <si>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</si>
  <si>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</si>
  <si>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</si>
  <si>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</si>
  <si>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</si>
  <si>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</si>
  <si>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</si>
  <si>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</si>
  <si>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</si>
  <si>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</si>
  <si>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</si>
  <si>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</si>
  <si>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</si>
  <si>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</si>
  <si>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</si>
  <si>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</si>
  <si>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</si>
  <si>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</si>
  <si>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</si>
  <si>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</si>
  <si>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</si>
  <si>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</si>
  <si>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</si>
  <si>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</si>
  <si>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</si>
  <si>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</si>
  <si>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</si>
  <si>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</si>
  <si>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</si>
  <si>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</si>
  <si>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</si>
  <si>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</si>
  <si>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</si>
  <si>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</si>
  <si>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</si>
  <si>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</si>
  <si>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</si>
  <si>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</si>
  <si>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</si>
  <si>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</si>
  <si>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</si>
  <si>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</si>
  <si>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</si>
  <si>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</si>
  <si>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</si>
  <si>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</si>
  <si>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</si>
  <si>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</si>
  <si>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</si>
  <si>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</si>
  <si>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</si>
  <si>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</si>
  <si>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</si>
  <si>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</si>
  <si>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</si>
  <si>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</si>
  <si>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</si>
  <si>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</si>
  <si>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</si>
  <si>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</si>
  <si>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</si>
  <si>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</si>
  <si>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</si>
  <si>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</si>
  <si>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</si>
  <si>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</si>
  <si>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</si>
  <si>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</si>
  <si>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</si>
  <si>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</si>
  <si>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</si>
  <si>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</si>
  <si>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</si>
  <si>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</si>
  <si>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</si>
  <si>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</si>
  <si>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</si>
  <si>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</si>
  <si>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</si>
  <si>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</si>
  <si>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</si>
  <si>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</si>
  <si>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</si>
  <si>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</si>
  <si>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</si>
  <si>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</si>
  <si>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</si>
  <si>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</si>
  <si>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</si>
  <si>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</si>
  <si>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</si>
  <si>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</si>
  <si>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</si>
  <si>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</si>
  <si>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</si>
  <si>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</si>
  <si>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</si>
  <si>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</si>
  <si>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</si>
  <si>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</si>
  <si>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</si>
  <si>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</si>
  <si>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</si>
  <si>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</si>
  <si>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</si>
  <si>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</si>
  <si>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</si>
  <si>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</si>
  <si>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</si>
  <si>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</si>
  <si>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</si>
  <si>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</si>
  <si>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</si>
  <si>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</si>
  <si>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</si>
  <si>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</si>
  <si>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</si>
  <si>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</si>
  <si>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</si>
  <si>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</si>
  <si>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</si>
  <si>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</si>
  <si>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</si>
  <si>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</si>
  <si>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</si>
  <si>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</si>
  <si>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</si>
  <si>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</si>
  <si>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</si>
  <si>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</si>
  <si>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</si>
  <si>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</si>
  <si>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</si>
  <si>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</si>
  <si>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</si>
  <si>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</si>
  <si>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</si>
  <si>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</si>
  <si>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</si>
  <si>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</si>
  <si>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</si>
  <si>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</si>
  <si>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</si>
  <si>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</si>
  <si>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</si>
  <si>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</si>
  <si>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</si>
  <si>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</si>
  <si>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</si>
  <si>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</si>
  <si>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</si>
  <si>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</si>
  <si>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</si>
  <si>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</si>
  <si>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</si>
  <si>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</si>
  <si>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</si>
  <si>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</si>
  <si>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</si>
  <si>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</si>
  <si>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</si>
  <si>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</si>
  <si>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</si>
  <si>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</si>
  <si>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</si>
  <si>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</si>
  <si>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</si>
  <si>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</si>
  <si>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</si>
  <si>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</si>
  <si>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</si>
  <si>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</si>
  <si>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</si>
  <si>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</si>
  <si>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</si>
  <si>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</si>
  <si>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</si>
  <si>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</si>
  <si>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</si>
  <si>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</si>
  <si>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</si>
  <si>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</si>
  <si>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</si>
  <si>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</si>
  <si>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</si>
  <si>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</si>
  <si>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</si>
  <si>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</si>
  <si>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</si>
  <si>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</si>
  <si>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</si>
  <si>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</si>
  <si>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</si>
  <si>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</si>
  <si>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</si>
  <si>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</si>
  <si>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</si>
  <si>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</si>
  <si>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</si>
  <si>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</si>
  <si>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</si>
  <si>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</si>
  <si>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</si>
  <si>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</si>
  <si>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</si>
  <si>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</si>
  <si>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</si>
  <si>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</si>
  <si>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</si>
  <si>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</si>
  <si>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</si>
  <si>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</si>
  <si>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</si>
  <si>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</si>
  <si>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</si>
  <si>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</si>
  <si>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</si>
  <si>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</si>
  <si>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</si>
  <si>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</si>
  <si>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</si>
  <si>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</si>
  <si>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</si>
  <si>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</si>
  <si>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</si>
  <si>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</si>
  <si>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</si>
  <si>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</si>
  <si>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</si>
  <si>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</si>
  <si>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</si>
  <si>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</si>
  <si>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</si>
  <si>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</si>
  <si>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</si>
  <si>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</si>
  <si>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</si>
  <si>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</si>
  <si>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</si>
  <si>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</si>
  <si>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</si>
  <si>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</si>
  <si>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</si>
  <si>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</si>
  <si>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</si>
  <si>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</si>
  <si>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</si>
  <si>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</si>
  <si>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</si>
  <si>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</si>
  <si>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</si>
  <si>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</si>
  <si>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</si>
  <si>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</si>
  <si>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</si>
  <si>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</si>
  <si>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</si>
  <si>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</si>
  <si>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</si>
  <si>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</si>
  <si>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</si>
  <si>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</si>
  <si>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</si>
  <si>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</si>
  <si>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</si>
  <si>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</si>
  <si>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</si>
  <si>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</si>
  <si>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</si>
  <si>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</si>
  <si>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</si>
  <si>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</si>
  <si>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</si>
  <si>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</si>
  <si>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</si>
  <si>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</si>
  <si>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</si>
  <si>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</si>
  <si>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</si>
  <si>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</si>
  <si>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</si>
  <si>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</si>
  <si>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</si>
  <si>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</si>
  <si>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</si>
  <si>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</si>
  <si>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</si>
  <si>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</si>
  <si>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</si>
  <si>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</si>
  <si>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</si>
  <si>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</si>
  <si>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</si>
  <si>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</si>
  <si>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</si>
  <si>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</si>
  <si>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</si>
  <si>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</si>
  <si>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</si>
  <si>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</si>
  <si>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</si>
  <si>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</si>
  <si>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</si>
  <si>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</si>
  <si>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</si>
  <si>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</si>
  <si>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</si>
  <si>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</si>
  <si>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</si>
  <si>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</si>
  <si>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</si>
  <si>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</si>
  <si>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</si>
  <si>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</si>
  <si>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</si>
  <si>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</si>
  <si>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</si>
  <si>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</si>
  <si>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</si>
  <si>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</si>
  <si>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</si>
  <si>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</si>
  <si>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</si>
  <si>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</si>
  <si>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</si>
  <si>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</si>
  <si>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</si>
  <si>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</si>
  <si>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</si>
  <si>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</si>
  <si>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</si>
  <si>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</si>
  <si>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</si>
  <si>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</si>
  <si>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</si>
  <si>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</si>
  <si>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</si>
  <si>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</si>
  <si>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</si>
  <si>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</si>
  <si>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</si>
  <si>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</si>
  <si>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</si>
  <si>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</si>
  <si>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</si>
  <si>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</si>
  <si>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</si>
  <si>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</si>
  <si>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</si>
  <si>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</si>
  <si>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</si>
  <si>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</si>
  <si>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</si>
  <si>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</si>
  <si>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</si>
  <si>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</si>
  <si>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</si>
  <si>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</si>
  <si>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</si>
  <si>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</si>
  <si>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</si>
  <si>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</si>
  <si>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</si>
  <si>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</si>
  <si>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</si>
  <si>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</si>
  <si>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</si>
  <si>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</si>
  <si>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</si>
  <si>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</si>
  <si>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</si>
  <si>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</si>
  <si>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</si>
  <si>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</si>
  <si>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</si>
  <si>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</si>
  <si>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</si>
  <si>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</si>
  <si>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</si>
  <si>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</si>
  <si>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</si>
  <si>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</si>
  <si>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</si>
  <si>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</si>
  <si>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</si>
  <si>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</si>
  <si>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</si>
  <si>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</si>
  <si>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</si>
  <si>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</si>
  <si>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</si>
  <si>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</si>
  <si>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</si>
  <si>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</si>
  <si>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</si>
  <si>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</si>
  <si>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</si>
  <si>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</si>
  <si>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</si>
  <si>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</si>
  <si>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</si>
  <si>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</si>
  <si>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</si>
  <si>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</si>
  <si>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</si>
  <si>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</si>
  <si>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</si>
  <si>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</si>
  <si>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</si>
  <si>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</si>
  <si>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</si>
  <si>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</si>
  <si>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</si>
  <si>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</si>
  <si>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</si>
  <si>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</si>
  <si>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</si>
  <si>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</si>
  <si>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</si>
  <si>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</si>
  <si>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</si>
  <si>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</si>
  <si>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</si>
  <si>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</si>
  <si>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</si>
  <si>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</si>
  <si>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</si>
  <si>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</si>
  <si>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</si>
  <si>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</si>
  <si>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</si>
  <si>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</si>
  <si>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</si>
  <si>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</si>
  <si>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</si>
  <si>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</si>
  <si>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</si>
  <si>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</si>
  <si>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</si>
  <si>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</si>
  <si>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</si>
  <si>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</si>
  <si>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</si>
  <si>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</si>
  <si>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</si>
  <si>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</si>
  <si>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</si>
  <si>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</si>
  <si>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</si>
  <si>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</si>
  <si>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</si>
  <si>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</si>
  <si>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</si>
  <si>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</si>
  <si>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</si>
  <si>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</si>
  <si>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</si>
  <si>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</si>
  <si>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</si>
  <si>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</si>
  <si>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</si>
  <si>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</si>
  <si>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</si>
  <si>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</si>
  <si>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</si>
  <si>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</si>
  <si>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</si>
  <si>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</si>
  <si>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</si>
  <si>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</si>
  <si>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</si>
  <si>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</si>
  <si>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</si>
  <si>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</si>
  <si>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</si>
  <si>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</si>
  <si>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</si>
  <si>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</si>
  <si>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</si>
  <si>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</si>
  <si>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</si>
  <si>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</si>
  <si>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</si>
  <si>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</si>
  <si>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</si>
  <si>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</si>
  <si>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</si>
  <si>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</si>
  <si>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</si>
  <si>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</si>
  <si>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</si>
  <si>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</si>
  <si>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</si>
  <si>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</si>
  <si>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</si>
  <si>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</si>
  <si>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</si>
  <si>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</si>
  <si>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</si>
  <si>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</si>
  <si>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</si>
  <si>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</si>
  <si>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</si>
  <si>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</si>
  <si>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</si>
  <si>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</si>
  <si>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</si>
  <si>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</si>
  <si>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</si>
  <si>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</si>
  <si>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</si>
  <si>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</si>
  <si>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</si>
  <si>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</si>
  <si>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</si>
  <si>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</si>
  <si>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</si>
  <si>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</si>
  <si>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</si>
  <si>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</si>
  <si>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</si>
  <si>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</si>
  <si>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</si>
  <si>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</si>
  <si>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</si>
  <si>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</si>
  <si>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</si>
  <si>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</si>
  <si>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</si>
  <si>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</si>
  <si>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</si>
  <si>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</si>
  <si>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</si>
  <si>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</si>
  <si>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</si>
  <si>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</si>
  <si>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</si>
  <si>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</si>
  <si>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</si>
  <si>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</si>
  <si>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</si>
  <si>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</si>
  <si>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</si>
  <si>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</si>
  <si>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</si>
  <si>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</si>
  <si>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</si>
  <si>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</si>
  <si>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</si>
  <si>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</si>
  <si>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</si>
  <si>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</si>
  <si>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</si>
  <si>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</si>
  <si>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</si>
  <si>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</si>
  <si>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</si>
  <si>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</si>
  <si>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</si>
  <si>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</si>
  <si>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</si>
  <si>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</si>
  <si>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</si>
  <si>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</si>
  <si>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</si>
  <si>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</si>
  <si>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</si>
  <si>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</si>
  <si>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</si>
  <si>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</si>
  <si>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</si>
  <si>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</si>
  <si>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</si>
  <si>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</si>
  <si>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</si>
  <si>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</si>
  <si>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</si>
  <si>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</si>
  <si>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</si>
  <si>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</si>
  <si>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</si>
  <si>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</si>
  <si>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</si>
  <si>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</si>
  <si>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</si>
  <si>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</si>
  <si>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</si>
  <si>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</si>
  <si>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</si>
  <si>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</si>
  <si>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</si>
  <si>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</si>
  <si>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</si>
  <si>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</si>
  <si>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</si>
  <si>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</si>
  <si>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</si>
  <si>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</si>
  <si>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</si>
  <si>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</si>
  <si>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</si>
  <si>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</si>
  <si>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</si>
  <si>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</si>
  <si>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</si>
  <si>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</si>
  <si>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</si>
  <si>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</si>
  <si>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</si>
  <si>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</si>
  <si>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</si>
  <si>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</si>
  <si>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</si>
  <si>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</si>
  <si>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</si>
  <si>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</si>
  <si>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</si>
  <si>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</si>
  <si>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</si>
  <si>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</si>
  <si>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</si>
  <si>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</si>
  <si>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</si>
  <si>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</si>
  <si>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</si>
  <si>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</si>
  <si>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</si>
  <si>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</si>
  <si>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</si>
  <si>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</si>
  <si>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</si>
  <si>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</si>
  <si>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</si>
  <si>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</si>
  <si>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</si>
  <si>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</si>
  <si>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</si>
  <si>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</si>
  <si>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</si>
  <si>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</si>
  <si>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</si>
  <si>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</si>
  <si>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</si>
  <si>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</si>
  <si>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</si>
  <si>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</si>
  <si>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</si>
  <si>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</si>
  <si>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</si>
  <si>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</si>
  <si>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</si>
  <si>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</si>
  <si>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</si>
  <si>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</si>
  <si>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</si>
  <si>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</si>
  <si>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</si>
  <si>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</si>
  <si>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</si>
  <si>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</si>
  <si>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</si>
  <si>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</si>
  <si>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</si>
  <si>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</si>
  <si>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</si>
  <si>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</si>
  <si>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</si>
  <si>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</si>
  <si>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</si>
  <si>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</si>
  <si>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</si>
  <si>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</si>
  <si>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</si>
  <si>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</si>
  <si>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</si>
  <si>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</si>
  <si>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</si>
  <si>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</si>
  <si>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</si>
  <si>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</si>
  <si>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</si>
  <si>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</si>
  <si>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</si>
  <si>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</si>
  <si>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</si>
  <si>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</si>
  <si>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</si>
  <si>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</si>
  <si>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</si>
  <si>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</si>
  <si>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</si>
  <si>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</si>
  <si>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</si>
  <si>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</si>
  <si>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</si>
  <si>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</si>
  <si>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</si>
  <si>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</si>
  <si>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</si>
  <si>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</si>
  <si>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</si>
  <si>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</si>
  <si>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</si>
  <si>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</si>
  <si>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</si>
  <si>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</si>
  <si>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</si>
  <si>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</si>
  <si>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</si>
  <si>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</si>
  <si>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</si>
  <si>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</si>
  <si>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</si>
  <si>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</si>
  <si>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</si>
  <si>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</si>
  <si>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</si>
  <si>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</si>
  <si>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</si>
  <si>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</si>
  <si>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</si>
  <si>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</si>
  <si>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</si>
  <si>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</si>
  <si>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</si>
  <si>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</si>
  <si>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</si>
  <si>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</si>
  <si>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</si>
  <si>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</si>
  <si>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</si>
  <si>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</si>
  <si>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</si>
  <si>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</si>
  <si>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</si>
  <si>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</si>
  <si>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</si>
  <si>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</si>
  <si>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</si>
  <si>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</si>
  <si>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</si>
  <si>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</si>
  <si>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</si>
  <si>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</si>
  <si>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</si>
  <si>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</si>
  <si>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</si>
  <si>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</si>
  <si>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</si>
  <si>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</si>
  <si>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</si>
  <si>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</si>
  <si>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</si>
  <si>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</si>
  <si>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</si>
  <si>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</si>
  <si>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</si>
  <si>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</si>
  <si>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</si>
  <si>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</si>
  <si>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</si>
  <si>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</si>
  <si>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</si>
  <si>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</si>
  <si>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</si>
  <si>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</si>
  <si>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</si>
  <si>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</si>
  <si>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</si>
  <si>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</si>
  <si>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</si>
  <si>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</si>
  <si>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</si>
  <si>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</si>
  <si>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</si>
  <si>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</si>
  <si>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</si>
  <si>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</si>
  <si>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</si>
  <si>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</si>
  <si>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</si>
  <si>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</si>
  <si>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</si>
  <si>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</si>
  <si>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</si>
  <si>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</si>
  <si>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</si>
  <si>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</si>
  <si>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</si>
  <si>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</si>
  <si>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</si>
  <si>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</si>
  <si>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</si>
  <si>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</si>
  <si>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</si>
  <si>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</si>
  <si>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</si>
  <si>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</si>
  <si>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</si>
  <si>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</si>
  <si>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</si>
  <si>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</si>
  <si>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</si>
  <si>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</si>
  <si>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</si>
  <si>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</si>
  <si>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</si>
  <si>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</si>
  <si>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</si>
  <si>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</si>
  <si>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</si>
  <si>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</si>
  <si>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</si>
  <si>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</si>
  <si>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</si>
  <si>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</si>
  <si>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</si>
  <si>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</si>
  <si>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</si>
  <si>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</si>
  <si>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</si>
  <si>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</si>
  <si>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</si>
  <si>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</si>
  <si>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</si>
  <si>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</si>
  <si>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</si>
  <si>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</si>
  <si>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</si>
  <si>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</si>
  <si>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</si>
  <si>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</si>
  <si>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</si>
  <si>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</si>
  <si>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</si>
  <si>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</si>
  <si>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</si>
  <si>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</si>
  <si>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</si>
  <si>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</si>
  <si>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</si>
  <si>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</si>
  <si>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</si>
  <si>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</si>
  <si>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</si>
  <si>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</si>
  <si>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</si>
  <si>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</si>
  <si>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</si>
  <si>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</si>
  <si>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</si>
  <si>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</si>
  <si>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</si>
  <si>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</si>
  <si>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</si>
  <si>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</si>
  <si>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</si>
  <si>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</si>
  <si>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</si>
  <si>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</si>
  <si>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</si>
  <si>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</si>
  <si>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</si>
  <si>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</si>
  <si>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</si>
  <si>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</si>
  <si>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</si>
  <si>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</si>
  <si>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</si>
  <si>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</si>
  <si>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</si>
  <si>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</si>
  <si>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</si>
  <si>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</si>
  <si>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</si>
  <si>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</si>
  <si>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</si>
  <si>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</si>
  <si>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</si>
  <si>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</si>
  <si>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</si>
  <si>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</si>
  <si>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</si>
  <si>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</si>
  <si>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</si>
  <si>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</si>
  <si>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</si>
  <si>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</si>
  <si>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</si>
  <si>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</si>
  <si>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</si>
  <si>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</si>
  <si>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</si>
  <si>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</si>
  <si>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</si>
  <si>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</si>
  <si>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</si>
  <si>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</si>
  <si>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</si>
  <si>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</si>
  <si>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</si>
  <si>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</si>
  <si>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</si>
  <si>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</si>
  <si>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</si>
  <si>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</si>
  <si>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</si>
  <si>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</si>
  <si>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</si>
  <si>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</si>
  <si>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</si>
  <si>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</si>
  <si>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</si>
  <si>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</si>
  <si>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</si>
  <si>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</si>
  <si>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</si>
  <si>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</si>
  <si>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</si>
  <si>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</si>
  <si>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</si>
  <si>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</si>
  <si>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</si>
  <si>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</si>
  <si>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</si>
  <si>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</si>
  <si>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</si>
  <si>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</si>
  <si>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</si>
  <si>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</si>
  <si>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</si>
  <si>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</si>
  <si>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</si>
  <si>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</si>
  <si>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</si>
  <si>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</si>
  <si>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</si>
  <si>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</si>
  <si>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</si>
  <si>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</si>
  <si>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</si>
  <si>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</si>
  <si>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</si>
  <si>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</si>
  <si>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</si>
  <si>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</si>
  <si>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</si>
  <si>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</si>
  <si>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</si>
  <si>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</si>
  <si>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</si>
  <si>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</si>
  <si>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</si>
  <si>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</si>
  <si>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</si>
  <si>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</si>
  <si>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</si>
  <si>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</si>
  <si>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</si>
  <si>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</si>
  <si>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</si>
  <si>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</si>
  <si>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</si>
  <si>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</si>
  <si>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</si>
  <si>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</si>
  <si>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</si>
  <si>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</si>
  <si>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</si>
  <si>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</si>
  <si>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</si>
  <si>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</si>
  <si>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</si>
  <si>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</si>
  <si>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</si>
  <si>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</si>
  <si>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</si>
  <si>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</si>
  <si>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</si>
  <si>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</si>
  <si>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</si>
  <si>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</si>
  <si>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</si>
  <si>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</si>
  <si>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</si>
  <si>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</si>
  <si>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</si>
  <si>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</si>
  <si>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</si>
  <si>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</si>
  <si>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</si>
  <si>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</si>
  <si>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</si>
  <si>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</si>
  <si>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</si>
  <si>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</si>
  <si>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</si>
  <si>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</si>
  <si>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</si>
  <si>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</si>
  <si>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</si>
  <si>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</si>
  <si>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</si>
  <si>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</si>
  <si>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</si>
  <si>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</si>
  <si>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</si>
  <si>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</si>
  <si>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</si>
  <si>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</si>
  <si>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</si>
  <si>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</si>
  <si>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</si>
  <si>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</si>
  <si>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</si>
  <si>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</si>
  <si>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</si>
  <si>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</si>
  <si>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</si>
  <si>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</si>
  <si>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</si>
  <si>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</si>
  <si>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</si>
  <si>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</si>
  <si>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</si>
  <si>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</si>
  <si>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</si>
  <si>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</si>
  <si>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</si>
  <si>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</si>
  <si>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</si>
  <si>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</si>
  <si>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</si>
  <si>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</si>
  <si>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</si>
  <si>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</si>
  <si>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</si>
  <si>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</si>
  <si>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</si>
  <si>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</si>
  <si>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</si>
  <si>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</si>
  <si>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</si>
  <si>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</si>
  <si>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</si>
  <si>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</si>
  <si>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</si>
  <si>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</si>
  <si>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</si>
  <si>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</si>
  <si>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</si>
  <si>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</si>
  <si>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</si>
  <si>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</si>
  <si>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</si>
  <si>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</si>
  <si>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</si>
  <si>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</si>
  <si>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</si>
  <si>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</si>
  <si>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</si>
  <si>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</si>
  <si>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</si>
  <si>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</si>
  <si>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</si>
  <si>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</si>
  <si>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</si>
  <si>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</si>
  <si>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</si>
  <si>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</si>
  <si>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</si>
  <si>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</si>
  <si>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</si>
  <si>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</si>
  <si>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</si>
  <si>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</si>
  <si>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</si>
  <si>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</si>
  <si>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</si>
  <si>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</si>
  <si>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</si>
  <si>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</si>
  <si>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</si>
  <si>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</si>
  <si>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</si>
  <si>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</si>
  <si>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</si>
  <si>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</si>
  <si>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</si>
  <si>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</si>
  <si>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</si>
  <si>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</si>
  <si>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</si>
  <si>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</si>
  <si>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</si>
  <si>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</si>
  <si>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</si>
  <si>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</si>
  <si>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</si>
  <si>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</si>
  <si>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</si>
  <si>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</si>
  <si>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</si>
  <si>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</si>
  <si>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</si>
  <si>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</si>
  <si>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</si>
  <si>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</si>
  <si>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</si>
  <si>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</si>
  <si>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</si>
  <si>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</si>
  <si>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</si>
  <si>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</si>
  <si>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</si>
  <si>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</si>
  <si>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</si>
  <si>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</si>
  <si>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</si>
  <si>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</si>
  <si>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</si>
  <si>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</si>
  <si>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</si>
  <si>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</si>
  <si>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</si>
  <si>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</si>
  <si>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</si>
  <si>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</si>
  <si>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</si>
  <si>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</si>
  <si>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</si>
  <si>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</si>
  <si>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</si>
  <si>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</si>
  <si>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</si>
  <si>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</si>
  <si>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</si>
  <si>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</si>
  <si>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</si>
  <si>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</si>
  <si>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</si>
  <si>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</si>
  <si>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</si>
  <si>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</si>
  <si>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</si>
  <si>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</si>
  <si>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</si>
  <si>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</si>
  <si>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</si>
  <si>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</si>
  <si>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</si>
  <si>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</si>
  <si>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</si>
  <si>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</si>
  <si>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</si>
  <si>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</si>
  <si>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</si>
  <si>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</si>
  <si>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</si>
  <si>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</si>
  <si>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</si>
  <si>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</si>
  <si>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</si>
  <si>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</si>
  <si>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</si>
  <si>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</si>
  <si>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</si>
  <si>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</si>
  <si>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</si>
  <si>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</si>
  <si>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</si>
  <si>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</si>
  <si>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</si>
  <si>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</si>
  <si>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</si>
  <si>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</si>
  <si>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</si>
  <si>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</si>
  <si>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</si>
  <si>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</si>
  <si>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</si>
  <si>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</si>
  <si>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</si>
  <si>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</si>
  <si>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</si>
  <si>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</si>
  <si>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</si>
  <si>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</si>
  <si>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</si>
  <si>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</si>
  <si>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</si>
  <si>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</si>
  <si>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</si>
  <si>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</si>
  <si>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</si>
  <si>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</si>
  <si>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</si>
  <si>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</si>
  <si>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</si>
  <si>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</si>
  <si>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</si>
  <si>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</si>
  <si>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</si>
  <si>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</si>
  <si>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</si>
  <si>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</si>
  <si>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</si>
  <si>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</si>
  <si>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</si>
  <si>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</si>
  <si>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</si>
  <si>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</si>
  <si>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</si>
  <si>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</si>
  <si>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</si>
  <si>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</si>
  <si>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</si>
  <si>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</si>
  <si>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</si>
  <si>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</si>
  <si>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</si>
  <si>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</si>
  <si>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</si>
  <si>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</si>
  <si>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</si>
  <si>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</si>
  <si>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</si>
  <si>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</si>
  <si>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</si>
  <si>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</si>
  <si>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</si>
  <si>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</si>
  <si>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</si>
  <si>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</si>
  <si>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</si>
  <si>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</si>
  <si>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</si>
  <si>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</si>
  <si>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</si>
  <si>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</si>
  <si>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</si>
  <si>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</si>
  <si>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</si>
  <si>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</si>
  <si>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</si>
  <si>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</si>
  <si>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</si>
  <si>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</si>
  <si>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</si>
  <si>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</si>
  <si>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</si>
  <si>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</si>
  <si>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</si>
  <si>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</si>
  <si>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</si>
  <si>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</si>
  <si>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</si>
  <si>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</si>
  <si>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</si>
  <si>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</si>
  <si>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</si>
  <si>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</si>
  <si>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</si>
  <si>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</si>
  <si>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</si>
  <si>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</si>
  <si>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</si>
  <si>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</si>
  <si>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</si>
  <si>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</si>
  <si>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</si>
  <si>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</si>
  <si>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</si>
  <si>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</si>
  <si>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</si>
  <si>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</si>
  <si>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</si>
  <si>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</si>
  <si>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</si>
  <si>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</si>
  <si>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</si>
  <si>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</si>
  <si>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</si>
  <si>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</si>
  <si>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</si>
  <si>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</si>
  <si>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</si>
  <si>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</si>
  <si>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</si>
  <si>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</si>
  <si>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</si>
  <si>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</si>
  <si>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</si>
  <si>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</si>
  <si>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</si>
  <si>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</si>
  <si>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</si>
  <si>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</si>
  <si>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</si>
  <si>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</si>
  <si>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</si>
  <si>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</si>
  <si>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</si>
  <si>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</si>
  <si>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</si>
  <si>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</si>
  <si>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</si>
  <si>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</si>
  <si>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</si>
  <si>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</si>
  <si>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</si>
  <si>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</si>
  <si>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</si>
  <si>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</si>
  <si>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</si>
  <si>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</si>
  <si>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</si>
  <si>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</si>
  <si>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</si>
  <si>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</si>
  <si>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</si>
  <si>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</si>
  <si>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</si>
  <si>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</si>
  <si>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</si>
  <si>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</si>
  <si>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</si>
  <si>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</si>
  <si>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</si>
  <si>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</si>
  <si>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</si>
  <si>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</si>
  <si>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</si>
  <si>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</si>
  <si>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</si>
  <si>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</si>
  <si>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</si>
  <si>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</si>
  <si>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</si>
  <si>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</si>
  <si>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</si>
  <si>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</si>
  <si>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</si>
  <si>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</si>
  <si>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</si>
  <si>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</si>
  <si>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</si>
  <si>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</si>
  <si>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</si>
  <si>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</si>
  <si>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</si>
  <si>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</si>
  <si>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</si>
  <si>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</si>
  <si>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</si>
  <si>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</si>
  <si>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</si>
  <si>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</si>
  <si>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</si>
  <si>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</si>
  <si>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</si>
  <si>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</si>
  <si>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</si>
  <si>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</si>
  <si>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</si>
  <si>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</si>
  <si>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</si>
  <si>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</si>
  <si>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</si>
  <si>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</si>
  <si>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</si>
  <si>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</si>
  <si>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</si>
  <si>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</si>
  <si>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</si>
  <si>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</si>
  <si>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</si>
  <si>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</si>
  <si>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</si>
  <si>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</si>
  <si>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</si>
  <si>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</si>
  <si>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</si>
  <si>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</si>
  <si>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</si>
  <si>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</si>
  <si>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</si>
  <si>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</si>
  <si>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</si>
  <si>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</si>
  <si>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</si>
  <si>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</si>
  <si>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</si>
  <si>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</si>
  <si>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</si>
  <si>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</si>
  <si>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</si>
  <si>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</si>
  <si>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</si>
  <si>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</si>
  <si>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</si>
  <si>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</si>
  <si>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</si>
  <si>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</si>
  <si>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</si>
  <si>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</si>
  <si>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</si>
  <si>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</si>
  <si>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</si>
  <si>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</si>
  <si>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</si>
  <si>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</si>
  <si>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</si>
  <si>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</si>
  <si>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</si>
  <si>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</si>
  <si>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</si>
  <si>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</si>
  <si>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</si>
  <si>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</si>
  <si>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</si>
  <si>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</si>
  <si>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</si>
  <si>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</si>
  <si>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</si>
  <si>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</si>
  <si>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</si>
  <si>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</si>
  <si>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</si>
  <si>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</si>
  <si>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</si>
  <si>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</si>
  <si>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</si>
  <si>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</si>
  <si>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</si>
  <si>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</si>
  <si>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</si>
  <si>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</si>
  <si>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</si>
  <si>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</si>
  <si>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</si>
  <si>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</si>
  <si>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</si>
  <si>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</si>
  <si>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</si>
  <si>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</si>
  <si>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</si>
  <si>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</si>
  <si>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</si>
  <si>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</si>
  <si>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</si>
  <si>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</si>
  <si>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</si>
  <si>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</si>
  <si>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</si>
  <si>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</si>
  <si>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</si>
  <si>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</si>
  <si>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</si>
  <si>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</si>
  <si>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</si>
  <si>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</si>
  <si>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</si>
  <si>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</si>
  <si>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</si>
  <si>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</si>
  <si>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</si>
  <si>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</si>
  <si>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</si>
  <si>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</si>
  <si>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</si>
  <si>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</si>
  <si>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</si>
  <si>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</si>
  <si>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</si>
  <si>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</si>
  <si>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</si>
  <si>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</si>
  <si>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</si>
  <si>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</si>
  <si>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</si>
  <si>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</si>
  <si>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</si>
  <si>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</si>
  <si>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</si>
  <si>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</si>
  <si>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</si>
  <si>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</si>
  <si>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</si>
  <si>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</si>
  <si>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</si>
  <si>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</si>
  <si>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</si>
  <si>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</si>
  <si>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</si>
  <si>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</si>
  <si>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</si>
  <si>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</si>
  <si>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</si>
  <si>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</si>
  <si>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</si>
  <si>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</si>
  <si>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</si>
  <si>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</si>
  <si>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</si>
  <si>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</si>
  <si>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</si>
  <si>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</si>
  <si>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</si>
  <si>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</si>
  <si>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</si>
  <si>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</si>
  <si>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</si>
  <si>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</si>
  <si>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</si>
  <si>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</si>
  <si>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</si>
  <si>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</si>
  <si>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</si>
  <si>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</si>
  <si>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</si>
  <si>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</si>
  <si>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</si>
  <si>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</si>
  <si>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</si>
  <si>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</si>
  <si>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</si>
  <si>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</si>
  <si>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</si>
  <si>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</si>
  <si>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</si>
  <si>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</si>
  <si>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</si>
  <si>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</si>
  <si>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</si>
  <si>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</si>
  <si>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</si>
  <si>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</si>
  <si>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</si>
  <si>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</si>
  <si>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</si>
  <si>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</si>
  <si>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</si>
  <si>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</si>
  <si>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</si>
  <si>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</si>
  <si>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</si>
  <si>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</si>
  <si>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</si>
  <si>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</si>
  <si>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</si>
  <si>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</si>
  <si>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</si>
  <si>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</si>
  <si>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</si>
  <si>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</si>
  <si>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</si>
  <si>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</si>
  <si>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</si>
  <si>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</si>
  <si>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</si>
  <si>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</si>
  <si>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</si>
  <si>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</si>
  <si>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</si>
  <si>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</si>
  <si>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</si>
  <si>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</si>
  <si>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</si>
  <si>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</si>
  <si>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</si>
  <si>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</si>
  <si>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</si>
  <si>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</si>
  <si>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</si>
  <si>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</si>
  <si>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</si>
  <si>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</si>
  <si>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</si>
  <si>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</si>
  <si>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</si>
  <si>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</si>
  <si>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</si>
  <si>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</si>
  <si>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</si>
  <si>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</si>
  <si>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</si>
  <si>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</si>
  <si>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</si>
  <si>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</si>
  <si>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</si>
  <si>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</si>
  <si>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</si>
  <si>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</si>
  <si>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</si>
  <si>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</si>
  <si>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</si>
  <si>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</si>
  <si>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</si>
  <si>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</si>
  <si>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</si>
  <si>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</si>
  <si>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</si>
  <si>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</si>
  <si>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</si>
  <si>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</si>
  <si>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</si>
  <si>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</si>
  <si>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</si>
  <si>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</si>
  <si>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</si>
  <si>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</si>
  <si>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</si>
  <si>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</si>
  <si>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</si>
  <si>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</si>
  <si>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</si>
  <si>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</si>
  <si>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</si>
  <si>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</si>
  <si>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</si>
  <si>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</si>
  <si>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</si>
  <si>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</si>
  <si>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</si>
  <si>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</si>
  <si>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</si>
  <si>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</si>
  <si>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</si>
  <si>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</si>
  <si>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</si>
  <si>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</si>
  <si>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</si>
  <si>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</si>
  <si>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</si>
  <si>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</si>
  <si>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</si>
  <si>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</si>
  <si>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</si>
  <si>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</si>
  <si>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</si>
  <si>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</si>
  <si>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</si>
  <si>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</si>
  <si>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</si>
  <si>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</si>
  <si>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</si>
  <si>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</si>
  <si>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</si>
  <si>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</si>
  <si>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</si>
  <si>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</si>
  <si>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</si>
  <si>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</si>
  <si>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</si>
  <si>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</si>
  <si>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</si>
  <si>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</si>
  <si>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</si>
  <si>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</si>
  <si>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</si>
  <si>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</si>
  <si>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</si>
  <si>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</si>
  <si>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</si>
  <si>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</si>
  <si>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</si>
  <si>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</si>
  <si>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</si>
  <si>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</si>
  <si>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</si>
  <si>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</si>
  <si>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</si>
  <si>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</si>
  <si>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</si>
  <si>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</si>
  <si>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</si>
  <si>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</si>
  <si>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</si>
  <si>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</si>
  <si>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</si>
  <si>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</si>
  <si>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</si>
  <si>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</si>
  <si>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</si>
  <si>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</si>
  <si>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</si>
  <si>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</si>
  <si>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</si>
  <si>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</si>
  <si>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</si>
  <si>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</si>
  <si>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</si>
  <si>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</si>
  <si>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</si>
  <si>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</si>
  <si>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</si>
  <si>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</si>
  <si>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</si>
  <si>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</si>
  <si>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</si>
  <si>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</si>
  <si>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</si>
  <si>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</si>
  <si>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</si>
  <si>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</si>
  <si>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</si>
  <si>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</si>
  <si>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</si>
  <si>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</si>
  <si>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</si>
  <si>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</si>
  <si>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</si>
  <si>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</si>
  <si>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</si>
  <si>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</si>
  <si>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</si>
  <si>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</si>
  <si>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</si>
  <si>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</si>
  <si>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</si>
  <si>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</si>
  <si>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</si>
  <si>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</si>
  <si>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</si>
  <si>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</si>
  <si>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</si>
  <si>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</si>
  <si>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</si>
  <si>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</si>
  <si>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</si>
  <si>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</si>
  <si>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</si>
  <si>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</si>
  <si>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</si>
  <si>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</si>
  <si>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</si>
  <si>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</si>
  <si>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</si>
  <si>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</si>
  <si>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</si>
  <si>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</si>
  <si>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</si>
  <si>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</si>
  <si>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</si>
  <si>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</si>
  <si>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</si>
  <si>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</si>
  <si>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</si>
  <si>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</si>
  <si>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</si>
  <si>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</si>
  <si>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</si>
  <si>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</si>
  <si>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</si>
  <si>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</si>
  <si>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</si>
  <si>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</si>
  <si>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</si>
  <si>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</si>
  <si>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</si>
  <si>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</si>
  <si>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</si>
  <si>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</si>
  <si>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</si>
  <si>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</si>
  <si>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</si>
  <si>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</si>
  <si>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</si>
  <si>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</si>
  <si>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</si>
  <si>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</si>
  <si>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</si>
  <si>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</si>
  <si>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</si>
  <si>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</si>
  <si>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</si>
  <si>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</si>
  <si>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</si>
  <si>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</si>
  <si>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</si>
  <si>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</si>
  <si>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</si>
  <si>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</si>
  <si>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</si>
  <si>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</si>
  <si>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</si>
  <si>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</si>
  <si>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</si>
  <si>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</si>
  <si>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</si>
  <si>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</si>
  <si>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</si>
  <si>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</si>
  <si>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</si>
  <si>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</si>
  <si>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</si>
  <si>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</si>
  <si>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</si>
  <si>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</si>
  <si>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</si>
  <si>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</si>
  <si>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</si>
  <si>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</si>
  <si>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</si>
  <si>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</si>
  <si>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</si>
  <si>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</si>
  <si>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</si>
  <si>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</si>
  <si>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</si>
  <si>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</si>
  <si>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</si>
  <si>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</si>
  <si>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</si>
  <si>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</si>
  <si>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</si>
  <si>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</si>
  <si>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</si>
  <si>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</si>
  <si>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</si>
  <si>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</si>
  <si>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</si>
  <si>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</si>
  <si>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</si>
  <si>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</si>
  <si>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</si>
  <si>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</si>
  <si>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</si>
  <si>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</si>
  <si>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</si>
  <si>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</si>
  <si>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</si>
  <si>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</si>
  <si>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</si>
  <si>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</si>
  <si>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</si>
  <si>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</si>
  <si>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</si>
  <si>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</si>
  <si>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</si>
  <si>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</si>
  <si>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</si>
  <si>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</si>
  <si>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</si>
  <si>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</si>
  <si>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</si>
  <si>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</si>
  <si>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</si>
  <si>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</si>
  <si>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</si>
  <si>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</si>
  <si>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</si>
  <si>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</si>
  <si>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</si>
  <si>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</si>
  <si>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</si>
  <si>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</si>
  <si>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</si>
  <si>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</si>
  <si>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</si>
  <si>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</si>
  <si>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</si>
  <si>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</si>
  <si>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</si>
  <si>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</si>
  <si>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</si>
  <si>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</si>
  <si>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</si>
  <si>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</si>
  <si>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</si>
  <si>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</si>
  <si>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</si>
  <si>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</si>
  <si>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</si>
  <si>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</si>
  <si>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</si>
  <si>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</si>
  <si>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</si>
  <si>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</si>
  <si>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</si>
  <si>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</si>
  <si>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</si>
  <si>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</si>
  <si>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</si>
  <si>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</si>
  <si>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</si>
  <si>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</si>
  <si>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</si>
  <si>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</si>
  <si>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</si>
  <si>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</si>
  <si>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</si>
  <si>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</si>
  <si>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</si>
  <si>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</si>
  <si>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</si>
  <si>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</si>
  <si>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</si>
  <si>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</si>
  <si>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</si>
  <si>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</si>
  <si>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</si>
  <si>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</si>
  <si>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</si>
  <si>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</si>
  <si>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</si>
  <si>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</si>
  <si>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</si>
  <si>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</si>
  <si>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</si>
  <si>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</si>
  <si>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</si>
  <si>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</si>
  <si>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</si>
  <si>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</si>
  <si>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</si>
  <si>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</si>
  <si>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</si>
  <si>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</si>
  <si>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</si>
  <si>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</si>
  <si>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</si>
  <si>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</si>
  <si>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</si>
  <si>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</si>
  <si>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</si>
  <si>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</si>
  <si>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</si>
  <si>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</si>
  <si>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</si>
  <si>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</si>
  <si>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</si>
  <si>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</si>
  <si>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</si>
  <si>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</si>
  <si>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</si>
  <si>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</si>
  <si>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</si>
  <si>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</si>
  <si>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</si>
  <si>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</si>
  <si>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</si>
  <si>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</si>
  <si>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</si>
  <si>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</si>
  <si>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</si>
  <si>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</si>
  <si>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</si>
  <si>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</si>
  <si>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</si>
  <si>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</si>
  <si>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</si>
  <si>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</si>
  <si>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</si>
  <si>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</si>
  <si>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</si>
  <si>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</si>
  <si>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</si>
  <si>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</si>
  <si>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</si>
  <si>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</si>
  <si>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</si>
  <si>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</si>
  <si>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</si>
  <si>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</si>
  <si>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</si>
  <si>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</si>
  <si>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</si>
  <si>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</si>
  <si>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</si>
  <si>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</si>
  <si>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</si>
  <si>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</si>
  <si>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</si>
  <si>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</si>
  <si>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</si>
  <si>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</si>
  <si>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</si>
  <si>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</si>
  <si>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</si>
  <si>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</si>
  <si>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</si>
  <si>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</si>
  <si>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</si>
  <si>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</si>
  <si>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</si>
  <si>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</si>
  <si>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</si>
  <si>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</si>
  <si>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</si>
  <si>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</si>
  <si>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</si>
  <si>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</si>
  <si>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</si>
  <si>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</si>
  <si>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</si>
  <si>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</si>
  <si>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</si>
  <si>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</si>
  <si>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</si>
  <si>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</si>
  <si>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</si>
  <si>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</si>
  <si>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</si>
  <si>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</si>
  <si>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</si>
  <si>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</si>
  <si>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</si>
  <si>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</si>
  <si>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</si>
  <si>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</si>
  <si>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</si>
  <si>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</si>
  <si>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</si>
  <si>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</si>
  <si>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</si>
  <si>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</si>
  <si>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</si>
  <si>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</si>
  <si>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</si>
  <si>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</si>
  <si>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</si>
  <si>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</si>
  <si>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</si>
  <si>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</si>
  <si>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</si>
  <si>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</si>
  <si>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</si>
  <si>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</si>
  <si>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</si>
  <si>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</si>
  <si>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</si>
  <si>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</si>
  <si>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</si>
  <si>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</si>
  <si>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</si>
  <si>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</si>
  <si>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</si>
  <si>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</si>
  <si>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</si>
  <si>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</si>
  <si>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</si>
  <si>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</si>
  <si>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</si>
  <si>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</si>
  <si>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</si>
  <si>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</si>
  <si>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</si>
  <si>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</si>
  <si>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</si>
  <si>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</si>
  <si>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</si>
  <si>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</si>
  <si>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</si>
  <si>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</si>
  <si>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</si>
  <si>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</si>
  <si>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</si>
  <si>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</si>
  <si>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</si>
  <si>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</si>
  <si>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</si>
  <si>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</si>
  <si>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</si>
  <si>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</si>
  <si>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</si>
  <si>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</si>
  <si>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</si>
  <si>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</si>
  <si>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</si>
  <si>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</si>
  <si>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</si>
  <si>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</si>
  <si>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</si>
  <si>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</si>
  <si>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</si>
  <si>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</si>
  <si>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</si>
  <si>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</si>
  <si>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</si>
  <si>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</si>
  <si>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</si>
  <si>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</si>
  <si>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</si>
  <si>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</si>
  <si>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</si>
  <si>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</si>
  <si>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</si>
  <si>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</si>
  <si>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</si>
  <si>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</si>
  <si>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</si>
  <si>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</si>
  <si>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</si>
  <si>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</si>
  <si>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</si>
  <si>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</si>
  <si>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</si>
  <si>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</si>
  <si>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</si>
  <si>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</si>
  <si>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</si>
  <si>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</si>
  <si>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</si>
  <si>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</si>
  <si>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</si>
  <si>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</si>
  <si>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</si>
  <si>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</si>
  <si>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</si>
  <si>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</si>
  <si>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</si>
  <si>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</si>
  <si>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</si>
  <si>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</si>
  <si>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</si>
  <si>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</si>
  <si>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</si>
  <si>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</si>
  <si>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</si>
  <si>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</si>
  <si>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</si>
  <si>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</si>
  <si>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</si>
  <si>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</si>
  <si>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</si>
  <si>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</si>
  <si>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</si>
  <si>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</si>
  <si>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</si>
  <si>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</si>
  <si>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</si>
  <si>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</si>
  <si>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</si>
  <si>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</si>
  <si>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</si>
  <si>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</si>
  <si>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</si>
  <si>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</si>
  <si>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</si>
  <si>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</si>
  <si>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</si>
  <si>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</si>
  <si>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</si>
  <si>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</si>
  <si>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</si>
  <si>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</si>
  <si>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</si>
  <si>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</si>
  <si>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</si>
  <si>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</si>
  <si>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</si>
  <si>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</si>
  <si>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</si>
  <si>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</si>
  <si>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</si>
  <si>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</si>
  <si>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</si>
  <si>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</si>
  <si>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</si>
  <si>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</si>
  <si>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</si>
  <si>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</si>
  <si>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</si>
  <si>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</si>
  <si>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</si>
  <si>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</si>
  <si>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</si>
  <si>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</si>
  <si>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</si>
  <si>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</si>
  <si>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</si>
  <si>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</si>
  <si>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</si>
  <si>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</si>
  <si>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</si>
  <si>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</si>
  <si>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</si>
  <si>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</si>
  <si>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</si>
  <si>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</si>
  <si>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</si>
  <si>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</si>
  <si>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</si>
  <si>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</si>
  <si>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</si>
  <si>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</si>
  <si>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</si>
  <si>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</si>
  <si>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</si>
  <si>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</si>
  <si>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</si>
  <si>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</si>
  <si>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</si>
  <si>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</si>
  <si>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</si>
  <si>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</si>
  <si>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</si>
  <si>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</si>
  <si>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</si>
  <si>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</si>
  <si>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</si>
  <si>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</si>
  <si>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</si>
  <si>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</si>
  <si>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</si>
  <si>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</si>
  <si>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</si>
  <si>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</si>
  <si>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</si>
  <si>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</si>
  <si>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</si>
  <si>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</si>
  <si>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</si>
  <si>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</si>
  <si>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</si>
  <si>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</si>
  <si>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</si>
  <si>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</si>
  <si>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</si>
  <si>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</si>
  <si>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</si>
  <si>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</si>
  <si>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</si>
  <si>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</si>
  <si>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</si>
  <si>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</si>
  <si>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</si>
  <si>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</si>
  <si>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</si>
  <si>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</si>
  <si>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</si>
  <si>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</si>
  <si>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</si>
  <si>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</si>
  <si>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</si>
  <si>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</si>
  <si>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</si>
  <si>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</si>
  <si>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</si>
  <si>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</si>
  <si>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</si>
  <si>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</si>
  <si>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</si>
  <si>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</si>
  <si>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</si>
  <si>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</si>
  <si>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</si>
  <si>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</si>
  <si>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</si>
  <si>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</si>
  <si>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</si>
  <si>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</si>
  <si>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</si>
  <si>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</si>
  <si>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</si>
  <si>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</si>
  <si>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</si>
  <si>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</si>
  <si>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</si>
  <si>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</si>
  <si>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</si>
  <si>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</si>
  <si>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</si>
  <si>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</si>
  <si>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</si>
  <si>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</si>
  <si>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</si>
  <si>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</si>
  <si>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</si>
  <si>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</si>
  <si>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</si>
  <si>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</si>
  <si>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</si>
  <si>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</si>
  <si>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</si>
  <si>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</si>
  <si>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</si>
  <si>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</si>
  <si>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</si>
  <si>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</si>
  <si>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</si>
  <si>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</si>
  <si>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</si>
  <si>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</si>
  <si>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</si>
  <si>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</si>
  <si>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</si>
  <si>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</si>
  <si>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</si>
  <si>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</si>
  <si>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</si>
  <si>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</si>
  <si>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</si>
  <si>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</si>
  <si>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</si>
  <si>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</si>
  <si>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</si>
  <si>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</si>
  <si>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</si>
  <si>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</si>
  <si>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</si>
  <si>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</si>
  <si>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</si>
  <si>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</si>
  <si>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</si>
  <si>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</si>
  <si>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</si>
  <si>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</si>
  <si>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</si>
  <si>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</si>
  <si>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</si>
  <si>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</si>
  <si>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</si>
  <si>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</si>
  <si>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</si>
  <si>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</si>
  <si>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</si>
  <si>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</si>
  <si>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</si>
  <si>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</si>
  <si>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</si>
  <si>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</si>
  <si>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</si>
  <si>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</si>
  <si>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</si>
  <si>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</si>
  <si>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</si>
  <si>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</si>
  <si>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</si>
  <si>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</si>
  <si>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</si>
  <si>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</si>
  <si>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</si>
  <si>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</si>
  <si>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</si>
  <si>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</si>
  <si>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</si>
  <si>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</si>
  <si>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</si>
  <si>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</si>
  <si>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</si>
  <si>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</si>
  <si>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</si>
  <si>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</si>
  <si>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</si>
  <si>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</si>
  <si>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</si>
  <si>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</si>
  <si>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</si>
  <si>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</si>
  <si>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</si>
  <si>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</si>
  <si>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</si>
  <si>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</si>
  <si>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</si>
  <si>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</si>
  <si>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</si>
  <si>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</si>
  <si>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</si>
  <si>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</si>
  <si>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</si>
  <si>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</si>
  <si>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</si>
  <si>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</si>
  <si>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</si>
  <si>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</si>
  <si>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</si>
  <si>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</si>
  <si>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</si>
  <si>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</si>
  <si>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</si>
  <si>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</si>
  <si>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</si>
  <si>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</si>
  <si>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</si>
  <si>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</si>
  <si>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</si>
  <si>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</si>
  <si>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</si>
  <si>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</si>
  <si>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</si>
  <si>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</si>
  <si>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</si>
  <si>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</si>
  <si>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</si>
  <si>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</si>
  <si>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</si>
  <si>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</si>
  <si>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</si>
  <si>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</si>
  <si>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</si>
  <si>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</si>
  <si>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</si>
  <si>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</si>
  <si>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</si>
  <si>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</si>
  <si>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</si>
  <si>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</si>
  <si>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</si>
  <si>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</si>
  <si>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</si>
  <si>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</si>
  <si>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</si>
  <si>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</si>
  <si>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</si>
  <si>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</si>
  <si>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</si>
  <si>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</si>
  <si>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</si>
  <si>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</si>
  <si>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</si>
  <si>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</si>
  <si>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</si>
  <si>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</si>
  <si>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</si>
  <si>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</si>
  <si>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</si>
  <si>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</si>
  <si>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</si>
  <si>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</si>
  <si>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</si>
  <si>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</si>
  <si>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</si>
  <si>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</si>
  <si>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</si>
  <si>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</si>
  <si>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</si>
  <si>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</si>
  <si>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</si>
  <si>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</si>
  <si>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</si>
  <si>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</si>
  <si>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</si>
  <si>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</si>
  <si>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</si>
  <si>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</si>
  <si>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</si>
  <si>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</si>
  <si>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</si>
  <si>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</si>
  <si>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</si>
  <si>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</si>
  <si>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</si>
  <si>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</si>
  <si>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</si>
  <si>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</si>
  <si>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</si>
  <si>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</si>
  <si>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</si>
  <si>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</si>
  <si>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</si>
  <si>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</si>
  <si>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</si>
  <si>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</si>
  <si>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</si>
  <si>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</si>
  <si>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</si>
  <si>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</si>
  <si>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</si>
  <si>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</si>
  <si>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</si>
  <si>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</si>
  <si>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</si>
  <si>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</si>
  <si>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</si>
  <si>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</si>
  <si>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</si>
  <si>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</si>
  <si>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</si>
  <si>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</si>
  <si>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</si>
  <si>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</si>
  <si>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</si>
  <si>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</si>
  <si>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</si>
  <si>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</si>
  <si>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</si>
  <si>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</si>
  <si>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</si>
  <si>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</si>
  <si>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</si>
  <si>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</si>
  <si>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</si>
  <si>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</si>
  <si>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</si>
  <si>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</si>
  <si>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</si>
  <si>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</si>
  <si>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</si>
  <si>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</si>
  <si>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</si>
  <si>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</si>
  <si>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</si>
  <si>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</si>
  <si>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</si>
  <si>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</si>
  <si>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</si>
  <si>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</si>
  <si>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</si>
  <si>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</si>
  <si>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</si>
  <si>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</si>
  <si>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</si>
  <si>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</si>
  <si>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</si>
  <si>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</si>
  <si>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</si>
  <si>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</si>
  <si>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</si>
  <si>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</si>
  <si>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</si>
  <si>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</si>
  <si>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</si>
  <si>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</si>
  <si>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</si>
  <si>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</si>
  <si>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</si>
  <si>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</si>
  <si>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</si>
  <si>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</si>
  <si>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</si>
  <si>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</si>
  <si>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</si>
  <si>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</si>
  <si>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</si>
  <si>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</si>
  <si>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</si>
  <si>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</si>
  <si>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</si>
  <si>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</si>
  <si>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</si>
  <si>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</si>
  <si>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</si>
  <si>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</si>
  <si>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</si>
  <si>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</si>
  <si>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</si>
  <si>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</si>
  <si>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</si>
  <si>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</si>
  <si>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</si>
  <si>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</si>
  <si>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</si>
  <si>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</si>
  <si>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</si>
  <si>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</si>
  <si>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</si>
  <si>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</si>
  <si>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</si>
  <si>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</si>
  <si>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</si>
  <si>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</si>
  <si>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</si>
  <si>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</si>
  <si>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</si>
  <si>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</si>
  <si>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</si>
  <si>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</si>
  <si>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</si>
  <si>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</si>
  <si>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</si>
  <si>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</si>
  <si>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</si>
  <si>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</si>
  <si>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</si>
  <si>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</si>
  <si>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</si>
  <si>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</si>
  <si>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</si>
  <si>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</si>
  <si>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</si>
  <si>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</si>
  <si>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</si>
  <si>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</si>
  <si>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</si>
  <si>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</si>
  <si>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</si>
  <si>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</si>
  <si>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</si>
  <si>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</si>
  <si>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</si>
  <si>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</si>
  <si>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</si>
  <si>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</si>
  <si>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</si>
  <si>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</si>
  <si>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</si>
  <si>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</si>
  <si>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</si>
  <si>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</si>
  <si>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</si>
  <si>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</si>
  <si>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</si>
  <si>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</si>
  <si>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</si>
  <si>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</si>
  <si>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</si>
  <si>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</si>
  <si>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</si>
  <si>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</si>
  <si>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</si>
  <si>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</si>
  <si>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</si>
  <si>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</si>
  <si>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</si>
  <si>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</si>
  <si>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</si>
  <si>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</si>
  <si>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</si>
  <si>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</si>
  <si>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</si>
  <si>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</si>
  <si>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</si>
  <si>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</si>
  <si>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</si>
  <si>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</si>
  <si>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</si>
  <si>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</si>
  <si>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</si>
  <si>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</si>
  <si>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</si>
  <si>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</si>
  <si>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</si>
  <si>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</si>
  <si>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</si>
  <si>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</si>
  <si>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</si>
  <si>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</si>
  <si>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</si>
  <si>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</si>
  <si>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</si>
  <si>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</si>
  <si>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</si>
  <si>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</si>
  <si>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</si>
  <si>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</si>
  <si>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</si>
  <si>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</si>
  <si>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</si>
  <si>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</si>
  <si>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</si>
  <si>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</si>
  <si>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</si>
  <si>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</si>
  <si>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</si>
  <si>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</si>
  <si>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</si>
  <si>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</si>
  <si>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</si>
  <si>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</si>
  <si>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</si>
  <si>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</si>
  <si>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</si>
  <si>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</si>
  <si>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</si>
  <si>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</si>
  <si>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</si>
  <si>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</si>
  <si>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</si>
  <si>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</si>
  <si>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</si>
  <si>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</si>
  <si>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</si>
  <si>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</si>
  <si>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</si>
  <si>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</si>
  <si>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</si>
  <si>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</si>
  <si>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</si>
  <si>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</si>
  <si>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</si>
  <si>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</si>
  <si>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</si>
  <si>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</si>
  <si>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</si>
  <si>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</si>
  <si>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</si>
  <si>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</si>
  <si>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</si>
  <si>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</si>
  <si>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</si>
  <si>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</si>
  <si>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</si>
  <si>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</si>
  <si>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</si>
  <si>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</si>
  <si>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</si>
  <si>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</si>
  <si>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</si>
  <si>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</si>
  <si>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</si>
  <si>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</si>
  <si>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</si>
  <si>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</si>
  <si>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</si>
  <si>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</si>
  <si>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</si>
  <si>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</si>
  <si>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</si>
  <si>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</si>
  <si>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</si>
  <si>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</si>
  <si>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</si>
  <si>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</si>
  <si>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</si>
  <si>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</si>
  <si>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</si>
  <si>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</si>
  <si>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</si>
  <si>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</si>
  <si>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</si>
  <si>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</si>
  <si>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</si>
  <si>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</si>
  <si>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</si>
  <si>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</si>
  <si>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</si>
  <si>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</si>
  <si>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</si>
  <si>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</si>
  <si>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</si>
  <si>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</si>
  <si>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</si>
  <si>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</si>
  <si>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</si>
  <si>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</si>
  <si>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</si>
  <si>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</si>
  <si>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</si>
  <si>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</si>
  <si>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</si>
  <si>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</si>
  <si>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</si>
  <si>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</si>
  <si>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</si>
  <si>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</si>
  <si>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</si>
  <si>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</si>
  <si>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</si>
  <si>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</si>
  <si>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</si>
  <si>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</si>
  <si>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</si>
  <si>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</si>
  <si>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</si>
  <si>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</si>
  <si>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</si>
  <si>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</si>
  <si>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</si>
  <si>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</si>
  <si>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</si>
  <si>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</si>
  <si>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</si>
  <si>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</si>
  <si>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</si>
  <si>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</si>
  <si>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</si>
  <si>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</si>
  <si>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</si>
  <si>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</si>
  <si>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</si>
  <si>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</si>
  <si>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</si>
  <si>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</si>
  <si>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</si>
  <si>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</si>
  <si>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</si>
  <si>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</si>
  <si>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</si>
  <si>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</si>
  <si>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</si>
  <si>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</si>
  <si>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</si>
  <si>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</si>
  <si>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</si>
  <si>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</si>
  <si>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</si>
  <si>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</si>
  <si>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</si>
  <si>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</si>
  <si>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</si>
  <si>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</si>
  <si>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</si>
  <si>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</si>
  <si>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</si>
  <si>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</si>
  <si>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</si>
  <si>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</si>
  <si>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</si>
  <si>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</si>
  <si>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</si>
  <si>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</si>
  <si>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</si>
  <si>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</si>
  <si>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</si>
  <si>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</si>
  <si>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</si>
  <si>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</si>
  <si>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</si>
  <si>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</si>
  <si>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</si>
  <si>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</si>
  <si>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</si>
  <si>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</si>
  <si>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</si>
  <si>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</si>
  <si>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</si>
  <si>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</si>
  <si>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</si>
  <si>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</si>
  <si>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</si>
  <si>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</si>
  <si>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</si>
  <si>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</si>
  <si>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</si>
  <si>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</si>
  <si>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</si>
  <si>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</si>
  <si>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</si>
  <si>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</si>
  <si>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</si>
  <si>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</si>
  <si>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</si>
  <si>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</si>
  <si>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</si>
  <si>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</si>
  <si>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</si>
  <si>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</si>
  <si>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</si>
  <si>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</si>
  <si>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</si>
  <si>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</si>
  <si>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</si>
  <si>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</si>
  <si>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</si>
  <si>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</si>
  <si>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</si>
  <si>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</si>
  <si>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</si>
  <si>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</si>
  <si>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</si>
  <si>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</si>
  <si>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</si>
  <si>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</si>
  <si>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</si>
  <si>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</si>
  <si>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</si>
  <si>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</si>
  <si>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</si>
  <si>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</si>
  <si>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</si>
  <si>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</si>
  <si>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</si>
  <si>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</si>
  <si>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</si>
  <si>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</si>
  <si>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</si>
  <si>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</si>
  <si>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</si>
  <si>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</si>
  <si>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</si>
  <si>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</si>
  <si>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</si>
  <si>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</si>
  <si>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</si>
  <si>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</si>
  <si>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</si>
  <si>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</si>
  <si>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</si>
  <si>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</si>
  <si>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</si>
  <si>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</si>
  <si>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</si>
  <si>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</si>
  <si>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</si>
  <si>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</si>
  <si>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</si>
  <si>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</si>
  <si>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</si>
  <si>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</si>
  <si>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</si>
  <si>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</si>
  <si>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</si>
  <si>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</si>
  <si>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</si>
  <si>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</si>
  <si>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</si>
  <si>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</si>
  <si>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</si>
  <si>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</si>
  <si>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</si>
  <si>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</si>
  <si>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</si>
  <si>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</si>
  <si>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</si>
  <si>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</si>
  <si>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</si>
  <si>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</si>
  <si>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</si>
  <si>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</si>
  <si>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</si>
  <si>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</si>
  <si>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</si>
  <si>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</si>
  <si>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</si>
  <si>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</si>
  <si>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</si>
  <si>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</si>
  <si>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</si>
  <si>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</si>
  <si>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</si>
  <si>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</si>
  <si>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</si>
  <si>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</si>
  <si>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</si>
  <si>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</si>
  <si>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</si>
  <si>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</si>
  <si>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</si>
  <si>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</si>
  <si>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</si>
  <si>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</si>
  <si>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</si>
  <si>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</si>
  <si>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</si>
  <si>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</si>
  <si>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</si>
  <si>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</si>
  <si>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</si>
  <si>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</si>
  <si>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</si>
  <si>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</si>
  <si>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</si>
  <si>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</si>
  <si>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</si>
  <si>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</si>
  <si>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</si>
  <si>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</si>
  <si>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</si>
  <si>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</si>
  <si>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</si>
  <si>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</si>
  <si>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</si>
  <si>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</si>
  <si>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</si>
  <si>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</si>
  <si>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</si>
  <si>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</si>
  <si>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</si>
  <si>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</si>
  <si>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</si>
  <si>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</si>
  <si>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</si>
  <si>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</si>
  <si>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</si>
  <si>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</si>
  <si>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</si>
  <si>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</si>
  <si>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</si>
  <si>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</si>
  <si>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</si>
  <si>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</si>
  <si>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</si>
  <si>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</si>
  <si>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</si>
  <si>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</si>
  <si>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</si>
  <si>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</si>
  <si>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</si>
  <si>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</si>
  <si>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</si>
  <si>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</si>
  <si>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</si>
  <si>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</si>
  <si>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</si>
  <si>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</si>
  <si>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</si>
  <si>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</si>
  <si>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</si>
  <si>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</si>
  <si>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</si>
  <si>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</si>
  <si>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</si>
  <si>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</si>
  <si>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</si>
  <si>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</si>
  <si>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</si>
  <si>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</si>
  <si>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</si>
  <si>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</si>
  <si>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</si>
  <si>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</si>
  <si>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</si>
  <si>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</si>
  <si>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</si>
  <si>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</si>
  <si>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</si>
  <si>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</si>
  <si>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</si>
  <si>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</si>
  <si>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</si>
  <si>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</si>
  <si>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</si>
  <si>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</si>
  <si>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</si>
  <si>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</si>
  <si>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</si>
  <si>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</si>
  <si>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</si>
  <si>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</si>
  <si>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</si>
  <si>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</si>
  <si>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</si>
  <si>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</si>
  <si>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</si>
  <si>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</si>
  <si>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</si>
  <si>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</si>
  <si>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</si>
  <si>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</si>
  <si>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</si>
  <si>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</si>
  <si>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</si>
  <si>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</si>
  <si>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</si>
  <si>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</si>
  <si>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</si>
  <si>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</si>
  <si>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</si>
  <si>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</si>
  <si>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</si>
  <si>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</si>
  <si>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</si>
  <si>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</si>
  <si>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</si>
  <si>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</si>
  <si>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</si>
  <si>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</si>
  <si>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</si>
  <si>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</si>
  <si>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</si>
  <si>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</si>
  <si>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</si>
  <si>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</si>
  <si>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</si>
  <si>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</si>
  <si>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</si>
  <si>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</si>
  <si>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</si>
  <si>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</si>
  <si>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</si>
  <si>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</si>
  <si>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</si>
  <si>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</si>
  <si>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</si>
  <si>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</si>
  <si>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</si>
  <si>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</si>
  <si>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</si>
  <si>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</si>
  <si>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</si>
  <si>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</si>
  <si>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</si>
  <si>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</si>
  <si>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</si>
  <si>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</si>
  <si>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</si>
  <si>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</si>
  <si>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</si>
  <si>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</si>
  <si>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</si>
  <si>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</si>
  <si>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</si>
  <si>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</si>
  <si>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</si>
  <si>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</si>
  <si>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</si>
  <si>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</si>
  <si>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</si>
  <si>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</si>
  <si>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</si>
  <si>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</si>
  <si>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</si>
  <si>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</si>
  <si>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</si>
  <si>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</si>
  <si>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</si>
  <si>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</si>
  <si>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</si>
  <si>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</si>
  <si>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</si>
  <si>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</si>
  <si>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</si>
  <si>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</si>
  <si>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</si>
  <si>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</si>
  <si>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</si>
  <si>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</si>
  <si>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</si>
  <si>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</si>
  <si>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</si>
  <si>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</si>
  <si>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</si>
  <si>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</si>
  <si>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</si>
  <si>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</si>
  <si>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</si>
  <si>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</si>
  <si>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</si>
  <si>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</si>
  <si>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</si>
  <si>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</si>
  <si>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</si>
  <si>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</si>
  <si>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</si>
  <si>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</si>
  <si>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</si>
  <si>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</si>
  <si>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</si>
  <si>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</si>
  <si>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</si>
  <si>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</si>
  <si>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</si>
  <si>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</si>
  <si>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</si>
  <si>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</si>
  <si>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</si>
  <si>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</si>
  <si>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</si>
  <si>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</si>
  <si>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</si>
  <si>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</si>
  <si>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</si>
  <si>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</si>
  <si>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</si>
  <si>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</si>
  <si>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</si>
  <si>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</si>
  <si>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</si>
  <si>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</si>
  <si>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</si>
  <si>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</si>
  <si>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</si>
  <si>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</si>
  <si>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</si>
  <si>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</si>
  <si>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</si>
  <si>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</si>
  <si>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</si>
  <si>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</si>
  <si>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</si>
  <si>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</si>
  <si>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</si>
  <si>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</si>
  <si>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</si>
  <si>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</si>
  <si>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</si>
  <si>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</si>
  <si>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</si>
  <si>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</si>
  <si>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</si>
  <si>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</si>
  <si>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</si>
  <si>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</si>
  <si>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</si>
  <si>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</si>
  <si>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</si>
  <si>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</si>
  <si>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</si>
  <si>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</si>
  <si>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</si>
  <si>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</si>
  <si>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</si>
  <si>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</si>
  <si>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</si>
  <si>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</si>
  <si>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</si>
  <si>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</si>
  <si>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</si>
  <si>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</si>
  <si>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</si>
  <si>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</si>
  <si>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</si>
  <si>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</si>
  <si>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</si>
  <si>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</si>
  <si>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</si>
  <si>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</si>
  <si>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</si>
  <si>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</si>
  <si>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</si>
  <si>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</si>
  <si>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</si>
  <si>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</si>
  <si>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</si>
  <si>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</si>
  <si>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</si>
  <si>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</si>
  <si>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</si>
  <si>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</si>
  <si>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</si>
  <si>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</si>
  <si>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</si>
  <si>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</si>
  <si>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</si>
  <si>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</si>
  <si>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</si>
  <si>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</si>
  <si>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</si>
  <si>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</si>
  <si>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</si>
  <si>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</si>
  <si>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</si>
  <si>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</si>
  <si>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</si>
  <si>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</si>
  <si>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</si>
  <si>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</si>
  <si>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</si>
  <si>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</si>
  <si>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</si>
  <si>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</si>
  <si>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</si>
  <si>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</si>
  <si>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</si>
  <si>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</si>
  <si>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</si>
  <si>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</si>
  <si>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</si>
  <si>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</si>
  <si>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</si>
  <si>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</si>
  <si>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</si>
  <si>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</si>
  <si>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</si>
  <si>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</si>
  <si>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</si>
  <si>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</si>
  <si>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</si>
  <si>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</si>
  <si>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</si>
  <si>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</si>
  <si>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</si>
  <si>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</si>
  <si>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</si>
  <si>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</si>
  <si>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</si>
  <si>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</si>
  <si>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</si>
  <si>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</si>
  <si>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</si>
  <si>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</si>
  <si>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</si>
  <si>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</si>
  <si>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</si>
  <si>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</si>
  <si>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</si>
  <si>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</si>
  <si>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</si>
  <si>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</si>
  <si>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</si>
  <si>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</si>
  <si>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</si>
  <si>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</si>
  <si>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</si>
  <si>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</si>
  <si>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</si>
  <si>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</si>
  <si>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</si>
  <si>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</si>
  <si>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</si>
  <si>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</si>
  <si>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</si>
  <si>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</si>
  <si>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</si>
  <si>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</si>
  <si>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</si>
  <si>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</si>
  <si>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</si>
  <si>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</si>
  <si>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</si>
  <si>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</si>
  <si>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</si>
  <si>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</si>
  <si>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</si>
  <si>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</si>
  <si>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</si>
  <si>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</si>
  <si>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</si>
  <si>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</si>
  <si>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</si>
  <si>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</si>
  <si>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</si>
  <si>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</si>
  <si>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</si>
  <si>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</si>
  <si>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</si>
  <si>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</si>
  <si>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</si>
  <si>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</si>
  <si>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</si>
  <si>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</si>
  <si>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</si>
  <si>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</si>
  <si>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</si>
  <si>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</si>
  <si>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</si>
  <si>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</si>
  <si>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</si>
  <si>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</si>
  <si>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</si>
  <si>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</si>
  <si>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</si>
  <si>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</si>
  <si>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</si>
  <si>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</si>
  <si>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</si>
  <si>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</si>
  <si>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</si>
  <si>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</si>
  <si>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</si>
  <si>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</si>
  <si>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</si>
  <si>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</si>
  <si>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</si>
  <si>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</si>
  <si>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</si>
  <si>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</si>
  <si>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</si>
  <si>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</si>
  <si>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</si>
  <si>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</si>
  <si>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</si>
  <si>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</si>
  <si>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</si>
  <si>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</si>
  <si>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</si>
  <si>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</si>
  <si>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</si>
  <si>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</si>
  <si>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</si>
  <si>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</si>
  <si>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</si>
  <si>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</si>
  <si>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</si>
  <si>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</si>
  <si>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</si>
  <si>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</si>
  <si>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</si>
  <si>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</si>
  <si>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</si>
  <si>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</si>
  <si>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</si>
  <si>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</si>
  <si>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</si>
  <si>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</si>
  <si>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</si>
  <si>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</si>
  <si>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</si>
  <si>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</si>
  <si>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</si>
  <si>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</si>
  <si>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</si>
  <si>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</si>
  <si>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</si>
  <si>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</si>
  <si>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</si>
  <si>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</si>
  <si>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</si>
  <si>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</si>
  <si>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</si>
  <si>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</si>
  <si>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</si>
  <si>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</si>
  <si>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</si>
  <si>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</si>
  <si>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</si>
  <si>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</si>
  <si>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</si>
  <si>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</si>
  <si>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</si>
  <si>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</si>
  <si>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</si>
  <si>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</si>
  <si>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</si>
  <si>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</si>
  <si>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</si>
  <si>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</si>
  <si>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</si>
  <si>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</si>
  <si>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</si>
  <si>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</si>
  <si>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</si>
  <si>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</si>
  <si>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</si>
  <si>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</si>
  <si>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</si>
  <si>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</si>
  <si>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</si>
  <si>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</si>
  <si>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</si>
  <si>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</si>
  <si>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</si>
  <si>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</si>
  <si>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</si>
  <si>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</si>
  <si>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</si>
  <si>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</si>
  <si>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</si>
  <si>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</si>
  <si>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</si>
  <si>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</si>
  <si>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</si>
  <si>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</si>
  <si>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</si>
  <si>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</si>
  <si>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</si>
  <si>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</si>
  <si>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</si>
  <si>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</si>
  <si>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</si>
  <si>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</si>
  <si>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</si>
  <si>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</si>
  <si>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</si>
  <si>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</si>
  <si>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</si>
  <si>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</si>
  <si>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</si>
  <si>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</si>
  <si>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</si>
  <si>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</si>
  <si>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</si>
  <si>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</si>
  <si>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</si>
  <si>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</si>
  <si>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</si>
  <si>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</si>
  <si>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</si>
  <si>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</si>
  <si>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</si>
  <si>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</si>
  <si>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</si>
  <si>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</si>
  <si>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</si>
  <si>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</si>
  <si>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</si>
  <si>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</si>
  <si>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</si>
  <si>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</si>
  <si>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</si>
  <si>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</si>
  <si>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</si>
  <si>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</si>
  <si>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</si>
  <si>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</si>
  <si>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</si>
  <si>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</si>
  <si>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</si>
  <si>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</si>
  <si>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</si>
  <si>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</si>
  <si>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</si>
  <si>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</si>
  <si>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</si>
  <si>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</si>
  <si>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</si>
  <si>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</si>
  <si>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</si>
  <si>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</si>
  <si>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</si>
  <si>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</si>
  <si>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</si>
  <si>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</si>
  <si>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</si>
  <si>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</si>
  <si>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</si>
  <si>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</si>
  <si>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</si>
  <si>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</si>
  <si>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</si>
  <si>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</si>
  <si>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</si>
  <si>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</si>
  <si>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</si>
  <si>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</si>
  <si>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</si>
  <si>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</si>
  <si>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</si>
  <si>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</si>
  <si>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</si>
  <si>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</si>
  <si>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</si>
  <si>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</si>
  <si>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</si>
  <si>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</si>
  <si>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</si>
  <si>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</si>
  <si>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</si>
  <si>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</si>
  <si>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</si>
  <si>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</si>
  <si>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</si>
  <si>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</si>
  <si>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</si>
  <si>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</si>
  <si>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</si>
  <si>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</si>
  <si>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</si>
  <si>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</si>
  <si>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</si>
  <si>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</si>
  <si>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</si>
  <si>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</si>
  <si>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</si>
  <si>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</si>
  <si>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</si>
  <si>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</si>
  <si>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</si>
  <si>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</si>
  <si>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</si>
  <si>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</si>
  <si>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</si>
  <si>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</si>
  <si>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</si>
  <si>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</si>
  <si>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</si>
  <si>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</si>
  <si>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</si>
  <si>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</si>
  <si>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</si>
  <si>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</si>
  <si>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</si>
  <si>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</si>
  <si>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</si>
  <si>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</si>
  <si>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</si>
  <si>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</si>
  <si>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</si>
  <si>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</si>
  <si>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</si>
  <si>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</si>
  <si>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</si>
  <si>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</si>
  <si>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</si>
  <si>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</si>
  <si>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</si>
  <si>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</si>
  <si>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</si>
  <si>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</si>
  <si>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</si>
  <si>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</si>
  <si>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</si>
  <si>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</si>
  <si>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</si>
  <si>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</si>
  <si>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</si>
  <si>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</si>
  <si>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</si>
  <si>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</si>
  <si>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</si>
  <si>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</si>
  <si>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</si>
  <si>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</si>
  <si>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</si>
  <si>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</si>
  <si>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</si>
  <si>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</si>
  <si>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</si>
  <si>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</si>
  <si>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</si>
  <si>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</si>
  <si>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</si>
  <si>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</si>
  <si>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</si>
  <si>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</si>
  <si>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</si>
  <si>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</si>
  <si>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</si>
  <si>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</si>
  <si>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</si>
  <si>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</si>
  <si>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</si>
  <si>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</si>
  <si>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</si>
  <si>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</si>
  <si>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</si>
  <si>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</si>
  <si>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</si>
  <si>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</si>
  <si>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</si>
  <si>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</si>
  <si>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</si>
  <si>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</si>
  <si>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</si>
  <si>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</si>
  <si>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</si>
  <si>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</si>
  <si>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</si>
  <si>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</si>
  <si>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</si>
  <si>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</si>
  <si>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</si>
  <si>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</si>
  <si>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</si>
  <si>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</si>
  <si>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</si>
  <si>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</si>
  <si>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</si>
  <si>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</si>
  <si>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</si>
  <si>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</si>
  <si>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</si>
  <si>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</si>
  <si>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</si>
  <si>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</si>
  <si>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</si>
  <si>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</si>
  <si>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</si>
  <si>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</si>
  <si>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</si>
  <si>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</si>
  <si>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</si>
  <si>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</si>
  <si>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</si>
  <si>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</si>
  <si>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</si>
  <si>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</si>
  <si>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</si>
  <si>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</si>
  <si>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</si>
  <si>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</si>
  <si>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</si>
  <si>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</si>
  <si>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</si>
  <si>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</si>
  <si>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</si>
  <si>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</si>
  <si>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</si>
  <si>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</si>
  <si>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</si>
  <si>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</si>
  <si>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</si>
  <si>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</si>
  <si>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</si>
  <si>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</si>
  <si>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</si>
  <si>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</si>
  <si>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</si>
  <si>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</si>
  <si>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</si>
  <si>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</si>
  <si>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</si>
  <si>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</si>
  <si>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</si>
  <si>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</si>
  <si>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</si>
  <si>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</si>
  <si>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</si>
  <si>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</si>
  <si>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</si>
  <si>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</si>
  <si>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</si>
  <si>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</si>
  <si>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</si>
  <si>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</si>
  <si>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</si>
  <si>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</si>
  <si>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</si>
  <si>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</si>
  <si>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</si>
  <si>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</si>
  <si>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</si>
  <si>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</si>
  <si>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</si>
  <si>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</si>
  <si>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</si>
  <si>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</si>
  <si>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</si>
  <si>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</si>
  <si>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</si>
  <si>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</si>
  <si>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</si>
  <si>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</si>
  <si>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</si>
  <si>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</si>
  <si>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</si>
  <si>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</si>
  <si>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</si>
  <si>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</si>
  <si>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</si>
  <si>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</si>
  <si>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</si>
  <si>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</si>
  <si>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</si>
  <si>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</si>
  <si>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</si>
  <si>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</si>
  <si>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</si>
  <si>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</si>
  <si>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</si>
  <si>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</si>
  <si>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</si>
  <si>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</si>
  <si>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</si>
  <si>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</si>
  <si>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</si>
  <si>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</si>
  <si>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</si>
  <si>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</si>
  <si>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</si>
  <si>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</si>
  <si>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</si>
  <si>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</si>
  <si>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</si>
  <si>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</si>
  <si>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</si>
  <si>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</si>
  <si>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</si>
  <si>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</si>
  <si>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</si>
  <si>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</si>
  <si>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</si>
  <si>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</si>
  <si>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</si>
  <si>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</si>
  <si>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</si>
  <si>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</si>
  <si>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</si>
  <si>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</si>
  <si>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</si>
  <si>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</si>
  <si>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</si>
  <si>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</si>
  <si>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</si>
  <si>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</si>
  <si>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</si>
  <si>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</si>
  <si>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</si>
  <si>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</si>
  <si>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</si>
  <si>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</si>
  <si>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</si>
  <si>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</si>
  <si>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</si>
  <si>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</si>
  <si>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</si>
  <si>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</si>
  <si>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</si>
  <si>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</si>
  <si>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</si>
  <si>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</si>
  <si>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</si>
  <si>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</si>
  <si>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</si>
  <si>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</si>
  <si>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</si>
  <si>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</si>
  <si>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</si>
  <si>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</si>
  <si>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</si>
  <si>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</si>
  <si>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</si>
  <si>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</si>
  <si>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</si>
  <si>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</si>
  <si>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</si>
  <si>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</si>
  <si>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</si>
  <si>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</si>
  <si>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</si>
  <si>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</si>
  <si>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</si>
  <si>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</si>
  <si>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</si>
  <si>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</si>
  <si>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</si>
  <si>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</si>
  <si>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</si>
  <si>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</si>
  <si>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</si>
  <si>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</si>
  <si>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</si>
  <si>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</si>
  <si>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</si>
  <si>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</si>
  <si>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</si>
  <si>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</si>
  <si>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</si>
  <si>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</si>
  <si>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</si>
  <si>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</si>
  <si>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</si>
  <si>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</si>
  <si>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</si>
  <si>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</si>
  <si>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</si>
  <si>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</si>
  <si>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</si>
  <si>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</si>
  <si>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</si>
  <si>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</si>
  <si>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</si>
  <si>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</si>
  <si>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</si>
  <si>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</si>
  <si>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</si>
  <si>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</si>
  <si>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</si>
  <si>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</si>
  <si>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</si>
  <si>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</si>
  <si>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</si>
  <si>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</si>
  <si>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</si>
  <si>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</si>
  <si>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</si>
  <si>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</si>
  <si>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</si>
  <si>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</si>
  <si>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</si>
  <si>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</si>
  <si>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</si>
  <si>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</si>
  <si>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</si>
  <si>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</si>
  <si>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</si>
  <si>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</si>
  <si>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</si>
  <si>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</si>
  <si>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</si>
  <si>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</si>
  <si>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</si>
  <si>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</si>
  <si>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</si>
  <si>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</si>
  <si>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</si>
  <si>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</si>
  <si>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</si>
  <si>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</si>
  <si>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</si>
  <si>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</si>
  <si>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</si>
  <si>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</si>
  <si>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</si>
  <si>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</si>
  <si>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</si>
  <si>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</si>
  <si>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</si>
  <si>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</si>
  <si>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</si>
  <si>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</si>
  <si>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</si>
  <si>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</si>
  <si>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</si>
  <si>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</si>
  <si>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</si>
  <si>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</si>
  <si>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</si>
  <si>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</si>
  <si>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</si>
  <si>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</si>
  <si>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</si>
  <si>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</si>
  <si>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</si>
  <si>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</si>
  <si>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</si>
  <si>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</si>
  <si>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</si>
  <si>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</si>
  <si>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</si>
  <si>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</si>
  <si>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</si>
  <si>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</si>
  <si>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</si>
  <si>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</si>
  <si>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</si>
  <si>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</si>
  <si>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</si>
  <si>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</si>
  <si>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</si>
  <si>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</si>
  <si>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</si>
  <si>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</si>
  <si>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</si>
  <si>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</si>
  <si>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</si>
  <si>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</si>
  <si>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</si>
  <si>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</si>
  <si>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</si>
  <si>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</si>
  <si>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</si>
  <si>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</si>
  <si>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</si>
  <si>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</si>
  <si>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</si>
  <si>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</si>
  <si>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</si>
  <si>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</si>
  <si>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</si>
  <si>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</si>
  <si>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</si>
  <si>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</si>
  <si>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</si>
  <si>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</si>
  <si>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</si>
  <si>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</si>
  <si>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</si>
  <si>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</si>
  <si>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</si>
  <si>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</si>
  <si>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</si>
  <si>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</si>
  <si>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</si>
  <si>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</si>
  <si>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</si>
  <si>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</si>
  <si>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</si>
  <si>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</si>
  <si>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</si>
  <si>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</si>
  <si>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</si>
  <si>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</si>
  <si>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</si>
  <si>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</si>
  <si>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</si>
  <si>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</si>
  <si>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</si>
  <si>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</si>
  <si>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</si>
  <si>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</si>
  <si>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</si>
  <si>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</si>
  <si>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</si>
  <si>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</si>
  <si>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</si>
  <si>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</si>
  <si>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</si>
  <si>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</si>
  <si>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</si>
  <si>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</si>
  <si>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</si>
  <si>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</si>
  <si>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</si>
  <si>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</si>
  <si>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</si>
  <si>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</si>
  <si>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</si>
  <si>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</si>
  <si>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</si>
  <si>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</si>
  <si>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</si>
  <si>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</si>
  <si>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</si>
  <si>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</si>
  <si>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</si>
  <si>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</si>
  <si>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</si>
  <si>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</si>
  <si>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</si>
  <si>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</si>
  <si>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</si>
  <si>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</si>
  <si>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</si>
  <si>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</si>
  <si>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</si>
  <si>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</si>
  <si>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</si>
  <si>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</si>
  <si>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</si>
  <si>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</si>
  <si>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</si>
  <si>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</si>
  <si>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</si>
  <si>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</si>
  <si>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</si>
  <si>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</si>
  <si>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</si>
  <si>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</si>
  <si>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</si>
  <si>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</si>
  <si>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</si>
  <si>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</si>
  <si>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</si>
  <si>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</si>
  <si>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</si>
  <si>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</si>
  <si>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</si>
  <si>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</si>
  <si>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</si>
  <si>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</si>
  <si>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</si>
  <si>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</si>
  <si>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</si>
  <si>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</si>
  <si>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</si>
  <si>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</si>
  <si>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</si>
  <si>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</si>
  <si>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</si>
  <si>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</si>
  <si>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</si>
  <si>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</si>
  <si>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</si>
  <si>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</si>
  <si>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</si>
  <si>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</si>
  <si>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</si>
  <si>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</si>
  <si>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</si>
  <si>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</si>
  <si>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</si>
  <si>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</si>
  <si>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</si>
  <si>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</si>
  <si>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</si>
  <si>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</si>
  <si>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</si>
  <si>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</si>
  <si>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</si>
  <si>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</si>
  <si>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</si>
  <si>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</si>
  <si>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</si>
  <si>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</si>
  <si>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</si>
  <si>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</si>
  <si>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</si>
  <si>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</si>
  <si>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</si>
  <si>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</si>
  <si>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</si>
  <si>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</si>
  <si>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</si>
  <si>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</si>
  <si>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</si>
  <si>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</si>
  <si>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</si>
  <si>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</si>
  <si>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</si>
  <si>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</si>
  <si>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</si>
  <si>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</si>
  <si>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</si>
  <si>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</si>
  <si>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</si>
  <si>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</si>
  <si>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</si>
  <si>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</si>
  <si>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</si>
  <si>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</si>
  <si>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</si>
  <si>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</si>
  <si>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</si>
  <si>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</si>
  <si>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</si>
  <si>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</si>
  <si>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</si>
  <si>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</si>
  <si>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</si>
  <si>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</si>
  <si>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</si>
  <si>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</si>
  <si>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</si>
  <si>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</si>
  <si>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</si>
  <si>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</si>
  <si>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</si>
  <si>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</si>
  <si>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</si>
  <si>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</si>
  <si>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</si>
  <si>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</si>
  <si>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</si>
  <si>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</si>
  <si>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</si>
  <si>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</si>
  <si>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</si>
  <si>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</si>
  <si>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</si>
  <si>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</si>
  <si>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</si>
  <si>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</si>
  <si>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</si>
  <si>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</si>
  <si>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</si>
  <si>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</si>
  <si>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</si>
  <si>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</si>
  <si>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</si>
  <si>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</si>
  <si>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</si>
  <si>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</si>
  <si>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</si>
  <si>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</si>
  <si>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</si>
  <si>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</si>
  <si>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</si>
  <si>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</si>
  <si>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</si>
  <si>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</si>
  <si>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</si>
  <si>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</si>
  <si>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</si>
  <si>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</si>
  <si>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</si>
  <si>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</si>
  <si>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</si>
  <si>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</si>
  <si>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</si>
  <si>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</si>
  <si>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</si>
  <si>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</si>
  <si>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</si>
  <si>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</si>
  <si>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</si>
  <si>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</si>
  <si>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</si>
  <si>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</si>
  <si>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</si>
  <si>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</si>
  <si>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</si>
  <si>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</si>
  <si>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</si>
  <si>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</si>
  <si>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</si>
  <si>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</si>
  <si>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</si>
  <si>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</si>
  <si>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</si>
  <si>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</si>
  <si>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</si>
  <si>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</si>
  <si>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</si>
  <si>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</si>
  <si>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</si>
  <si>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</si>
  <si>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</si>
  <si>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</si>
  <si>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</si>
  <si>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</si>
  <si>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</si>
  <si>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</si>
  <si>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</si>
  <si>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</si>
  <si>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</si>
  <si>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</si>
  <si>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</si>
  <si>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</si>
  <si>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</si>
  <si>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</si>
  <si>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</si>
  <si>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</si>
  <si>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</si>
  <si>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</si>
  <si>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</si>
  <si>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</si>
  <si>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</si>
  <si>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</si>
  <si>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</si>
  <si>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</si>
  <si>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</si>
  <si>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</si>
  <si>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</si>
  <si>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</si>
  <si>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</si>
  <si>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</si>
  <si>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</si>
  <si>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</si>
  <si>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</si>
  <si>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</si>
  <si>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</si>
  <si>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</si>
  <si>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</si>
  <si>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</si>
  <si>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</si>
  <si>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</si>
  <si>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</si>
  <si>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</si>
  <si>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</si>
  <si>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</si>
  <si>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</si>
  <si>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</si>
  <si>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</si>
  <si>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</si>
  <si>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</si>
  <si>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</si>
  <si>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</si>
  <si>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</si>
  <si>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</si>
  <si>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</si>
  <si>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</si>
  <si>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</si>
  <si>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</si>
  <si>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</si>
  <si>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</si>
  <si>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</si>
  <si>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</si>
  <si>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</si>
  <si>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</si>
  <si>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</si>
  <si>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</si>
  <si>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</si>
  <si>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</si>
  <si>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</si>
  <si>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</si>
  <si>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</si>
  <si>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</si>
  <si>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</si>
  <si>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</si>
  <si>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</si>
  <si>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</si>
  <si>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</si>
  <si>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</si>
  <si>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</si>
  <si>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</si>
  <si>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</si>
  <si>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</si>
  <si>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</si>
  <si>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</si>
  <si>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</si>
  <si>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</si>
  <si>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</si>
  <si>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</si>
  <si>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</si>
  <si>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</si>
  <si>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</si>
  <si>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</si>
  <si>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</si>
  <si>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</si>
  <si>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</si>
  <si>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</si>
  <si>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</si>
  <si>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</si>
  <si>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</si>
  <si>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</si>
  <si>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</si>
  <si>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</si>
  <si>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</si>
  <si>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</si>
  <si>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</si>
  <si>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</si>
  <si>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</si>
  <si>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</si>
  <si>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</si>
  <si>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</si>
  <si>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</si>
  <si>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</si>
  <si>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</si>
  <si>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</si>
  <si>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</si>
  <si>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</si>
  <si>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</si>
  <si>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</si>
  <si>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</si>
  <si>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</si>
  <si>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</si>
  <si>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</si>
  <si>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</si>
  <si>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</si>
  <si>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</si>
  <si>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</si>
  <si>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</si>
  <si>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</si>
  <si>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</si>
  <si>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</si>
  <si>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</si>
  <si>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</si>
  <si>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</si>
  <si>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</si>
  <si>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</si>
  <si>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</si>
  <si>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</si>
  <si>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</si>
  <si>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</si>
  <si>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</si>
  <si>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</si>
  <si>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</si>
  <si>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</si>
  <si>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</si>
  <si>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</si>
  <si>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</si>
  <si>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</si>
  <si>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</si>
  <si>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</si>
  <si>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</si>
  <si>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</si>
  <si>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</si>
  <si>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</si>
  <si>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</si>
  <si>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</si>
  <si>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</si>
  <si>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</si>
  <si>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</si>
  <si>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</si>
  <si>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</si>
  <si>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</si>
  <si>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</si>
  <si>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</si>
  <si>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</si>
  <si>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</si>
  <si>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</si>
  <si>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</si>
  <si>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</si>
  <si>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</si>
  <si>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</si>
  <si>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</si>
  <si>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</si>
  <si>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</si>
  <si>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</si>
  <si>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</si>
  <si>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</si>
  <si>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</si>
  <si>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</si>
  <si>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</si>
  <si>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</si>
  <si>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</si>
  <si>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</si>
  <si>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</si>
  <si>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</si>
  <si>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</si>
  <si>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</si>
  <si>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</si>
  <si>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</si>
  <si>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</si>
  <si>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</si>
  <si>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</si>
  <si>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</si>
  <si>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</si>
  <si>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</si>
  <si>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</si>
  <si>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</si>
  <si>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</si>
  <si>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</si>
  <si>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</si>
  <si>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</si>
  <si>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</si>
  <si>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</si>
  <si>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</si>
  <si>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</si>
  <si>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</si>
  <si>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</si>
  <si>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</si>
  <si>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</si>
  <si>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</si>
  <si>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</si>
  <si>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</si>
  <si>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</si>
  <si>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</si>
  <si>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</si>
  <si>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</si>
  <si>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</si>
  <si>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</si>
  <si>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</si>
  <si>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</si>
  <si>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</si>
  <si>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</si>
  <si>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</si>
  <si>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</si>
  <si>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</si>
  <si>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</si>
  <si>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</si>
  <si>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</si>
  <si>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</si>
  <si>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</si>
  <si>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</si>
  <si>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</si>
  <si>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</si>
  <si>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</si>
  <si>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</si>
  <si>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</si>
  <si>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</si>
  <si>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</si>
  <si>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</si>
  <si>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</si>
  <si>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</si>
  <si>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</si>
  <si>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</si>
  <si>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</si>
  <si>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</si>
  <si>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</si>
  <si>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</si>
  <si>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</si>
  <si>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</si>
  <si>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</si>
  <si>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</si>
  <si>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</si>
  <si>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</si>
  <si>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</si>
  <si>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</si>
  <si>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</si>
  <si>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</si>
  <si>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</si>
  <si>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</si>
  <si>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</si>
  <si>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</si>
  <si>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</si>
  <si>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</si>
  <si>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</si>
  <si>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</si>
  <si>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</si>
  <si>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</si>
  <si>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</si>
  <si>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</si>
  <si>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</si>
  <si>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</si>
  <si>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</si>
  <si>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</si>
  <si>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</si>
  <si>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</si>
  <si>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</si>
  <si>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</si>
  <si>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</si>
  <si>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</si>
  <si>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</si>
  <si>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</si>
  <si>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</si>
  <si>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</si>
  <si>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</si>
  <si>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</si>
  <si>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</si>
  <si>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</si>
  <si>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</si>
  <si>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</si>
  <si>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</si>
  <si>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</si>
  <si>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</si>
  <si>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</si>
  <si>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</si>
  <si>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</si>
  <si>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</si>
  <si>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</si>
  <si>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</si>
  <si>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</si>
  <si>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</si>
  <si>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</si>
  <si>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</si>
  <si>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</si>
  <si>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</si>
  <si>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</si>
  <si>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</si>
  <si>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</si>
  <si>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</si>
  <si>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</si>
  <si>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</si>
  <si>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</si>
  <si>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</si>
  <si>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</si>
  <si>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</si>
  <si>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</si>
  <si>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</si>
  <si>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</si>
  <si>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</si>
  <si>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</si>
  <si>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</si>
  <si>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</si>
  <si>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</si>
  <si>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</si>
  <si>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</si>
  <si>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</si>
  <si>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</si>
  <si>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</si>
  <si>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</si>
  <si>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</si>
  <si>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</si>
  <si>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</si>
  <si>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</si>
  <si>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</si>
  <si>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</si>
  <si>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</si>
  <si>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</si>
  <si>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</si>
  <si>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</si>
  <si>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</si>
  <si>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</si>
  <si>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</si>
  <si>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</si>
  <si>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</si>
  <si>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</si>
  <si>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</si>
  <si>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</si>
  <si>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</si>
  <si>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</si>
  <si>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</si>
  <si>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</si>
  <si>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</si>
  <si>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</si>
  <si>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</si>
  <si>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</si>
  <si>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</si>
  <si>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</si>
  <si>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</si>
  <si>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</si>
  <si>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</si>
  <si>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</si>
  <si>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</si>
  <si>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</si>
  <si>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</si>
  <si>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</si>
  <si>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</si>
  <si>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</si>
  <si>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</si>
  <si>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</si>
  <si>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</si>
  <si>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</si>
  <si>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</si>
  <si>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</si>
  <si>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</si>
  <si>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</si>
  <si>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</si>
  <si>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</si>
  <si>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</si>
  <si>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</si>
  <si>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</si>
  <si>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</si>
  <si>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</si>
  <si>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</si>
  <si>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</si>
  <si>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</si>
  <si>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</si>
  <si>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</si>
  <si>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</si>
  <si>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</si>
  <si>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</si>
  <si>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</si>
  <si>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</si>
  <si>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</si>
  <si>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</si>
  <si>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</si>
  <si>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</si>
  <si>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</si>
  <si>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</si>
  <si>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</si>
  <si>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</si>
  <si>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</si>
  <si>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</si>
  <si>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</si>
  <si>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</si>
  <si>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</si>
  <si>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</si>
  <si>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</si>
  <si>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</si>
  <si>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</si>
  <si>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</si>
  <si>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</si>
  <si>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</si>
  <si>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</si>
  <si>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</si>
  <si>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</si>
  <si>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</si>
  <si>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</si>
  <si>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</si>
  <si>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</si>
  <si>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</si>
  <si>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</si>
  <si>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</si>
  <si>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</si>
  <si>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</si>
  <si>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</si>
  <si>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</si>
  <si>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</si>
  <si>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</si>
  <si>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</si>
  <si>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</si>
  <si>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</si>
  <si>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</si>
  <si>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</si>
  <si>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</si>
  <si>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</si>
  <si>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</si>
  <si>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</si>
  <si>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</si>
  <si>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</si>
  <si>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</si>
  <si>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</si>
  <si>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</si>
  <si>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</si>
  <si>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</si>
  <si>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</si>
  <si>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</si>
  <si>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</si>
  <si>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</si>
  <si>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</si>
  <si>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</si>
  <si>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</si>
  <si>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</si>
  <si>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</si>
  <si>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</si>
  <si>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</si>
  <si>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</si>
  <si>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</si>
  <si>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</si>
  <si>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</si>
  <si>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</si>
  <si>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</si>
  <si>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</si>
  <si>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</si>
  <si>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</si>
  <si>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</si>
  <si>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</si>
  <si>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</si>
  <si>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</si>
  <si>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</si>
  <si>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</si>
  <si>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</si>
  <si>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</si>
  <si>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</si>
  <si>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</si>
  <si>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</si>
  <si>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</si>
  <si>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</si>
  <si>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</si>
  <si>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</si>
  <si>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</si>
  <si>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</si>
  <si>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</si>
  <si>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</si>
  <si>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</si>
  <si>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</si>
  <si>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</si>
  <si>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</si>
  <si>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</si>
  <si>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</si>
  <si>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</si>
  <si>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</si>
  <si>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</si>
  <si>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</si>
  <si>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</si>
  <si>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</si>
  <si>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</si>
  <si>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</si>
  <si>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</si>
  <si>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</si>
  <si>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</si>
  <si>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</si>
  <si>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</si>
  <si>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</si>
  <si>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</si>
  <si>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</si>
  <si>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</si>
  <si>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</si>
  <si>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</si>
  <si>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</si>
  <si>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</si>
  <si>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</si>
  <si>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</si>
  <si>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</si>
  <si>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</si>
  <si>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</si>
  <si>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</si>
  <si>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</si>
  <si>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</si>
  <si>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</si>
  <si>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</si>
  <si>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</si>
  <si>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</si>
  <si>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</si>
  <si>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</si>
  <si>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</si>
  <si>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</si>
  <si>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</si>
  <si>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</si>
  <si>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</si>
  <si>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</si>
  <si>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</si>
  <si>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</si>
  <si>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</si>
  <si>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</si>
  <si>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</si>
  <si>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</si>
  <si>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</si>
  <si>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</si>
  <si>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</si>
  <si>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</si>
  <si>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</si>
  <si>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</si>
  <si>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</si>
  <si>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</si>
  <si>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</si>
  <si>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</si>
  <si>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</si>
  <si>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</si>
  <si>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</si>
  <si>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</si>
  <si>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</si>
  <si>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</si>
  <si>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</si>
  <si>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</si>
  <si>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</si>
  <si>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</si>
  <si>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</si>
  <si>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</si>
  <si>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</si>
  <si>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</si>
  <si>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</si>
  <si>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</si>
  <si>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</si>
  <si>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</si>
  <si>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</si>
  <si>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</si>
  <si>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</si>
  <si>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</si>
  <si>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</si>
  <si>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</si>
  <si>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</si>
  <si>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</si>
  <si>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</si>
  <si>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</si>
  <si>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</si>
  <si>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</si>
  <si>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</si>
  <si>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</si>
  <si>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</si>
  <si>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</si>
  <si>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</si>
  <si>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</si>
  <si>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</si>
  <si>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</si>
  <si>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</si>
  <si>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</si>
  <si>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</si>
  <si>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</si>
  <si>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</si>
  <si>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</si>
  <si>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</si>
  <si>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</si>
  <si>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</si>
  <si>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</si>
  <si>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</si>
  <si>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</si>
  <si>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</si>
  <si>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</si>
  <si>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</si>
  <si>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</si>
  <si>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</si>
  <si>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</si>
  <si>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</si>
  <si>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</si>
  <si>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</si>
  <si>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</si>
  <si>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</si>
  <si>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</si>
  <si>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</si>
  <si>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</si>
  <si>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</si>
  <si>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</si>
  <si>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</si>
  <si>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</si>
  <si>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</si>
  <si>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</si>
  <si>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</si>
  <si>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</si>
  <si>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</si>
  <si>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</si>
  <si>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</si>
  <si>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</si>
  <si>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</si>
  <si>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</si>
  <si>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</si>
  <si>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</si>
  <si>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</si>
  <si>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</si>
  <si>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</si>
  <si>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</si>
  <si>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</si>
  <si>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</si>
  <si>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</si>
  <si>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</si>
  <si>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</si>
  <si>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</si>
  <si>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</si>
  <si>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</si>
  <si>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</si>
  <si>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</si>
  <si>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</si>
  <si>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</si>
  <si>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</si>
  <si>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</si>
  <si>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</si>
  <si>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</si>
  <si>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</si>
  <si>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</si>
  <si>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</si>
  <si>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</si>
  <si>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</si>
  <si>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</si>
  <si>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</si>
  <si>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</si>
  <si>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</si>
  <si>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</si>
  <si>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</si>
  <si>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</si>
  <si>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</si>
  <si>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</si>
  <si>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</si>
  <si>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</si>
  <si>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</si>
  <si>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</si>
  <si>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</si>
  <si>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</si>
  <si>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</si>
  <si>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</si>
  <si>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</si>
  <si>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</si>
  <si>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</si>
  <si>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</si>
  <si>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</si>
  <si>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</si>
  <si>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</si>
  <si>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</si>
  <si>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</si>
  <si>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</si>
  <si>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</si>
  <si>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</si>
  <si>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</si>
  <si>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</si>
  <si>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</si>
  <si>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</si>
  <si>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</si>
  <si>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</si>
  <si>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</si>
  <si>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</si>
  <si>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</si>
  <si>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</si>
  <si>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</si>
  <si>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</si>
  <si>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</si>
  <si>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</si>
  <si>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</si>
  <si>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</si>
  <si>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</si>
  <si>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</si>
  <si>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</si>
  <si>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</si>
  <si>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</si>
  <si>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</si>
  <si>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</si>
  <si>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</si>
  <si>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</si>
  <si>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</si>
  <si>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</si>
  <si>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</si>
  <si>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</si>
  <si>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</si>
  <si>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</si>
  <si>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</si>
  <si>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</si>
  <si>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</si>
  <si>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</si>
  <si>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</si>
  <si>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</si>
  <si>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</si>
  <si>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</si>
  <si>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</si>
  <si>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</si>
  <si>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</si>
  <si>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</si>
  <si>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</si>
  <si>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</si>
  <si>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</si>
  <si>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</si>
  <si>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</si>
  <si>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</si>
  <si>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</si>
  <si>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</si>
  <si>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</si>
  <si>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</si>
  <si>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</si>
  <si>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</si>
  <si>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</si>
  <si>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</si>
  <si>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</si>
  <si>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</si>
  <si>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</si>
  <si>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</si>
  <si>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</si>
  <si>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</si>
  <si>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</si>
  <si>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</si>
  <si>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</si>
  <si>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</si>
  <si>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</si>
  <si>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</si>
  <si>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</si>
  <si>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</si>
  <si>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</si>
  <si>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</si>
  <si>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</si>
  <si>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</si>
  <si>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</si>
  <si>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</si>
  <si>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</si>
  <si>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</si>
  <si>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</si>
  <si>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</si>
  <si>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</si>
  <si>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</si>
  <si>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</si>
  <si>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</si>
  <si>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</si>
  <si>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</si>
  <si>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</si>
  <si>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</si>
  <si>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</si>
  <si>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</si>
  <si>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</si>
  <si>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</si>
  <si>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</si>
  <si>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</si>
  <si>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</si>
  <si>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</si>
  <si>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</si>
  <si>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</si>
  <si>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</si>
  <si>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</si>
  <si>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</si>
  <si>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</si>
  <si>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</si>
  <si>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</si>
  <si>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</si>
  <si>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</si>
  <si>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</si>
  <si>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</si>
  <si>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</si>
  <si>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</si>
  <si>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</si>
  <si>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</si>
  <si>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</si>
  <si>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</si>
  <si>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</si>
  <si>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</si>
  <si>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</si>
  <si>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</si>
  <si>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</si>
  <si>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</si>
  <si>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</si>
  <si>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</si>
  <si>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</si>
  <si>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</si>
  <si>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</si>
  <si>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</si>
  <si>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</si>
  <si>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</si>
  <si>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</si>
  <si>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</si>
  <si>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</si>
  <si>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</si>
  <si>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</si>
  <si>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</si>
  <si>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</si>
  <si>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</si>
  <si>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</si>
  <si>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</si>
  <si>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</si>
  <si>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</si>
  <si>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</si>
  <si>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</si>
  <si>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</si>
  <si>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</si>
  <si>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</si>
  <si>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</si>
  <si>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</si>
  <si>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</si>
  <si>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</si>
  <si>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</si>
  <si>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</si>
  <si>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</si>
  <si>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</si>
  <si>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</si>
  <si>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</si>
  <si>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</si>
  <si>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</si>
  <si>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</si>
  <si>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</si>
  <si>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</si>
  <si>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</si>
  <si>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</si>
  <si>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</si>
  <si>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</si>
  <si>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</si>
  <si>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</si>
  <si>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</si>
  <si>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</si>
  <si>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</si>
  <si>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</si>
  <si>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</si>
  <si>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</si>
  <si>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</si>
  <si>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</si>
  <si>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</si>
  <si>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</si>
  <si>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</si>
  <si>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</si>
  <si>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</si>
  <si>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</si>
  <si>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</si>
  <si>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</si>
  <si>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</si>
  <si>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</si>
  <si>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</si>
  <si>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</si>
  <si>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</si>
  <si>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</si>
  <si>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</si>
  <si>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</si>
  <si>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</si>
  <si>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</si>
  <si>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</si>
  <si>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</si>
  <si>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</si>
  <si>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</si>
  <si>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</si>
  <si>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</si>
  <si>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</si>
  <si>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</si>
  <si>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</si>
  <si>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</si>
  <si>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</si>
  <si>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</si>
  <si>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</si>
  <si>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</si>
  <si>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</si>
  <si>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</si>
  <si>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</si>
  <si>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</si>
  <si>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</si>
  <si>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</si>
  <si>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</si>
  <si>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</si>
  <si>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</si>
  <si>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</si>
  <si>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</si>
  <si>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</si>
  <si>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</si>
  <si>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</si>
  <si>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</si>
  <si>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</si>
  <si>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</si>
  <si>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</si>
  <si>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</si>
  <si>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</si>
  <si>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</si>
  <si>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</si>
  <si>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</si>
  <si>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</si>
  <si>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</si>
  <si>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</si>
  <si>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</si>
  <si>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</si>
  <si>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</si>
  <si>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</si>
  <si>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</si>
  <si>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</si>
  <si>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</si>
  <si>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</si>
  <si>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</si>
  <si>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</si>
  <si>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</si>
  <si>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</si>
  <si>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</si>
  <si>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</si>
  <si>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</si>
  <si>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</si>
  <si>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</si>
  <si>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</si>
  <si>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</si>
  <si>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</si>
  <si>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</si>
  <si>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</si>
  <si>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</si>
  <si>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</si>
  <si>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</si>
  <si>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</si>
  <si>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</si>
  <si>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</si>
  <si>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</si>
  <si>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</si>
  <si>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</si>
  <si>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</si>
  <si>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</si>
  <si>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</si>
  <si>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</si>
  <si>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</si>
  <si>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</si>
  <si>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</si>
  <si>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</si>
  <si>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</si>
  <si>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</si>
  <si>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</si>
  <si>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</si>
  <si>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</si>
  <si>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</si>
  <si>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</si>
  <si>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</si>
  <si>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</si>
  <si>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</si>
  <si>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</si>
  <si>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</si>
  <si>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</si>
  <si>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</si>
  <si>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</si>
  <si>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</si>
  <si>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</si>
  <si>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</si>
  <si>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</si>
  <si>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</si>
  <si>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</si>
  <si>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</si>
  <si>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</si>
  <si>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</si>
  <si>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</si>
  <si>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</si>
  <si>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</si>
  <si>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</si>
  <si>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</si>
  <si>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</si>
  <si>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</si>
  <si>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</si>
  <si>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</si>
  <si>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</si>
  <si>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</si>
  <si>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</si>
  <si>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</si>
  <si>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</si>
  <si>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</si>
  <si>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</si>
  <si>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</si>
  <si>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</si>
  <si>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</si>
  <si>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</si>
  <si>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</si>
  <si>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</si>
  <si>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</si>
  <si>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</si>
  <si>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</si>
  <si>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</si>
  <si>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</si>
  <si>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</si>
  <si>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</si>
  <si>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</si>
  <si>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</si>
  <si>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</si>
  <si>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</si>
  <si>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</si>
  <si>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</si>
  <si>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</si>
  <si>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</si>
  <si>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</si>
  <si>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</si>
  <si>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</si>
  <si>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</si>
  <si>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</si>
  <si>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</si>
  <si>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</si>
  <si>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</si>
  <si>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</si>
  <si>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</si>
  <si>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</si>
  <si>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</si>
  <si>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</si>
  <si>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</si>
  <si>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</si>
  <si>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</si>
  <si>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</si>
  <si>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</si>
  <si>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</si>
  <si>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</si>
  <si>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</si>
  <si>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</si>
  <si>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</si>
  <si>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</si>
  <si>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</si>
  <si>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</si>
  <si>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</si>
  <si>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</si>
  <si>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</si>
  <si>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</si>
  <si>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</si>
  <si>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</si>
  <si>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</si>
  <si>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</si>
  <si>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</si>
  <si>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</si>
  <si>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</si>
  <si>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</si>
  <si>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</si>
  <si>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</si>
  <si>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</si>
  <si>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</si>
  <si>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</si>
  <si>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</si>
  <si>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</si>
  <si>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</si>
  <si>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</si>
  <si>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</si>
  <si>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</si>
  <si>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</si>
  <si>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</si>
  <si>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</si>
  <si>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</si>
  <si>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</si>
  <si>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</si>
  <si>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</si>
  <si>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</si>
  <si>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</si>
  <si>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</si>
  <si>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</si>
  <si>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</si>
  <si>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</si>
  <si>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</si>
  <si>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</si>
  <si>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</si>
  <si>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</si>
  <si>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</si>
  <si>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</si>
  <si>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</si>
  <si>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</si>
  <si>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</si>
  <si>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</si>
  <si>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</si>
  <si>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</si>
  <si>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</si>
  <si>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</si>
  <si>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</si>
  <si>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</si>
  <si>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</si>
  <si>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</si>
  <si>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</si>
  <si>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</si>
  <si>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</si>
  <si>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</si>
  <si>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</si>
  <si>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</si>
  <si>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</si>
  <si>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</si>
  <si>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</si>
  <si>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</si>
  <si>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</si>
  <si>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</si>
  <si>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</si>
  <si>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</si>
  <si>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</si>
  <si>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</si>
  <si>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</si>
  <si>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</si>
  <si>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</si>
  <si>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</si>
  <si>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</si>
  <si>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</si>
  <si>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</si>
  <si>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</si>
  <si>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</si>
  <si>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</si>
  <si>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</si>
  <si>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</si>
  <si>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</si>
  <si>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</si>
  <si>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</si>
  <si>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</si>
  <si>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</si>
  <si>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</si>
  <si>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</si>
  <si>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</si>
  <si>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</si>
  <si>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</si>
  <si>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</si>
  <si>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</si>
  <si>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</si>
  <si>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</si>
  <si>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</si>
  <si>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</si>
  <si>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</si>
  <si>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</si>
  <si>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</si>
  <si>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</si>
  <si>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</si>
  <si>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</si>
  <si>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</si>
  <si>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</si>
  <si>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</si>
  <si>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</si>
  <si>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</si>
  <si>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</si>
  <si>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</si>
  <si>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</si>
  <si>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</si>
  <si>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</si>
  <si>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</si>
  <si>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</si>
  <si>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</si>
  <si>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</si>
  <si>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</si>
  <si>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</si>
  <si>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</si>
  <si>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</si>
  <si>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</si>
  <si>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</si>
  <si>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</si>
  <si>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</si>
  <si>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</si>
  <si>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</si>
  <si>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</si>
  <si>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</si>
  <si>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</si>
  <si>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</si>
  <si>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</si>
  <si>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</si>
  <si>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</si>
  <si>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</si>
  <si>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</si>
  <si>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</si>
  <si>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</si>
  <si>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</si>
  <si>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</si>
  <si>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</si>
  <si>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</si>
  <si>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</si>
  <si>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</si>
  <si>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</si>
  <si>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</si>
  <si>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</si>
  <si>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</si>
  <si>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</si>
  <si>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</si>
  <si>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</si>
  <si>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</si>
  <si>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</si>
  <si>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</si>
  <si>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</si>
  <si>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</si>
  <si>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</si>
  <si>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</si>
  <si>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</si>
  <si>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</si>
  <si>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</si>
  <si>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</si>
  <si>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</si>
  <si>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</si>
  <si>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</si>
  <si>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</si>
  <si>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</si>
  <si>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</si>
  <si>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</si>
  <si>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</si>
  <si>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</si>
  <si>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</si>
  <si>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</si>
  <si>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</si>
  <si>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</si>
  <si>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</si>
  <si>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</si>
  <si>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</si>
  <si>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</si>
  <si>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</si>
  <si>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</si>
  <si>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</si>
  <si>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</si>
  <si>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</si>
  <si>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</si>
  <si>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</si>
  <si>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</si>
  <si>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</si>
  <si>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</si>
  <si>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</si>
  <si>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</si>
  <si>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</si>
  <si>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</si>
  <si>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</si>
  <si>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</si>
  <si>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</si>
  <si>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</si>
  <si>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</si>
  <si>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</si>
  <si>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</si>
  <si>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</si>
  <si>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</si>
  <si>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</si>
  <si>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</si>
  <si>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</si>
  <si>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</si>
  <si>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</si>
  <si>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</si>
  <si>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</si>
  <si>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</si>
  <si>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</si>
  <si>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</si>
  <si>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</si>
  <si>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</si>
  <si>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</si>
  <si>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</si>
  <si>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</si>
  <si>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</si>
  <si>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</si>
  <si>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</si>
  <si>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</si>
  <si>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</si>
  <si>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</si>
  <si>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</si>
  <si>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</si>
  <si>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</si>
  <si>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</si>
  <si>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</si>
  <si>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</si>
  <si>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</si>
  <si>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</si>
  <si>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</si>
  <si>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</si>
  <si>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</si>
  <si>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</si>
  <si>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</si>
  <si>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</si>
  <si>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</si>
  <si>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</si>
  <si>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</si>
  <si>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</si>
  <si>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</si>
  <si>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</si>
  <si>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</si>
  <si>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</si>
  <si>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</si>
  <si>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</si>
  <si>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</si>
  <si>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</si>
  <si>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</si>
  <si>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</si>
  <si>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</si>
  <si>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</si>
  <si>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</si>
  <si>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</si>
  <si>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</si>
  <si>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</si>
  <si>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</si>
  <si>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</si>
  <si>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</si>
  <si>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</si>
  <si>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</si>
  <si>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</si>
  <si>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</si>
  <si>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</si>
  <si>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</si>
  <si>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</si>
  <si>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</si>
  <si>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</si>
  <si>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</si>
  <si>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</si>
  <si>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</si>
  <si>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</si>
  <si>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</si>
  <si>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</si>
  <si>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</si>
  <si>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</si>
  <si>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</si>
  <si>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</si>
  <si>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</si>
  <si>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</si>
  <si>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</si>
  <si>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</si>
  <si>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</si>
  <si>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</si>
  <si>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</si>
  <si>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</si>
  <si>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</si>
  <si>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</si>
  <si>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</si>
  <si>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</si>
  <si>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</si>
  <si>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</si>
  <si>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</si>
  <si>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</si>
  <si>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</si>
  <si>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</si>
  <si>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</si>
  <si>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</si>
  <si>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</si>
  <si>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</si>
  <si>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</si>
  <si>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</si>
  <si>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</si>
  <si>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</si>
  <si>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</si>
  <si>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</si>
  <si>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</si>
  <si>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</si>
  <si>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</si>
  <si>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</si>
  <si>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</si>
  <si>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</si>
  <si>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</si>
  <si>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</si>
  <si>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</si>
  <si>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</si>
  <si>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</si>
  <si>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</si>
  <si>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</si>
  <si>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</si>
  <si>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</si>
  <si>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</si>
  <si>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</si>
  <si>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</si>
  <si>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</si>
  <si>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</si>
  <si>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</si>
  <si>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</si>
  <si>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</si>
  <si>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</si>
  <si>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</si>
  <si>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</si>
  <si>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</si>
  <si>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</si>
  <si>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</si>
  <si>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</si>
  <si>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</si>
  <si>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</si>
  <si>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</si>
  <si>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</si>
  <si>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</si>
  <si>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</si>
  <si>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</si>
  <si>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</si>
  <si>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</si>
  <si>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</si>
  <si>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</si>
  <si>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</si>
  <si>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</si>
  <si>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</si>
  <si>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</si>
  <si>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</si>
  <si>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</si>
  <si>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</si>
  <si>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</si>
  <si>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</si>
  <si>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</si>
  <si>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</si>
  <si>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</si>
  <si>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</si>
  <si>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</si>
  <si>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</si>
  <si>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</si>
  <si>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</si>
  <si>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</si>
  <si>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</si>
  <si>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</si>
  <si>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</si>
  <si>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</si>
  <si>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</si>
  <si>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</si>
  <si>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</si>
  <si>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</si>
  <si>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</si>
  <si>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</si>
  <si>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</si>
  <si>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</si>
  <si>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</si>
  <si>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</si>
  <si>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</si>
  <si>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</si>
  <si>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</si>
  <si>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</si>
  <si>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</si>
  <si>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</si>
  <si>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</si>
  <si>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</si>
  <si>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</si>
  <si>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</si>
  <si>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</si>
  <si>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</si>
  <si>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</si>
  <si>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</si>
  <si>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</si>
  <si>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</si>
  <si>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</si>
  <si>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</si>
  <si>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</si>
  <si>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</si>
  <si>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</si>
  <si>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</si>
  <si>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</si>
  <si>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</si>
  <si>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</si>
  <si>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</si>
  <si>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</si>
  <si>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</si>
  <si>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</si>
  <si>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</si>
  <si>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</si>
  <si>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</si>
  <si>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</si>
  <si>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</si>
  <si>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</si>
  <si>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</si>
  <si>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</si>
  <si>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</si>
  <si>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</si>
  <si>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</si>
  <si>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</si>
  <si>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</si>
  <si>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</si>
  <si>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</si>
  <si>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</si>
  <si>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</si>
  <si>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</si>
  <si>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</si>
  <si>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</si>
  <si>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</si>
  <si>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</si>
  <si>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</si>
  <si>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</si>
  <si>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</si>
  <si>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</si>
  <si>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</si>
  <si>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</si>
  <si>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</si>
  <si>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</si>
  <si>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</si>
  <si>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</si>
  <si>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</si>
  <si>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</si>
  <si>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</si>
  <si>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</si>
  <si>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</si>
  <si>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</si>
  <si>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</si>
  <si>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</si>
  <si>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</si>
  <si>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</si>
  <si>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</si>
  <si>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</si>
  <si>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</si>
  <si>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</si>
  <si>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</si>
  <si>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</si>
  <si>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</si>
  <si>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</si>
  <si>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</si>
  <si>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</si>
  <si>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</si>
  <si>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</si>
  <si>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</si>
  <si>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</si>
  <si>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</si>
  <si>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</si>
  <si>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</si>
  <si>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</si>
  <si>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</si>
  <si>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</si>
  <si>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</si>
  <si>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</si>
  <si>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</si>
  <si>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</si>
  <si>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</si>
  <si>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</si>
  <si>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</si>
  <si>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</si>
  <si>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</si>
  <si>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</si>
  <si>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</si>
  <si>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</si>
  <si>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</si>
  <si>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</si>
  <si>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</si>
  <si>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</si>
  <si>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</si>
  <si>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</si>
  <si>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</si>
  <si>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</si>
  <si>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</si>
  <si>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</si>
  <si>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</si>
  <si>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</si>
  <si>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</si>
  <si>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</si>
  <si>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</si>
  <si>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</si>
  <si>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</si>
  <si>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</si>
  <si>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</si>
  <si>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</si>
  <si>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</si>
  <si>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</si>
  <si>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</si>
  <si>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</si>
  <si>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</si>
  <si>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</si>
  <si>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</si>
  <si>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</si>
  <si>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</si>
  <si>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</si>
  <si>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</si>
  <si>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</si>
  <si>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</si>
  <si>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</si>
  <si>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</si>
  <si>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</si>
  <si>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</si>
  <si>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</si>
  <si>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</si>
  <si>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</si>
  <si>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</si>
  <si>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</si>
  <si>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</si>
  <si>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</si>
  <si>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</si>
  <si>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</si>
  <si>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</si>
  <si>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</si>
  <si>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</si>
  <si>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</si>
  <si>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</si>
  <si>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</si>
  <si>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</si>
  <si>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</si>
  <si>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</si>
  <si>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</si>
  <si>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</si>
  <si>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</si>
  <si>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</si>
  <si>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</si>
  <si>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</si>
  <si>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</si>
  <si>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</si>
  <si>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</si>
  <si>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</si>
  <si>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</si>
  <si>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</si>
  <si>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</si>
  <si>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</si>
  <si>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</si>
  <si>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</si>
  <si>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</si>
  <si>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</si>
  <si>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</si>
  <si>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</si>
  <si>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</si>
  <si>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</si>
  <si>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</si>
  <si>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</si>
  <si>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</si>
  <si>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</si>
  <si>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</si>
  <si>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</si>
  <si>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</si>
  <si>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</si>
  <si>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</si>
  <si>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</si>
  <si>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</si>
  <si>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</si>
  <si>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</si>
  <si>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</si>
  <si>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</si>
  <si>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</si>
  <si>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</si>
  <si>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</si>
  <si>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</si>
  <si>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</si>
  <si>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</si>
  <si>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</si>
  <si>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</si>
  <si>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</si>
  <si>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</si>
  <si>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</si>
  <si>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</si>
  <si>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</si>
  <si>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</si>
  <si>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</si>
  <si>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</si>
  <si>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</si>
  <si>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</si>
  <si>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</si>
  <si>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</si>
  <si>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</si>
  <si>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</si>
  <si>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</si>
  <si>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</si>
  <si>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</si>
  <si>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</si>
  <si>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</si>
  <si>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</si>
  <si>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</si>
  <si>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</si>
  <si>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</si>
  <si>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</si>
  <si>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</si>
  <si>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</si>
  <si>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</si>
  <si>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</si>
  <si>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</si>
  <si>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</si>
  <si>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</si>
  <si>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</si>
  <si>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</si>
  <si>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</si>
  <si>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</si>
  <si>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</si>
  <si>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</si>
  <si>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</si>
  <si>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</si>
  <si>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</si>
  <si>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</si>
  <si>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</si>
  <si>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</si>
  <si>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</si>
  <si>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</si>
  <si>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</si>
  <si>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</si>
  <si>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</si>
  <si>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</si>
  <si>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</si>
  <si>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</si>
  <si>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</si>
  <si>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</si>
  <si>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</si>
  <si>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</si>
  <si>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</si>
  <si>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</si>
  <si>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</si>
  <si>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</si>
  <si>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</si>
  <si>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</si>
  <si>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</si>
  <si>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</si>
  <si>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</si>
  <si>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</si>
  <si>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</si>
  <si>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</si>
  <si>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</si>
  <si>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</si>
  <si>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</si>
  <si>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</si>
  <si>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</si>
  <si>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</si>
  <si>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</si>
  <si>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</si>
  <si>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</si>
  <si>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</si>
  <si>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</si>
  <si>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</si>
  <si>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</si>
  <si>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</si>
  <si>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</si>
  <si>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</si>
  <si>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</si>
  <si>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</si>
  <si>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</si>
  <si>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</si>
  <si>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</si>
  <si>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</si>
  <si>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</si>
  <si>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</si>
  <si>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</si>
  <si>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</si>
  <si>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</si>
  <si>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</si>
  <si>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</si>
  <si>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</si>
  <si>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</si>
  <si>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</si>
  <si>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</si>
  <si>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</si>
  <si>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</si>
  <si>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</si>
  <si>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</si>
  <si>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</si>
  <si>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</si>
  <si>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</si>
  <si>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</si>
  <si>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</si>
  <si>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</si>
  <si>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</si>
  <si>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</si>
  <si>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</si>
  <si>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</si>
  <si>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</si>
  <si>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</si>
  <si>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</si>
  <si>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</si>
  <si>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</si>
  <si>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</si>
  <si>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</si>
  <si>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</si>
  <si>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</si>
  <si>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</si>
  <si>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</si>
  <si>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</si>
  <si>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</si>
  <si>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</si>
  <si>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</si>
  <si>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</si>
  <si>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</si>
  <si>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</si>
  <si>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</si>
  <si>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</si>
  <si>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</si>
  <si>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</si>
  <si>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</si>
  <si>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</si>
  <si>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</si>
  <si>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</si>
  <si>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</si>
  <si>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</si>
  <si>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</si>
  <si>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</si>
  <si>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</si>
  <si>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</si>
  <si>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</si>
  <si>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</si>
  <si>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</si>
  <si>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</si>
  <si>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</si>
  <si>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</si>
  <si>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</si>
  <si>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</si>
  <si>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</si>
  <si>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</si>
  <si>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</si>
  <si>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</si>
  <si>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</si>
  <si>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</si>
  <si>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</si>
  <si>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</si>
  <si>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</si>
  <si>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</si>
  <si>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</si>
  <si>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</si>
  <si>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</si>
  <si>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</si>
  <si>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</si>
  <si>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</si>
  <si>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</si>
  <si>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</si>
  <si>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</si>
  <si>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</si>
  <si>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</si>
  <si>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</si>
  <si>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</si>
  <si>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</si>
  <si>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</si>
  <si>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</si>
  <si>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</si>
  <si>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</si>
  <si>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</si>
  <si>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</si>
  <si>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</si>
  <si>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</si>
  <si>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</si>
  <si>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</si>
  <si>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</si>
  <si>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</si>
  <si>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</si>
  <si>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</si>
  <si>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</si>
  <si>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</si>
  <si>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</si>
  <si>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</si>
  <si>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</si>
  <si>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</si>
  <si>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</si>
  <si>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</si>
  <si>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</si>
  <si>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</si>
  <si>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</si>
  <si>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</si>
  <si>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</si>
  <si>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</si>
  <si>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</si>
  <si>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</si>
  <si>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</si>
  <si>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</si>
  <si>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</si>
  <si>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</si>
  <si>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</si>
  <si>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</si>
  <si>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</si>
  <si>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</si>
  <si>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</si>
  <si>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</si>
  <si>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</si>
  <si>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</si>
  <si>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</si>
  <si>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</si>
  <si>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</si>
  <si>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</si>
  <si>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</si>
  <si>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</si>
  <si>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</si>
  <si>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</si>
  <si>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</si>
  <si>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</si>
  <si>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</si>
  <si>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</si>
  <si>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</si>
  <si>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</si>
  <si>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</si>
  <si>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</si>
  <si>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</si>
  <si>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</si>
  <si>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</si>
  <si>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</si>
  <si>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</si>
  <si>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</si>
  <si>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</si>
  <si>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</si>
  <si>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</si>
  <si>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</si>
  <si>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</si>
  <si>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</si>
  <si>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</si>
  <si>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</si>
  <si>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</si>
  <si>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</si>
  <si>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</si>
  <si>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</si>
  <si>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</si>
  <si>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</si>
  <si>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</si>
  <si>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</si>
  <si>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</si>
  <si>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</si>
  <si>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</si>
  <si>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</si>
  <si>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</si>
  <si>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</si>
  <si>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</si>
  <si>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</si>
  <si>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</si>
  <si>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</si>
  <si>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</si>
  <si>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</si>
  <si>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</si>
  <si>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</si>
  <si>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</si>
  <si>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</si>
  <si>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</si>
  <si>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</si>
  <si>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</si>
  <si>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</si>
  <si>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</si>
  <si>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</si>
  <si>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</si>
  <si>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</si>
  <si>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</si>
  <si>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</si>
  <si>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</si>
  <si>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</si>
  <si>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</si>
  <si>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</si>
  <si>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</si>
  <si>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</si>
  <si>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</si>
  <si>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</si>
  <si>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</si>
  <si>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</si>
  <si>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</si>
  <si>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</si>
  <si>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</si>
  <si>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</si>
  <si>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</si>
  <si>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</si>
  <si>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</si>
  <si>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</si>
  <si>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</si>
  <si>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</si>
  <si>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</si>
  <si>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</si>
  <si>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</si>
  <si>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</si>
  <si>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</si>
  <si>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</si>
  <si>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</si>
  <si>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</si>
  <si>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</si>
  <si>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</si>
  <si>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</si>
  <si>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</si>
  <si>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</si>
  <si>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</si>
  <si>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</si>
  <si>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</si>
  <si>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</si>
  <si>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</si>
  <si>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</si>
  <si>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</si>
  <si>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</si>
  <si>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</si>
  <si>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</si>
  <si>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</si>
  <si>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</si>
  <si>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</si>
  <si>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</si>
  <si>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</si>
  <si>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</si>
  <si>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</si>
  <si>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</si>
  <si>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</si>
  <si>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</si>
  <si>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</si>
  <si>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</si>
  <si>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</si>
  <si>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</si>
  <si>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</si>
  <si>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</si>
  <si>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</si>
  <si>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</si>
  <si>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</si>
  <si>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</si>
  <si>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</si>
  <si>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</si>
  <si>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</si>
  <si>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</si>
  <si>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</si>
  <si>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</si>
  <si>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</si>
  <si>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</si>
  <si>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</si>
  <si>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</si>
  <si>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</si>
  <si>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</si>
  <si>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</si>
  <si>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</si>
  <si>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</si>
  <si>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</si>
  <si>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</si>
  <si>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</si>
  <si>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</si>
  <si>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</si>
  <si>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</si>
  <si>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</si>
  <si>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</si>
  <si>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</si>
  <si>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</si>
  <si>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</si>
  <si>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</si>
  <si>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</si>
  <si>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</si>
  <si>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</si>
  <si>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</si>
  <si>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</si>
  <si>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</si>
  <si>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</si>
  <si>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</si>
  <si>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</si>
  <si>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</si>
  <si>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</si>
  <si>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</si>
  <si>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</si>
  <si>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</si>
  <si>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</si>
  <si>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</si>
  <si>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</si>
  <si>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</si>
  <si>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</si>
  <si>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</si>
  <si>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</si>
  <si>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</si>
  <si>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</si>
  <si>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</si>
  <si>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</si>
  <si>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</si>
  <si>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</si>
  <si>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</si>
  <si>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</si>
  <si>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</si>
  <si>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</si>
  <si>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</si>
  <si>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</si>
  <si>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</si>
  <si>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</si>
  <si>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</si>
  <si>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</si>
  <si>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</si>
  <si>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</si>
  <si>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</si>
  <si>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</si>
  <si>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</si>
  <si>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</si>
  <si>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</si>
  <si>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</si>
  <si>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</si>
  <si>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</si>
  <si>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</si>
  <si>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</si>
  <si>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</si>
  <si>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</si>
  <si>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</si>
  <si>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</si>
  <si>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</si>
  <si>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</si>
  <si>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</si>
  <si>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</si>
  <si>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</si>
  <si>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</si>
  <si>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</si>
  <si>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</si>
  <si>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</si>
  <si>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</si>
  <si>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</si>
  <si>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</si>
  <si>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</si>
  <si>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</si>
  <si>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</si>
  <si>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</si>
  <si>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</si>
  <si>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</si>
  <si>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</si>
  <si>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</si>
  <si>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</si>
  <si>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</si>
  <si>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</si>
  <si>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</si>
  <si>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</si>
  <si>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</si>
  <si>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</si>
  <si>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</si>
  <si>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</si>
  <si>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</si>
  <si>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</si>
  <si>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</si>
  <si>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</si>
  <si>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</si>
  <si>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</si>
  <si>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</si>
  <si>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</si>
  <si>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</si>
  <si>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</si>
  <si>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</si>
  <si>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</si>
  <si>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</si>
  <si>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</si>
  <si>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</si>
  <si>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</si>
  <si>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</si>
  <si>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</si>
  <si>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</si>
  <si>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</si>
  <si>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</si>
  <si>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</si>
  <si>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</si>
  <si>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</si>
  <si>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</si>
  <si>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</si>
  <si>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</si>
  <si>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</si>
  <si>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</si>
  <si>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</si>
  <si>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</si>
  <si>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</si>
  <si>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</si>
  <si>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</si>
  <si>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</si>
  <si>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</si>
  <si>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</si>
  <si>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</si>
  <si>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</si>
  <si>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</si>
  <si>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</si>
  <si>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</si>
  <si>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</si>
  <si>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</si>
  <si>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</si>
  <si>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</si>
  <si>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</si>
  <si>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</si>
  <si>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</si>
  <si>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</si>
  <si>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</si>
  <si>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</si>
  <si>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</si>
  <si>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</si>
  <si>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</si>
  <si>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</si>
  <si>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</si>
  <si>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</si>
  <si>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</si>
  <si>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</si>
  <si>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</si>
  <si>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</si>
  <si>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</si>
  <si>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</si>
  <si>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</si>
  <si>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</si>
  <si>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</si>
  <si>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</si>
  <si>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</si>
  <si>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</si>
  <si>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</si>
  <si>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</si>
  <si>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</si>
  <si>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</si>
  <si>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</si>
  <si>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</si>
  <si>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</si>
  <si>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</si>
  <si>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</si>
  <si>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</si>
  <si>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</si>
  <si>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</si>
  <si>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</si>
  <si>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</si>
  <si>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</si>
  <si>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</si>
  <si>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</si>
  <si>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</si>
  <si>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</si>
  <si>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</si>
  <si>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</si>
  <si>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</si>
  <si>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</si>
  <si>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</si>
  <si>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</si>
  <si>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</si>
  <si>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</si>
  <si>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</si>
  <si>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</si>
  <si>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</si>
  <si>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</si>
  <si>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</si>
  <si>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</si>
  <si>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</si>
  <si>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</si>
  <si>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</si>
  <si>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</si>
  <si>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</si>
  <si>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</si>
  <si>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</si>
  <si>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</si>
  <si>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</si>
  <si>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</si>
  <si>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</si>
  <si>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</si>
  <si>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</si>
  <si>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</si>
  <si>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</si>
  <si>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</si>
  <si>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</si>
  <si>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</si>
  <si>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</si>
  <si>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</si>
  <si>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</si>
  <si>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</si>
  <si>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</si>
  <si>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</si>
  <si>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</si>
  <si>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</si>
  <si>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</si>
  <si>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</si>
  <si>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</si>
  <si>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</si>
  <si>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</si>
  <si>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</si>
  <si>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</si>
  <si>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</si>
  <si>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</si>
  <si>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</si>
  <si>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</si>
  <si>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</si>
  <si>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</si>
  <si>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</si>
  <si>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</si>
  <si>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</si>
  <si>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</si>
  <si>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</si>
  <si>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</si>
  <si>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</si>
  <si>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</si>
  <si>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</si>
  <si>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</si>
  <si>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</si>
  <si>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</si>
  <si>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</si>
  <si>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</si>
  <si>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</si>
  <si>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</si>
  <si>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</si>
  <si>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</si>
  <si>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</si>
  <si>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</si>
  <si>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</si>
  <si>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</si>
  <si>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</si>
  <si>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</si>
  <si>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</si>
  <si>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</si>
  <si>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</si>
  <si>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</si>
  <si>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</si>
  <si>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</si>
  <si>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</si>
  <si>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</si>
  <si>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</si>
  <si>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</si>
  <si>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</si>
  <si>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</si>
  <si>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</si>
  <si>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</si>
  <si>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</si>
  <si>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</si>
  <si>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</si>
  <si>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</si>
  <si>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</si>
  <si>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</si>
  <si>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</si>
  <si>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</si>
  <si>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</si>
  <si>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</si>
  <si>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</si>
  <si>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</si>
  <si>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</si>
  <si>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</si>
  <si>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</si>
  <si>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</si>
  <si>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</si>
  <si>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</si>
  <si>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</si>
  <si>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</si>
  <si>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</si>
  <si>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</si>
  <si>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</si>
  <si>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</si>
  <si>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</si>
  <si>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</si>
  <si>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</si>
  <si>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</si>
  <si>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</si>
  <si>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</si>
  <si>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</si>
  <si>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</si>
  <si>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</si>
  <si>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</si>
  <si>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</si>
  <si>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</si>
  <si>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</si>
  <si>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</si>
  <si>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</si>
  <si>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</si>
  <si>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</si>
  <si>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</si>
  <si>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</si>
  <si>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</si>
  <si>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</si>
  <si>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</si>
  <si>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</si>
  <si>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</si>
  <si>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</si>
  <si>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</si>
  <si>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</si>
  <si>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</si>
  <si>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</si>
  <si>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</si>
  <si>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</si>
  <si>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</si>
  <si>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</si>
  <si>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</si>
  <si>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</si>
  <si>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</si>
  <si>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</si>
  <si>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</si>
  <si>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</si>
  <si>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</si>
  <si>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</si>
  <si>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</si>
  <si>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</si>
  <si>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</si>
  <si>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</si>
  <si>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</si>
  <si>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</si>
  <si>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</si>
  <si>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</si>
  <si>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</si>
  <si>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</si>
  <si>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</si>
  <si>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</si>
  <si>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</si>
  <si>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</si>
  <si>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</si>
  <si>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</si>
  <si>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</si>
  <si>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</si>
  <si>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</si>
  <si>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</si>
  <si>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</si>
  <si>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</si>
  <si>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</si>
  <si>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</si>
  <si>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</si>
  <si>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</si>
  <si>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</si>
  <si>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</si>
  <si>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</si>
  <si>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</si>
  <si>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</si>
  <si>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</si>
  <si>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</si>
  <si>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</si>
  <si>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</si>
  <si>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</si>
  <si>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</si>
  <si>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</si>
  <si>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</si>
  <si>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</si>
  <si>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</si>
  <si>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</si>
  <si>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</si>
  <si>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</si>
  <si>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</si>
  <si>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</si>
  <si>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</si>
  <si>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</si>
  <si>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</si>
  <si>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</si>
  <si>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</si>
  <si>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</si>
  <si>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</si>
  <si>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</si>
  <si>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</si>
  <si>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</si>
  <si>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</si>
  <si>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</si>
  <si>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</si>
  <si>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</si>
  <si>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</si>
  <si>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</si>
  <si>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</si>
  <si>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</si>
  <si>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</si>
  <si>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</si>
  <si>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</si>
  <si>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</si>
  <si>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</si>
  <si>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</si>
  <si>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</si>
  <si>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</si>
  <si>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</si>
  <si>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</si>
  <si>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</si>
  <si>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</si>
  <si>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</si>
  <si>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</si>
  <si>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</si>
  <si>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</si>
  <si>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</si>
  <si>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</si>
  <si>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</si>
  <si>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</si>
  <si>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</si>
  <si>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</si>
  <si>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</si>
  <si>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</si>
  <si>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</si>
  <si>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</si>
  <si>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</si>
  <si>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</si>
  <si>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</si>
  <si>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</si>
  <si>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</si>
  <si>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</si>
  <si>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</si>
  <si>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</si>
  <si>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</si>
  <si>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</si>
  <si>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</si>
  <si>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</si>
  <si>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</si>
  <si>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</si>
  <si>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</si>
  <si>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</si>
  <si>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</si>
  <si>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</si>
  <si>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</si>
  <si>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</si>
  <si>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</si>
  <si>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</si>
  <si>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</si>
  <si>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</si>
  <si>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</si>
  <si>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</si>
  <si>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</si>
  <si>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</si>
  <si>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</si>
  <si>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</si>
  <si>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</si>
  <si>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</si>
  <si>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</si>
  <si>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</si>
  <si>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</si>
  <si>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</si>
  <si>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</si>
  <si>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</si>
  <si>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</si>
  <si>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</si>
  <si>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</si>
  <si>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</si>
  <si>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</si>
  <si>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</si>
  <si>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</si>
  <si>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</si>
  <si>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</si>
  <si>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</si>
  <si>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</si>
  <si>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</si>
  <si>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</si>
  <si>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</si>
  <si>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</si>
  <si>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</si>
  <si>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</si>
  <si>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</si>
  <si>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</si>
  <si>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</si>
  <si>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</si>
  <si>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</si>
  <si>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</si>
  <si>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</si>
  <si>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</si>
  <si>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</si>
  <si>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</si>
  <si>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</si>
  <si>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</si>
  <si>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</si>
  <si>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</si>
  <si>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</si>
  <si>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</si>
  <si>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</si>
  <si>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</si>
  <si>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</si>
  <si>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</si>
  <si>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</si>
  <si>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</si>
  <si>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</si>
  <si>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</si>
  <si>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</si>
  <si>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</si>
  <si>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</si>
  <si>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</si>
  <si>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</si>
  <si>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</si>
  <si>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</si>
  <si>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</si>
  <si>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</si>
  <si>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</si>
  <si>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</si>
  <si>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</si>
  <si>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</si>
  <si>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</si>
  <si>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</si>
  <si>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</si>
  <si>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</si>
  <si>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</si>
  <si>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</si>
  <si>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</si>
  <si>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</si>
  <si>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</si>
  <si>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</si>
  <si>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</si>
  <si>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</si>
  <si>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</si>
  <si>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</si>
  <si>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</si>
  <si>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</si>
  <si>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</si>
  <si>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</si>
  <si>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</si>
  <si>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</si>
  <si>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</si>
  <si>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</si>
  <si>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</si>
  <si>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</si>
  <si>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</si>
  <si>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</si>
  <si>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</si>
  <si>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</si>
  <si>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</si>
  <si>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</si>
  <si>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</si>
  <si>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</si>
  <si>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</si>
  <si>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</si>
  <si>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</si>
  <si>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</si>
  <si>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</si>
  <si>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</si>
  <si>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</si>
  <si>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</si>
  <si>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</si>
  <si>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</si>
  <si>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</si>
  <si>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</si>
  <si>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</si>
  <si>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</si>
  <si>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</si>
  <si>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</si>
  <si>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</si>
  <si>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</si>
  <si>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</si>
  <si>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</si>
  <si>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</si>
  <si>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</si>
  <si>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</si>
  <si>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</si>
  <si>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</si>
  <si>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</si>
  <si>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</si>
  <si>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</si>
  <si>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</si>
  <si>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</si>
  <si>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</si>
  <si>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</si>
  <si>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</si>
  <si>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</si>
  <si>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</si>
  <si>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</si>
  <si>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</si>
  <si>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</si>
  <si>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</si>
  <si>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</si>
  <si>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</si>
  <si>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</si>
  <si>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</si>
  <si>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</si>
  <si>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</si>
  <si>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</si>
  <si>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</si>
  <si>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</si>
  <si>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</si>
  <si>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</si>
  <si>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</si>
  <si>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</si>
  <si>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</si>
  <si>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</si>
  <si>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</si>
  <si>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</si>
  <si>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</si>
  <si>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</si>
  <si>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</si>
  <si>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</si>
  <si>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</si>
  <si>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</si>
  <si>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</si>
  <si>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</si>
  <si>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</si>
  <si>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</si>
  <si>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</si>
  <si>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</si>
  <si>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</si>
  <si>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</si>
  <si>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</si>
  <si>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</si>
  <si>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</si>
  <si>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</si>
  <si>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</si>
  <si>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</si>
  <si>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</si>
  <si>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</si>
  <si>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</si>
  <si>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</si>
  <si>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</si>
  <si>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</si>
  <si>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</si>
  <si>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</si>
  <si>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</si>
  <si>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</si>
  <si>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</si>
  <si>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</si>
  <si>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</si>
  <si>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</si>
  <si>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</si>
  <si>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</si>
  <si>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</si>
  <si>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</si>
  <si>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</si>
  <si>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</si>
  <si>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</si>
  <si>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</si>
  <si>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</si>
  <si>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</si>
  <si>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</si>
  <si>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</si>
  <si>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</si>
  <si>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</si>
  <si>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</si>
  <si>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</si>
  <si>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</si>
  <si>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</si>
  <si>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</si>
  <si>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</si>
  <si>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</si>
  <si>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</si>
  <si>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</si>
  <si>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</si>
  <si>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</si>
  <si>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</si>
  <si>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</si>
  <si>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</si>
  <si>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</si>
  <si>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</si>
  <si>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</si>
  <si>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</si>
  <si>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</si>
  <si>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</si>
  <si>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</si>
  <si>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</si>
  <si>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</si>
  <si>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</si>
  <si>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</si>
  <si>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</si>
  <si>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</si>
  <si>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</si>
  <si>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</si>
  <si>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</si>
  <si>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</si>
  <si>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</si>
  <si>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</si>
  <si>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</si>
  <si>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</si>
  <si>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</si>
  <si>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</si>
  <si>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</si>
  <si>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</si>
  <si>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</si>
  <si>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</si>
  <si>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</si>
  <si>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</si>
  <si>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</si>
  <si>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</si>
  <si>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</si>
  <si>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</si>
  <si>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</si>
  <si>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</si>
  <si>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</si>
  <si>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</si>
  <si>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</si>
  <si>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</si>
  <si>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</si>
  <si>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</si>
  <si>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</si>
  <si>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</si>
  <si>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</si>
  <si>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</si>
  <si>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</si>
  <si>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</si>
  <si>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</si>
  <si>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</si>
  <si>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</si>
  <si>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</si>
  <si>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</si>
  <si>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</si>
  <si>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</si>
  <si>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</si>
  <si>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</si>
  <si>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</si>
  <si>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</si>
  <si>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</si>
  <si>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</si>
  <si>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</si>
  <si>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</si>
  <si>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</si>
  <si>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</si>
  <si>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</si>
  <si>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</si>
  <si>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</si>
  <si>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</si>
  <si>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</si>
  <si>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</si>
  <si>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</si>
  <si>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</si>
  <si>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</si>
  <si>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</si>
  <si>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</si>
  <si>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</si>
  <si>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</si>
  <si>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</si>
  <si>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</si>
  <si>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</si>
  <si>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</si>
  <si>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</si>
  <si>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</si>
  <si>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</si>
  <si>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</si>
  <si>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</si>
  <si>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</si>
  <si>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</si>
  <si>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</si>
  <si>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</si>
  <si>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</si>
  <si>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</si>
  <si>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</si>
  <si>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</si>
  <si>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</si>
  <si>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</si>
  <si>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</si>
  <si>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</si>
  <si>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</si>
  <si>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</si>
  <si>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</si>
  <si>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</si>
  <si>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</si>
  <si>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</si>
  <si>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</si>
  <si>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</si>
  <si>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</si>
  <si>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</si>
  <si>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</si>
  <si>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</si>
  <si>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</si>
  <si>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</si>
  <si>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</si>
  <si>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</si>
  <si>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</si>
  <si>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</si>
  <si>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</si>
  <si>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</si>
  <si>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</si>
  <si>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</si>
  <si>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</si>
  <si>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</si>
  <si>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</si>
  <si>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</si>
  <si>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</si>
  <si>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</si>
  <si>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</si>
  <si>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</si>
  <si>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</si>
  <si>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</si>
  <si>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</si>
  <si>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</si>
  <si>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</si>
  <si>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</si>
  <si>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</si>
  <si>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</si>
  <si>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</si>
  <si>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</si>
  <si>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</si>
  <si>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</si>
  <si>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</si>
  <si>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</si>
  <si>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</si>
  <si>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</si>
  <si>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</si>
  <si>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</si>
  <si>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</si>
  <si>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</si>
  <si>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</si>
  <si>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</si>
  <si>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</si>
  <si>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</si>
  <si>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</si>
  <si>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</si>
  <si>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</si>
  <si>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</si>
  <si>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</si>
  <si>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</si>
  <si>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</si>
  <si>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</si>
  <si>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</si>
  <si>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</si>
  <si>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</si>
  <si>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</si>
  <si>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</si>
  <si>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</si>
  <si>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</si>
  <si>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</si>
  <si>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</si>
  <si>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</si>
  <si>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</si>
  <si>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</si>
  <si>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</si>
  <si>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</si>
  <si>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</si>
  <si>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</si>
  <si>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</si>
  <si>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</si>
  <si>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</si>
  <si>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</si>
  <si>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</si>
  <si>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</si>
  <si>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</si>
  <si>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</si>
  <si>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</si>
  <si>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</si>
  <si>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</si>
  <si>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</si>
  <si>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</si>
  <si>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</si>
  <si>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</si>
  <si>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</si>
  <si>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</si>
  <si>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</si>
  <si>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</si>
  <si>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</si>
  <si>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</si>
  <si>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</si>
  <si>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</si>
  <si>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</si>
  <si>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</si>
  <si>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</si>
  <si>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</si>
  <si>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</si>
  <si>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</si>
  <si>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</si>
  <si>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</si>
  <si>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</si>
  <si>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</si>
  <si>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</si>
  <si>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</si>
  <si>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</si>
  <si>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</si>
  <si>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</si>
  <si>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</si>
  <si>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</si>
  <si>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</si>
  <si>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</si>
  <si>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</si>
  <si>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</si>
  <si>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</si>
  <si>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</si>
  <si>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</si>
  <si>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</si>
  <si>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</si>
  <si>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</si>
  <si>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</si>
  <si>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</si>
  <si>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</si>
  <si>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</si>
  <si>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</si>
  <si>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</si>
  <si>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</si>
  <si>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</si>
  <si>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</si>
  <si>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</si>
  <si>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</si>
  <si>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</si>
  <si>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</si>
  <si>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</si>
  <si>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</si>
  <si>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</si>
  <si>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</si>
  <si>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</si>
  <si>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</si>
  <si>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</si>
  <si>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</si>
  <si>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</si>
  <si>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</si>
  <si>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</si>
  <si>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</si>
  <si>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</si>
  <si>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</si>
  <si>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</si>
  <si>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</si>
  <si>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</si>
  <si>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</si>
  <si>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</si>
  <si>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</si>
  <si>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</si>
  <si>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</si>
  <si>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</si>
  <si>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</si>
  <si>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</si>
  <si>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</si>
  <si>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</si>
  <si>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</si>
  <si>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</si>
  <si>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</si>
  <si>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</si>
  <si>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</si>
  <si>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</si>
  <si>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</si>
  <si>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</si>
  <si>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</si>
  <si>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</si>
  <si>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</si>
  <si>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</si>
  <si>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</si>
  <si>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</si>
  <si>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</si>
  <si>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</si>
  <si>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</si>
  <si>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</si>
  <si>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</si>
  <si>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</si>
  <si>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</si>
  <si>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</si>
  <si>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</si>
  <si>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</si>
  <si>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</si>
  <si>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</si>
  <si>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</si>
  <si>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</si>
  <si>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</si>
  <si>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</si>
  <si>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</si>
  <si>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</si>
  <si>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</si>
  <si>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</si>
  <si>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</si>
  <si>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</si>
  <si>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</si>
  <si>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</si>
  <si>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</si>
  <si>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</si>
  <si>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</si>
  <si>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</si>
  <si>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</si>
  <si>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</si>
  <si>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</si>
  <si>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</si>
  <si>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</si>
  <si>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</si>
  <si>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</si>
  <si>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</si>
  <si>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</si>
  <si>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</si>
  <si>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</si>
  <si>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</si>
  <si>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</si>
  <si>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</si>
  <si>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</si>
  <si>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</si>
  <si>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</si>
  <si>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</si>
  <si>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</si>
  <si>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</si>
  <si>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</si>
  <si>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</si>
  <si>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</si>
  <si>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</si>
  <si>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</si>
  <si>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</si>
  <si>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</si>
  <si>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</si>
  <si>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</si>
  <si>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</si>
  <si>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</si>
  <si>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</si>
  <si>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</si>
  <si>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</si>
  <si>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</si>
  <si>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</si>
  <si>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</si>
  <si>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</si>
  <si>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</si>
  <si>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</si>
  <si>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</si>
  <si>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</si>
  <si>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</si>
  <si>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</si>
  <si>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</si>
  <si>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</si>
  <si>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</si>
  <si>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</si>
  <si>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</si>
  <si>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</si>
  <si>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</si>
  <si>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</si>
  <si>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</si>
  <si>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</si>
  <si>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</si>
  <si>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</si>
  <si>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</si>
  <si>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</si>
  <si>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</si>
  <si>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</si>
  <si>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</si>
  <si>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</si>
  <si>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</si>
  <si>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</si>
  <si>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</si>
  <si>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</si>
  <si>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</si>
  <si>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</si>
  <si>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</si>
  <si>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</si>
  <si>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</si>
  <si>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</si>
  <si>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</si>
  <si>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</si>
  <si>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</si>
  <si>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</si>
  <si>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</si>
  <si>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</si>
  <si>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</si>
  <si>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</si>
  <si>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</si>
  <si>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</si>
  <si>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</si>
  <si>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</si>
  <si>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</si>
  <si>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</si>
  <si>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</si>
  <si>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</si>
  <si>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</si>
  <si>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</si>
  <si>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</si>
  <si>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</si>
  <si>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</si>
  <si>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</si>
  <si>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</si>
  <si>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</si>
  <si>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</si>
  <si>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</si>
  <si>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</si>
  <si>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</si>
  <si>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</si>
  <si>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</si>
  <si>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</si>
  <si>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</si>
  <si>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</si>
  <si>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</si>
  <si>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</si>
  <si>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</si>
  <si>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</si>
  <si>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</si>
  <si>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</si>
  <si>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</si>
  <si>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</si>
  <si>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</si>
  <si>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</si>
  <si>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</si>
  <si>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</si>
  <si>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</si>
  <si>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</si>
  <si>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</si>
  <si>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</si>
  <si>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</si>
  <si>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</si>
  <si>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</si>
  <si>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</si>
  <si>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</si>
  <si>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</si>
  <si>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</si>
  <si>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</si>
  <si>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</si>
  <si>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</si>
  <si>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</si>
  <si>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</si>
  <si>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</si>
  <si>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</si>
  <si>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</si>
  <si>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</si>
  <si>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</si>
  <si>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</si>
  <si>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</si>
  <si>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</si>
  <si>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</si>
  <si>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</si>
  <si>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</si>
  <si>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</si>
  <si>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</si>
  <si>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</si>
  <si>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</si>
  <si>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</si>
  <si>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</si>
  <si>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</si>
  <si>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</si>
  <si>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</si>
  <si>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</si>
  <si>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</si>
  <si>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</si>
  <si>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</si>
  <si>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</si>
  <si>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</si>
  <si>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</si>
  <si>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</si>
  <si>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</si>
  <si>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</si>
  <si>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</si>
  <si>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</si>
  <si>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</si>
  <si>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</si>
  <si>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</si>
  <si>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</si>
  <si>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</si>
  <si>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</si>
  <si>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</si>
  <si>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</si>
  <si>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</si>
  <si>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</si>
  <si>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</si>
  <si>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</si>
  <si>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</si>
  <si>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</si>
  <si>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</si>
  <si>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</si>
  <si>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</si>
  <si>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</si>
  <si>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</si>
  <si>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</si>
  <si>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</si>
  <si>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</si>
  <si>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</si>
  <si>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</si>
  <si>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</si>
  <si>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</si>
  <si>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</si>
  <si>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</si>
  <si>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</si>
  <si>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</si>
  <si>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</si>
  <si>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</si>
  <si>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</si>
  <si>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</si>
  <si>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</si>
  <si>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</si>
  <si>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</si>
  <si>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</si>
  <si>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</si>
  <si>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</si>
  <si>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</si>
  <si>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</si>
  <si>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</si>
  <si>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</si>
  <si>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</si>
  <si>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</si>
  <si>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</si>
  <si>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</si>
  <si>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</si>
  <si>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</si>
  <si>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</si>
  <si>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</si>
  <si>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</si>
  <si>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</si>
  <si>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</si>
  <si>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</si>
  <si>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</si>
  <si>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</si>
  <si>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</si>
  <si>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</si>
  <si>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</si>
  <si>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</si>
  <si>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</si>
  <si>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</si>
  <si>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</si>
  <si>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</si>
  <si>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</si>
  <si>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</si>
  <si>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</si>
  <si>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</si>
  <si>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</si>
  <si>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</si>
  <si>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</si>
  <si>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</si>
  <si>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</si>
  <si>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</si>
  <si>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</si>
  <si>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</si>
  <si>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</si>
  <si>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</si>
  <si>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</si>
  <si>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</si>
  <si>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</si>
  <si>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</si>
  <si>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</si>
  <si>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</si>
  <si>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</si>
  <si>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</si>
  <si>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</si>
  <si>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</si>
  <si>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</si>
  <si>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</si>
  <si>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</si>
  <si>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</si>
  <si>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</si>
  <si>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</si>
  <si>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</si>
  <si>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</si>
  <si>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</si>
  <si>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</si>
  <si>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</si>
  <si>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</si>
  <si>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</si>
  <si>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</si>
  <si>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</si>
  <si>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</si>
  <si>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</si>
  <si>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</si>
  <si>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</si>
  <si>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</si>
  <si>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</si>
  <si>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</si>
  <si>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</si>
  <si>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</si>
  <si>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</si>
  <si>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</si>
  <si>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</si>
  <si>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</si>
  <si>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</si>
  <si>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</si>
  <si>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</si>
  <si>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</si>
  <si>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</si>
  <si>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</si>
  <si>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</si>
  <si>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</si>
  <si>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</si>
  <si>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</si>
  <si>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</si>
  <si>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</si>
  <si>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</si>
  <si>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</si>
  <si>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</si>
  <si>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</si>
  <si>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</si>
  <si>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</si>
  <si>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</si>
  <si>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</si>
  <si>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</si>
  <si>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</si>
  <si>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</si>
  <si>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</si>
  <si>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</si>
  <si>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</si>
  <si>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</si>
  <si>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</si>
  <si>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</si>
  <si>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</si>
  <si>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</si>
  <si>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</si>
  <si>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</si>
  <si>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</si>
  <si>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</si>
  <si>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</si>
  <si>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</si>
  <si>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</si>
  <si>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</si>
  <si>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</si>
  <si>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</si>
  <si>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</si>
  <si>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</si>
  <si>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</si>
  <si>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</si>
  <si>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</si>
  <si>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</si>
  <si>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</si>
  <si>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</si>
  <si>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</si>
  <si>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</si>
  <si>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</si>
  <si>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</si>
  <si>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</si>
  <si>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</si>
  <si>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</si>
  <si>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</si>
  <si>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</si>
  <si>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</si>
  <si>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</si>
  <si>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</si>
  <si>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</si>
  <si>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</si>
  <si>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</si>
  <si>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</si>
  <si>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</si>
  <si>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</si>
  <si>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</si>
  <si>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</si>
  <si>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</si>
  <si>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</si>
  <si>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</si>
  <si>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</si>
  <si>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</si>
  <si>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</si>
  <si>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</si>
  <si>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</si>
  <si>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</si>
  <si>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</si>
  <si>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</si>
  <si>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</si>
  <si>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</si>
  <si>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</si>
  <si>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</si>
  <si>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</si>
  <si>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</si>
  <si>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</si>
  <si>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</si>
  <si>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</si>
  <si>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</si>
  <si>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</si>
  <si>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</si>
  <si>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</si>
  <si>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</si>
  <si>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</si>
  <si>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</si>
  <si>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</si>
  <si>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</si>
  <si>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</si>
  <si>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</si>
  <si>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</si>
  <si>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</si>
  <si>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</si>
  <si>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</si>
  <si>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</si>
  <si>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</si>
  <si>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</si>
  <si>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</si>
  <si>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</si>
  <si>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</si>
  <si>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</si>
  <si>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</si>
  <si>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</si>
  <si>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</si>
  <si>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</si>
  <si>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</si>
  <si>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</si>
  <si>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</si>
  <si>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</si>
  <si>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</si>
  <si>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</si>
  <si>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</si>
  <si>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</si>
  <si>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</si>
  <si>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</si>
  <si>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</si>
  <si>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</si>
  <si>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</si>
  <si>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</si>
  <si>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</si>
  <si>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</si>
  <si>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</si>
  <si>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</si>
  <si>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</si>
  <si>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</si>
  <si>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</si>
  <si>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</si>
  <si>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</si>
  <si>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</si>
  <si>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</si>
  <si>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</si>
  <si>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</si>
  <si>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</si>
  <si>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</si>
  <si>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</si>
  <si>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</si>
  <si>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</si>
  <si>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</si>
  <si>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</si>
  <si>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</si>
  <si>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</si>
  <si>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</si>
  <si>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</si>
  <si>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</si>
  <si>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</si>
  <si>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</si>
  <si>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</si>
  <si>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</si>
  <si>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</si>
  <si>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</si>
  <si>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</si>
  <si>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</si>
  <si>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</si>
  <si>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</si>
  <si>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</si>
  <si>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</si>
  <si>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</si>
  <si>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</si>
  <si>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</si>
  <si>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</si>
  <si>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</si>
  <si>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</si>
  <si>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</si>
  <si>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</si>
  <si>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</si>
  <si>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</si>
  <si>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</si>
  <si>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</si>
  <si>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</si>
  <si>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</si>
  <si>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</si>
  <si>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</si>
  <si>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</si>
  <si>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</si>
  <si>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</si>
  <si>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</si>
  <si>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</si>
  <si>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</si>
  <si>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</si>
  <si>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</si>
  <si>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</si>
  <si>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</si>
  <si>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</si>
  <si>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</si>
  <si>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</si>
  <si>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</si>
  <si>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</si>
  <si>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</si>
  <si>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</si>
  <si>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</si>
  <si>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</si>
  <si>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</si>
  <si>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</si>
  <si>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</si>
  <si>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</si>
  <si>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</si>
  <si>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</si>
  <si>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</si>
  <si>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</si>
  <si>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</si>
  <si>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</si>
  <si>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</si>
  <si>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</si>
  <si>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</si>
  <si>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</si>
  <si>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</si>
  <si>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</si>
  <si>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</si>
  <si>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</si>
  <si>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</si>
  <si>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</si>
  <si>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</si>
  <si>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</si>
  <si>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</si>
  <si>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</si>
  <si>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</si>
  <si>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</si>
  <si>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</si>
  <si>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</si>
  <si>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</si>
  <si>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</si>
  <si>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</si>
  <si>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</si>
  <si>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</si>
  <si>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</si>
  <si>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</si>
  <si>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</si>
  <si>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</si>
  <si>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</si>
  <si>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</si>
  <si>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</si>
  <si>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</si>
  <si>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</si>
  <si>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</si>
  <si>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</si>
  <si>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</si>
  <si>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</si>
  <si>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</si>
  <si>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</si>
  <si>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</si>
  <si>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</si>
  <si>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</si>
  <si>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</si>
  <si>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</si>
  <si>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</si>
  <si>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</si>
  <si>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</si>
  <si>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</si>
  <si>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</si>
  <si>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</si>
  <si>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</si>
  <si>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</si>
  <si>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</si>
  <si>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</si>
  <si>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</si>
  <si>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</si>
  <si>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</si>
  <si>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</si>
  <si>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</si>
  <si>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</si>
  <si>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</si>
  <si>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</si>
  <si>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</si>
  <si>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</si>
  <si>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</si>
  <si>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</si>
  <si>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</si>
  <si>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</si>
  <si>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</si>
  <si>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</si>
  <si>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</si>
  <si>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</si>
  <si>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</si>
  <si>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</si>
  <si>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</si>
  <si>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</si>
  <si>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</si>
  <si>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</si>
  <si>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</si>
  <si>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</si>
  <si>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</si>
  <si>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</si>
  <si>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</si>
  <si>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</si>
  <si>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</si>
  <si>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</si>
  <si>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</si>
  <si>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</si>
  <si>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</si>
  <si>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</si>
  <si>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</si>
  <si>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</si>
  <si>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</si>
  <si>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</si>
  <si>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</si>
  <si>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</si>
  <si>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</si>
  <si>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</si>
  <si>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</si>
  <si>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</si>
  <si>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</si>
  <si>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</si>
  <si>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</si>
  <si>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</si>
  <si>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</si>
  <si>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</si>
  <si>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</si>
  <si>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</si>
  <si>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</si>
  <si>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</si>
  <si>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</si>
  <si>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</si>
  <si>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</si>
  <si>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</si>
  <si>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</si>
  <si>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</si>
  <si>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</si>
  <si>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</si>
  <si>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</si>
  <si>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</si>
  <si>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</si>
  <si>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</si>
  <si>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</si>
  <si>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</si>
  <si>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</si>
  <si>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</si>
  <si>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</si>
  <si>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</si>
  <si>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</si>
  <si>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</si>
  <si>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</si>
  <si>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</si>
  <si>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</si>
  <si>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</si>
  <si>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</si>
  <si>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</si>
  <si>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</si>
  <si>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</si>
  <si>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</si>
  <si>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</si>
  <si>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</si>
  <si>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</si>
  <si>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</si>
  <si>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</si>
  <si>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</si>
  <si>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</si>
  <si>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</si>
  <si>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</si>
  <si>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</si>
  <si>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</si>
  <si>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</si>
  <si>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</si>
  <si>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</si>
  <si>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</si>
  <si>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</si>
  <si>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</si>
  <si>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</si>
  <si>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</si>
  <si>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</si>
  <si>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</si>
  <si>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</si>
  <si>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</si>
  <si>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</si>
  <si>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</si>
  <si>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</si>
  <si>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</si>
  <si>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</si>
  <si>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</si>
  <si>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</si>
  <si>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</si>
  <si>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</si>
  <si>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</si>
  <si>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</si>
  <si>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</si>
  <si>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</si>
  <si>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</si>
  <si>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</si>
  <si>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</si>
  <si>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</si>
  <si>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</si>
  <si>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</si>
  <si>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</si>
  <si>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</si>
  <si>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</si>
  <si>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</si>
  <si>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</si>
  <si>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</si>
  <si>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</si>
  <si>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</si>
  <si>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</si>
  <si>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</si>
  <si>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</si>
  <si>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</si>
  <si>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</si>
  <si>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</si>
  <si>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</si>
  <si>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</si>
  <si>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</si>
  <si>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</si>
  <si>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</si>
  <si>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</si>
  <si>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</si>
  <si>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</si>
  <si>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</si>
  <si>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</si>
  <si>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</si>
  <si>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</si>
  <si>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</si>
  <si>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</si>
  <si>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</si>
  <si>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</si>
  <si>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</si>
  <si>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</si>
  <si>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</si>
  <si>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</si>
  <si>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</si>
  <si>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</si>
  <si>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</si>
  <si>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</si>
  <si>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</si>
  <si>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</si>
  <si>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</si>
  <si>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</si>
  <si>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</si>
  <si>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</si>
  <si>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</si>
  <si>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</si>
  <si>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</si>
  <si>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</si>
  <si>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</si>
  <si>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</si>
  <si>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</si>
  <si>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</si>
  <si>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</si>
  <si>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</si>
  <si>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</si>
  <si>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</si>
  <si>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</si>
  <si>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</si>
  <si>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</si>
  <si>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</si>
  <si>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</si>
  <si>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</si>
  <si>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</si>
  <si>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</si>
  <si>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</si>
  <si>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</si>
  <si>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</si>
  <si>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</si>
  <si>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</si>
  <si>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</si>
  <si>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</si>
  <si>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</si>
  <si>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</si>
  <si>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</si>
  <si>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</si>
  <si>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</si>
  <si>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</si>
  <si>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</si>
  <si>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</si>
  <si>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</si>
  <si>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</si>
  <si>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</si>
  <si>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</si>
  <si>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</si>
  <si>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</si>
  <si>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</si>
  <si>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</si>
  <si>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</si>
  <si>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</si>
  <si>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</si>
  <si>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</si>
  <si>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</si>
  <si>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</si>
  <si>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</si>
  <si>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</si>
  <si>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</si>
  <si>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</si>
  <si>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</si>
  <si>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</si>
  <si>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</si>
  <si>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</si>
  <si>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</si>
  <si>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</si>
  <si>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</si>
  <si>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</si>
  <si>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</si>
  <si>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</si>
  <si>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</si>
  <si>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</si>
  <si>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</si>
  <si>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</si>
  <si>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</si>
  <si>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</si>
  <si>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</si>
  <si>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</si>
  <si>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</si>
  <si>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</si>
  <si>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</si>
  <si>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</si>
  <si>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</si>
  <si>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</si>
  <si>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</si>
  <si>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</si>
  <si>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</si>
  <si>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</si>
  <si>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</si>
  <si>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</si>
  <si>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</si>
  <si>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</si>
  <si>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</si>
  <si>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</si>
  <si>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</si>
  <si>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</si>
  <si>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</si>
  <si>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</si>
  <si>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</si>
  <si>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</si>
  <si>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</si>
  <si>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</si>
  <si>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</si>
  <si>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</si>
  <si>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</si>
  <si>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</si>
  <si>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</si>
  <si>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</si>
  <si>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</si>
  <si>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</si>
  <si>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</si>
  <si>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</si>
  <si>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</si>
  <si>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</si>
  <si>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</si>
  <si>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</si>
  <si>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</si>
  <si>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</si>
  <si>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</si>
  <si>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</si>
  <si>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</si>
  <si>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</si>
  <si>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</si>
  <si>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</si>
  <si>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</si>
  <si>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</si>
  <si>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</si>
  <si>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</si>
  <si>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</si>
  <si>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</si>
  <si>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</si>
  <si>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</si>
  <si>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</si>
  <si>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</si>
  <si>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</si>
  <si>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</si>
  <si>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</si>
  <si>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</si>
  <si>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</si>
  <si>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</si>
  <si>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</si>
  <si>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</si>
  <si>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</si>
  <si>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</si>
  <si>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</si>
  <si>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</si>
  <si>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</si>
  <si>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</si>
  <si>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</si>
  <si>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</si>
  <si>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</si>
  <si>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</si>
  <si>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</si>
  <si>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</si>
  <si>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</si>
  <si>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</si>
  <si>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</si>
  <si>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</si>
  <si>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</si>
  <si>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</si>
  <si>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</si>
  <si>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</si>
  <si>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</si>
  <si>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</si>
  <si>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</si>
  <si>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</si>
  <si>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</si>
  <si>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</si>
  <si>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</si>
  <si>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</si>
  <si>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</si>
  <si>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</si>
  <si>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</si>
  <si>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</si>
  <si>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</si>
  <si>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</si>
  <si>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</si>
  <si>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</si>
  <si>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</si>
  <si>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</si>
  <si>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</si>
  <si>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</si>
  <si>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</si>
  <si>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</si>
  <si>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</si>
  <si>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</si>
  <si>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</si>
  <si>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</si>
  <si>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</si>
  <si>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</si>
  <si>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</si>
  <si>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</si>
  <si>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</si>
  <si>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</si>
  <si>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</si>
  <si>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</si>
  <si>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</si>
  <si>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</si>
  <si>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</si>
  <si>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</si>
  <si>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</si>
  <si>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</si>
  <si>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</si>
  <si>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</si>
  <si>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</si>
  <si>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</si>
  <si>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</si>
  <si>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</si>
  <si>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</si>
  <si>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</si>
  <si>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</si>
  <si>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</si>
  <si>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</si>
  <si>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</si>
  <si>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</si>
  <si>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</si>
  <si>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</si>
  <si>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</si>
  <si>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</si>
  <si>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</si>
  <si>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</si>
  <si>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</si>
  <si>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</si>
  <si>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</si>
  <si>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</si>
  <si>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</si>
  <si>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</si>
  <si>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</si>
  <si>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</si>
  <si>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</si>
  <si>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</si>
  <si>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</si>
  <si>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</si>
  <si>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</si>
  <si>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</si>
  <si>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</si>
  <si>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</si>
  <si>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</si>
  <si>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</si>
  <si>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</si>
  <si>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</si>
  <si>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</si>
  <si>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</si>
  <si>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</si>
  <si>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</si>
  <si>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</si>
  <si>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</si>
  <si>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</si>
  <si>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</si>
  <si>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</si>
  <si>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</si>
  <si>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</si>
  <si>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</si>
  <si>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</si>
  <si>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</si>
  <si>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</si>
  <si>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</si>
  <si>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</si>
  <si>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</si>
  <si>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</si>
  <si>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</si>
  <si>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</si>
  <si>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</si>
  <si>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</si>
  <si>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</si>
  <si>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</si>
  <si>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</si>
  <si>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</si>
  <si>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</si>
  <si>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</si>
  <si>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</si>
  <si>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</si>
  <si>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</si>
  <si>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A0180</t>
  </si>
  <si>
    <t>A0181</t>
  </si>
  <si>
    <t>T25112001-6755092</t>
  </si>
  <si>
    <t>PAIPA</t>
  </si>
  <si>
    <t>JOSE</t>
  </si>
  <si>
    <t>ISIDRO</t>
  </si>
  <si>
    <t>SERVICIO NACIONAL DE APRENDIZAJE - SENA</t>
  </si>
  <si>
    <t>T05222002-8049160</t>
  </si>
  <si>
    <t>ANTIOQUIA</t>
  </si>
  <si>
    <t>CAMELO</t>
  </si>
  <si>
    <t>PALENCIA</t>
  </si>
  <si>
    <t>ARMANDO</t>
  </si>
  <si>
    <t>ALBEIRO</t>
  </si>
  <si>
    <t>INCLUYE CERTIFICACIONES</t>
  </si>
  <si>
    <t>T08112000-8689011</t>
  </si>
  <si>
    <t>ATLANTICO</t>
  </si>
  <si>
    <t>HERNANDEZ</t>
  </si>
  <si>
    <t>ARIAS</t>
  </si>
  <si>
    <t>CARLOS</t>
  </si>
  <si>
    <t>JULIO</t>
  </si>
  <si>
    <t>99-0155</t>
  </si>
  <si>
    <t>T25112001-10229432</t>
  </si>
  <si>
    <t>VALENCIA</t>
  </si>
  <si>
    <t>TORO</t>
  </si>
  <si>
    <t>FERNANDO</t>
  </si>
  <si>
    <t>T25112001-13926000</t>
  </si>
  <si>
    <t>DUARTE</t>
  </si>
  <si>
    <t>CRISTOBAL</t>
  </si>
  <si>
    <t>T25092002-17083879</t>
  </si>
  <si>
    <t>VELASQUEZ</t>
  </si>
  <si>
    <t>TORRES</t>
  </si>
  <si>
    <t>ALBINO</t>
  </si>
  <si>
    <t>T25112001-17158391</t>
  </si>
  <si>
    <t>CORREA</t>
  </si>
  <si>
    <t>MANUEL</t>
  </si>
  <si>
    <t>T25112001-17328877</t>
  </si>
  <si>
    <t>RINCON</t>
  </si>
  <si>
    <t>CORTES</t>
  </si>
  <si>
    <t>JORGE</t>
  </si>
  <si>
    <t>ELIECER</t>
  </si>
  <si>
    <t>T25112001-19087864</t>
  </si>
  <si>
    <t>ACEVEDO</t>
  </si>
  <si>
    <t>QUINTERO</t>
  </si>
  <si>
    <t>CAMPO</t>
  </si>
  <si>
    <t>ELIAS</t>
  </si>
  <si>
    <t>T25061998-19406546</t>
  </si>
  <si>
    <t>MARTIN</t>
  </si>
  <si>
    <t>MARTINEZ</t>
  </si>
  <si>
    <t>IGNACIO</t>
  </si>
  <si>
    <t>ABDON</t>
  </si>
  <si>
    <t>TIENE ACTA COMITÉ DE TECNICOS</t>
  </si>
  <si>
    <t>T63112001-41940281</t>
  </si>
  <si>
    <t>QUINDIO</t>
  </si>
  <si>
    <t>LOPEZ</t>
  </si>
  <si>
    <t>CALDERON</t>
  </si>
  <si>
    <t>ANGELA</t>
  </si>
  <si>
    <t>MARIA</t>
  </si>
  <si>
    <t>T25042001-79116470</t>
  </si>
  <si>
    <t>GAITAN</t>
  </si>
  <si>
    <t>REY</t>
  </si>
  <si>
    <t>NESTOR</t>
  </si>
  <si>
    <t>T25082001-79151495</t>
  </si>
  <si>
    <t>FLOREZ</t>
  </si>
  <si>
    <t>ABRAHAM</t>
  </si>
  <si>
    <t>NO TIENE COPIA CEDULA</t>
  </si>
  <si>
    <t>T25112001-79203047</t>
  </si>
  <si>
    <t>GONZALEZ</t>
  </si>
  <si>
    <t>JIMENEZ</t>
  </si>
  <si>
    <t>ORLANDO</t>
  </si>
  <si>
    <t>T25112001-79245500</t>
  </si>
  <si>
    <t>HERRERA</t>
  </si>
  <si>
    <t>VEGA</t>
  </si>
  <si>
    <t>EDGAR</t>
  </si>
  <si>
    <t>T25112001-79250312</t>
  </si>
  <si>
    <t>MESA</t>
  </si>
  <si>
    <t>CAMACHO</t>
  </si>
  <si>
    <t>PEDRO</t>
  </si>
  <si>
    <t>ANTONIO</t>
  </si>
  <si>
    <t>T25112000-79461801</t>
  </si>
  <si>
    <t>CUESTA</t>
  </si>
  <si>
    <t>WILSON</t>
  </si>
  <si>
    <t>SIN FOTO</t>
  </si>
  <si>
    <t>T25232003-80399966</t>
  </si>
  <si>
    <t>CARRERO</t>
  </si>
  <si>
    <t>LUIS</t>
  </si>
  <si>
    <t>EDUARDO</t>
  </si>
  <si>
    <t>T05132001-98610835</t>
  </si>
  <si>
    <t>MENA</t>
  </si>
  <si>
    <t>TAPIAS</t>
  </si>
  <si>
    <t>FREDY</t>
  </si>
  <si>
    <t>T25152001-79518527</t>
  </si>
  <si>
    <t>GUIZA</t>
  </si>
  <si>
    <t>RUIZ</t>
  </si>
  <si>
    <t>VICTOR</t>
  </si>
  <si>
    <t>DANIEL</t>
  </si>
  <si>
    <t>T25212001-79538465</t>
  </si>
  <si>
    <t>SOLINA</t>
  </si>
  <si>
    <t>JHON</t>
  </si>
  <si>
    <t>EMILIO</t>
  </si>
  <si>
    <t>T25232001-79435664</t>
  </si>
  <si>
    <t>PAREJA</t>
  </si>
  <si>
    <t>CASTAÑO</t>
  </si>
  <si>
    <t>DIEGO</t>
  </si>
  <si>
    <t>SGC2001DE00101</t>
  </si>
  <si>
    <t>INCLUYE COPIA DEL TITULO COMO TECNICO EN CONTRUCCION Y CERTIFICACIONES</t>
  </si>
  <si>
    <t>T25232003-79860591</t>
  </si>
  <si>
    <t>QUIMBAYO</t>
  </si>
  <si>
    <t>ORTIZ</t>
  </si>
  <si>
    <t>LEONEL</t>
  </si>
  <si>
    <t>ALBERTO</t>
  </si>
  <si>
    <t>T25222002-19444132</t>
  </si>
  <si>
    <t>LUCIO</t>
  </si>
  <si>
    <t>SGC2002DE00021</t>
  </si>
  <si>
    <t>T25202002-79904964</t>
  </si>
  <si>
    <t>RODRIGO</t>
  </si>
  <si>
    <t>SGC2002DE00035</t>
  </si>
  <si>
    <t>T27012002-26259320</t>
  </si>
  <si>
    <t>RENGIFO</t>
  </si>
  <si>
    <t>RIVAS</t>
  </si>
  <si>
    <t>EVA</t>
  </si>
  <si>
    <t>ELVIRA</t>
  </si>
  <si>
    <t>T25192002-79915921</t>
  </si>
  <si>
    <t>BECERRA</t>
  </si>
  <si>
    <t>RODRIGUEZ</t>
  </si>
  <si>
    <t>ENRIQUE</t>
  </si>
  <si>
    <t>A25882008-79716128</t>
  </si>
  <si>
    <t>WILLIAM</t>
  </si>
  <si>
    <t>T25032003-11348104</t>
  </si>
  <si>
    <t>CASTAÑEDA</t>
  </si>
  <si>
    <t>POVEDA</t>
  </si>
  <si>
    <t>RAFAEL</t>
  </si>
  <si>
    <t>T25032003-74359265</t>
  </si>
  <si>
    <t>CORREDOR</t>
  </si>
  <si>
    <t>YAGAMA</t>
  </si>
  <si>
    <t>LIBANO</t>
  </si>
  <si>
    <t>RAMIRO</t>
  </si>
  <si>
    <t>T25172003-51948337</t>
  </si>
  <si>
    <t>CELY</t>
  </si>
  <si>
    <t>PLAZAS</t>
  </si>
  <si>
    <t>GLORIA</t>
  </si>
  <si>
    <t>ESPERANZA</t>
  </si>
  <si>
    <t>F</t>
  </si>
  <si>
    <t>T25012002-74359478</t>
  </si>
  <si>
    <t>PARRA</t>
  </si>
  <si>
    <t>WILL</t>
  </si>
  <si>
    <t>FREDDY</t>
  </si>
  <si>
    <t>T25242009-79887470</t>
  </si>
  <si>
    <t>SANCHEZ</t>
  </si>
  <si>
    <t>OCAMPO</t>
  </si>
  <si>
    <t>CARLO</t>
  </si>
  <si>
    <t>GRACIAN</t>
  </si>
  <si>
    <t>OJO EN LA RESOLUCION DICE QUE SE LE OTORGÓ MP COMO TECNICO PROFESIONAL EN DIBUJO ARQUITECTONICO</t>
  </si>
  <si>
    <t>T25112001-11345369</t>
  </si>
  <si>
    <t>CASTILLO</t>
  </si>
  <si>
    <t>VALBUENA</t>
  </si>
  <si>
    <t>ABEL</t>
  </si>
  <si>
    <t>T25192002-17589158</t>
  </si>
  <si>
    <t>OSORIO</t>
  </si>
  <si>
    <t>BARRIENTOS</t>
  </si>
  <si>
    <t>IVAN</t>
  </si>
  <si>
    <t>T25052001-40430396</t>
  </si>
  <si>
    <t>PEREZ</t>
  </si>
  <si>
    <t>MONTAÑO</t>
  </si>
  <si>
    <t>MARTHA</t>
  </si>
  <si>
    <t>LILIANA</t>
  </si>
  <si>
    <t>T25052003-4436664</t>
  </si>
  <si>
    <t>PINEDA</t>
  </si>
  <si>
    <t>GARCIA</t>
  </si>
  <si>
    <t>JUAN</t>
  </si>
  <si>
    <t>FRANCISCO</t>
  </si>
  <si>
    <t>SGC2002DP00019</t>
  </si>
  <si>
    <t>ORIGINALMENTE NO REGISTRA MATRÍCULA / INCLUYE CERTIFICACIONES</t>
  </si>
  <si>
    <t>T25162003-10177954</t>
  </si>
  <si>
    <t>HUERTAS</t>
  </si>
  <si>
    <t>RAMIREZ</t>
  </si>
  <si>
    <t>SGC2002DP00021</t>
  </si>
  <si>
    <t>T25162003-10173970</t>
  </si>
  <si>
    <t>ROMERO</t>
  </si>
  <si>
    <t>DONATO</t>
  </si>
  <si>
    <t>SGC2002DP00020</t>
  </si>
  <si>
    <t>T25182003-7506224</t>
  </si>
  <si>
    <t>HERNAN</t>
  </si>
  <si>
    <t>SGC2002DP00008</t>
  </si>
  <si>
    <t>T17192003-16160299</t>
  </si>
  <si>
    <t>CALDAS</t>
  </si>
  <si>
    <t>NAVARRETE</t>
  </si>
  <si>
    <t>T25061998-97490018</t>
  </si>
  <si>
    <t>BRAVO</t>
  </si>
  <si>
    <t>MENESES</t>
  </si>
  <si>
    <t>EBERTO</t>
  </si>
  <si>
    <t>LIBARDO</t>
  </si>
  <si>
    <t>NO TIENE FOTO / INCLUYE CERTIFICACIONES / REGISTRO COMITÉ DE TECNICOS CONSTRUCTORES (09-4423)</t>
  </si>
  <si>
    <t>T05132001-4248459</t>
  </si>
  <si>
    <t>DAZA</t>
  </si>
  <si>
    <t>FUE ADICIONADO A LA RESOLUCION 13 DEL 11/06/2001 MEDIANTE RESOLUCION ACLARATORIA No. 082 DEL 29 DE AGOSTO DE 2014</t>
  </si>
  <si>
    <t>T63052002-18435251</t>
  </si>
  <si>
    <t>RISARALDA</t>
  </si>
  <si>
    <t>GUERRERO</t>
  </si>
  <si>
    <t>ALDEMAR</t>
  </si>
  <si>
    <t>FUE ADICIONADO A LA RESOLUCION 05 DEL 18/03/2002 MEDIANTE RESOLUCION ACLARATORIA No. 081 DEL 29 DE AGOSTO DE 2014</t>
  </si>
  <si>
    <t>ANGEL</t>
  </si>
  <si>
    <t>YASNO</t>
  </si>
  <si>
    <t>HUMBERTO</t>
  </si>
  <si>
    <t>TOLIMA</t>
  </si>
  <si>
    <t xml:space="preserve">
Ministerio de Agricultura y Desarrollo Rural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</si>
</sst>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d/mm/yyyy"/>
  </numFmts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209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49" fontId="0" fillId="0" borderId="5" xfId="0" applyNumberFormat="1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5" fontId="0" fillId="0" borderId="5" xfId="0" applyNumberFormat="1" applyFill="1" applyBorder="1" applyAlignment="1">
      <alignment horizontal="center" vertical="center" wrapText="1"/>
    </xf>
    <xf numFmtId="165" fontId="0" fillId="0" borderId="2" xfId="0" applyNumberForma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14" fontId="0" fillId="0" borderId="2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 applyProtection="1">
      <alignment horizontal="center" vertical="center" wrapText="1"/>
    </xf>
    <xf numFmtId="1" fontId="0" fillId="0" borderId="5" xfId="0" applyNumberFormat="1" applyFill="1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center" vertical="center" wrapText="1"/>
    </xf>
    <xf numFmtId="14" fontId="0" fillId="0" borderId="5" xfId="0" applyNumberFormat="1" applyFill="1" applyBorder="1" applyAlignment="1">
      <alignment horizontal="center" vertical="center" wrapText="1"/>
    </xf>
    <xf numFmtId="0" fontId="0" fillId="0" borderId="19" xfId="0" applyNumberFormat="1" applyFill="1" applyBorder="1" applyAlignment="1">
      <alignment horizontal="center" vertical="center" wrapText="1"/>
    </xf>
    <xf numFmtId="0" fontId="0" fillId="0" borderId="5" xfId="0" applyNumberFormat="1" applyFill="1" applyBorder="1" applyAlignment="1" applyProtection="1">
      <alignment horizontal="center" vertical="center" wrapText="1"/>
    </xf>
    <xf numFmtId="0" fontId="0" fillId="0" borderId="5" xfId="0" applyNumberFormat="1" applyFill="1" applyBorder="1" applyAlignment="1">
      <alignment horizontal="center" vertical="center" wrapText="1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48" totalsRowShown="0" headerRowDxfId="30" dataDxfId="29" headerRowBorderDxfId="27" tableBorderDxfId="28" totalsRowBorderDxfId="26">
  <autoFilter ref="A1:Z48"/>
  <sortState ref="A2:R50">
    <sortCondition ref="A1:A50"/>
  </sortState>
  <tableColumns count="26">
    <tableColumn id="18" name="No" dataDxfId="25"/>
    <tableColumn id="1" name="MATRICULA" dataDxfId="24"/>
    <tableColumn id="2" name="SECCIONAL" dataDxfId="23"/>
    <tableColumn id="3" name="NUMERO RESOLUCION SECCIONAL" dataDxfId="22"/>
    <tableColumn id="4" name="AÑO RES.SECCIONAL" dataDxfId="21"/>
    <tableColumn id="22" name="RES.SECCIONAL" dataDxfId="20"/>
    <tableColumn id="5" name="RESOLUCION NACIONAL" dataDxfId="19"/>
    <tableColumn id="6" name="FECHA RES NACIONAL" dataDxfId="18"/>
    <tableColumn id="23" name="TIPO RES NACIONAL" dataDxfId="17"/>
    <tableColumn id="20" name="Primer Apellido" dataDxfId="16"/>
    <tableColumn id="7" name="Segundo Apellido" dataDxfId="15"/>
    <tableColumn id="21" name="Primer Nombre" dataDxfId="14"/>
    <tableColumn id="8" name="Segundo Nombre" dataDxfId="13"/>
    <tableColumn id="9" name="TI" dataDxfId="12"/>
    <tableColumn id="10" name="ID" dataDxfId="11"/>
    <tableColumn id="24" name="Sexo" dataDxfId="10"/>
    <tableColumn id="25" name="Fecha Nacimiento" dataDxfId="9"/>
    <tableColumn id="11" name="PROFESION" dataDxfId="8"/>
    <tableColumn id="12" name="UNIVERSIDAD" dataDxfId="7"/>
    <tableColumn id="13" name="ACTA GRADO" dataDxfId="6"/>
    <tableColumn id="14" name="FECHA GRADO" dataDxfId="5"/>
    <tableColumn id="15" name="FOLIOS" dataDxfId="4"/>
    <tableColumn id="17" name="SEDE" dataDxfId="3"/>
    <tableColumn id="16" name="OBSERVACIONES.. Mtobservaciones" dataDxfId="2"/>
    <tableColumn id="19" name="HOMOLOGA" dataDxfId="1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75" dataDxfId="73" headerRowBorderDxfId="74" tableBorderDxfId="72">
  <sortState ref="A9:S45">
    <sortCondition ref="D4:D41"/>
  </sortState>
  <tableColumns count="19">
    <tableColumn id="1" name="No.  consecutivo" dataDxfId="71"/>
    <tableColumn id="20" name="Codigo" dataDxfId="70" dataCellStyle="Normal 2"/>
    <tableColumn id="2" name="NOMBRE DE LA SERIE O CONTENIDO" dataDxfId="69"/>
    <tableColumn id="18" name="Columna1" dataDxfId="68" dataCellStyle="Normal"/>
    <tableColumn id="3" name="Desde" dataDxfId="67"/>
    <tableColumn id="4" name="Hasta" dataDxfId="66"/>
    <tableColumn id="5" name="Inicial" dataDxfId="65"/>
    <tableColumn id="6" name="Final" dataDxfId="64"/>
    <tableColumn id="7" name="Tomo / Vol" dataDxfId="63"/>
    <tableColumn id="8" name="Ca" dataDxfId="62"/>
    <tableColumn id="9" name="Lg" dataDxfId="61"/>
    <tableColumn id="22" name="Az" dataDxfId="60" dataCellStyle="Normal 3"/>
    <tableColumn id="10" name="Em" dataDxfId="59"/>
    <tableColumn id="11" name="Cj" dataDxfId="58"/>
    <tableColumn id="21" name="MT" dataDxfId="57" dataCellStyle="Normal 3"/>
    <tableColumn id="14" name="Folios / Series Cons" dataDxfId="56">
      <calculatedColumnFormula>IF(F9="","",IF(ISERR(F9-E9)=TRUE,"",F9-E9+1))</calculatedColumnFormula>
    </tableColumn>
    <tableColumn id="15" name="Observaciones" dataDxfId="55"/>
    <tableColumn id="17" name="No. Caja*" dataDxfId="54"/>
    <tableColumn id="16" name="Proced*" dataDxfId="5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52" dataDxfId="51" tableBorderDxfId="50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49" dataCellStyle="Normal 3"/>
    <tableColumn id="20" name="NO" dataDxfId="48" dataCellStyle="Normal 3"/>
    <tableColumn id="3" name="MATRICULA" dataDxfId="47" dataCellStyle="Normal 3"/>
    <tableColumn id="4" name="SECCIONAL" dataDxfId="46" dataCellStyle="Normal 3"/>
    <tableColumn id="5" name="RESOLUCION SECCIONAL" dataDxfId="45" dataCellStyle="Normal 3"/>
    <tableColumn id="6" name="FECHA RES.SECCIONAL" dataDxfId="44" dataCellStyle="Normal 3"/>
    <tableColumn id="7" name="RESOLUCION NACIONAL" dataDxfId="43" dataCellStyle="Normal 3"/>
    <tableColumn id="8" name="FECHA RES NACIONAL" dataDxfId="42" dataCellStyle="Normal 3"/>
    <tableColumn id="9" name="APELLIDOS" dataDxfId="41" dataCellStyle="Normal 3"/>
    <tableColumn id="10" name="NOMBRE " dataDxfId="40" dataCellStyle="Normal 3"/>
    <tableColumn id="11" name="TI" dataDxfId="39" dataCellStyle="Normal 3"/>
    <tableColumn id="12" name="ID" dataDxfId="38" dataCellStyle="Normal 3"/>
    <tableColumn id="13" name="PROFESION" dataDxfId="37" dataCellStyle="Normal 3"/>
    <tableColumn id="14" name="UNIVERSIDAD" dataDxfId="36" dataCellStyle="Normal 3"/>
    <tableColumn id="15" name="ACTA GRADO" dataDxfId="35" dataCellStyle="Normal 3"/>
    <tableColumn id="16" name="FECHA GRADO" dataDxfId="34" dataCellStyle="Normal 3"/>
    <tableColumn id="17" name="TIPO" dataDxfId="33" dataCellStyle="Normal 3"/>
    <tableColumn id="18" name="FOLIOS" dataDxfId="32" dataCellStyle="Normal 3"/>
    <tableColumn id="19" name="OBSERVACIONES" dataDxfId="31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48"/>
  <sheetViews>
    <sheetView tabSelected="1" zoomScaleNormal="100" workbookViewId="0">
      <selection activeCell="AA20" sqref="AA20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21" style="114" customWidth="1"/>
    <col min="26" max="26" width="18.7109375" style="114" customWidth="1"/>
    <col min="27" max="16384" width="11.42578125" style="114"/>
  </cols>
  <sheetData>
    <row r="1" spans="1:26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6" s="120" customFormat="1" x14ac:dyDescent="0.25">
      <c r="A2" s="121">
        <v>1</v>
      </c>
      <c r="B2" s="123" t="s">
        <v>10519</v>
      </c>
      <c r="C2" s="115" t="s">
        <v>7346</v>
      </c>
      <c r="D2" s="123"/>
      <c r="E2" s="125"/>
      <c r="F2" s="123"/>
      <c r="G2" s="124">
        <v>650141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40000005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  <row r="3" spans="1:26" x14ac:dyDescent="0.25">
      <c r="A3" s="121">
        <v>2</v>
      </c>
      <c r="B3" s="123" t="s">
        <v>10520</v>
      </c>
      <c r="C3" s="115" t="s">
        <v>7346</v>
      </c>
      <c r="D3" s="123"/>
      <c r="E3" s="125" t="s">
        <v>3321</v>
      </c>
      <c r="F3" s="123"/>
      <c r="G3" s="124">
        <v>650143</v>
      </c>
      <c r="H3" s="119">
        <v>42126</v>
      </c>
      <c r="I3" s="125">
        <v>3</v>
      </c>
      <c r="J3" s="115" t="s">
        <v>10515</v>
      </c>
      <c r="K3" s="115" t="s">
        <v>10516</v>
      </c>
      <c r="L3" s="115" t="s">
        <v>10517</v>
      </c>
      <c r="M3" s="115" t="s">
        <v>10518</v>
      </c>
      <c r="N3" s="115" t="s">
        <v>10494</v>
      </c>
      <c r="O3" s="115">
        <v>40000008</v>
      </c>
      <c r="P3" s="115" t="s">
        <v>10501</v>
      </c>
      <c r="Q3" s="119">
        <v>29953</v>
      </c>
      <c r="R3" s="115" t="s">
        <v>7365</v>
      </c>
      <c r="S3" s="115" t="s">
        <v>8668</v>
      </c>
      <c r="T3" s="118">
        <v>20001315</v>
      </c>
      <c r="U3" s="119">
        <v>36795</v>
      </c>
      <c r="V3" s="115">
        <v>7</v>
      </c>
      <c r="W3" s="115" t="s">
        <v>7346</v>
      </c>
      <c r="X3" s="122"/>
      <c r="Y3" s="128">
        <f>VLOOKUP(Z3,CHOOSE({2,1},Tabla__192.168.100.130_SQLCOPNIA_COPNIA_ParametrosGenerales[idParametro],Tabla__192.168.100.130_SQLCOPNIA_COPNIA_ParametrosGenerales[Parametro]),2,0)</f>
        <v>1047</v>
      </c>
      <c r="Z3" s="126" t="s">
        <v>10506</v>
      </c>
    </row>
    <row r="4" spans="1:26" ht="30" x14ac:dyDescent="0.25">
      <c r="A4" s="121">
        <v>3</v>
      </c>
      <c r="B4" s="123" t="s">
        <v>10521</v>
      </c>
      <c r="C4" s="123" t="s">
        <v>7346</v>
      </c>
      <c r="D4" s="123"/>
      <c r="E4" s="125"/>
      <c r="F4" s="194"/>
      <c r="G4" s="123">
        <v>11</v>
      </c>
      <c r="H4" s="196">
        <v>37018</v>
      </c>
      <c r="I4" s="197">
        <v>2</v>
      </c>
      <c r="J4" s="197" t="s">
        <v>10522</v>
      </c>
      <c r="K4" s="199"/>
      <c r="L4" s="199" t="s">
        <v>10523</v>
      </c>
      <c r="M4" s="115" t="s">
        <v>10524</v>
      </c>
      <c r="N4" s="115" t="s">
        <v>10494</v>
      </c>
      <c r="O4" s="115">
        <v>6755092</v>
      </c>
      <c r="P4" s="199" t="s">
        <v>10501</v>
      </c>
      <c r="Q4" s="199"/>
      <c r="R4" s="115" t="s">
        <v>7335</v>
      </c>
      <c r="S4" s="115" t="s">
        <v>10525</v>
      </c>
      <c r="T4" s="115">
        <v>2000.1327000000001</v>
      </c>
      <c r="U4" s="119">
        <v>36794</v>
      </c>
      <c r="V4" s="115">
        <v>7</v>
      </c>
      <c r="W4" s="115" t="s">
        <v>7346</v>
      </c>
      <c r="X4" s="122"/>
      <c r="Y4" s="202">
        <f>VLOOKUP(Z4,CHOOSE({2,1},Tabla__192.168.100.130_SQLCOPNIA_COPNIA_ParametrosGenerales[idParametro],Tabla__192.168.100.130_SQLCOPNIA_COPNIA_ParametrosGenerales[Parametro]),2,0)</f>
        <v>1046</v>
      </c>
      <c r="Z4" s="124" t="s">
        <v>10505</v>
      </c>
    </row>
    <row r="5" spans="1:26" ht="30" x14ac:dyDescent="0.25">
      <c r="A5" s="121">
        <v>4</v>
      </c>
      <c r="B5" s="123" t="s">
        <v>10526</v>
      </c>
      <c r="C5" s="123" t="s">
        <v>10527</v>
      </c>
      <c r="D5" s="123"/>
      <c r="E5" s="125"/>
      <c r="F5" s="195"/>
      <c r="G5" s="123">
        <v>22</v>
      </c>
      <c r="H5" s="196">
        <v>37550</v>
      </c>
      <c r="I5" s="198">
        <v>2</v>
      </c>
      <c r="J5" s="198" t="s">
        <v>10528</v>
      </c>
      <c r="K5" s="200" t="s">
        <v>10529</v>
      </c>
      <c r="L5" s="200" t="s">
        <v>10530</v>
      </c>
      <c r="M5" s="115" t="s">
        <v>10531</v>
      </c>
      <c r="N5" s="115" t="s">
        <v>10494</v>
      </c>
      <c r="O5" s="115">
        <v>8049160</v>
      </c>
      <c r="P5" s="200" t="s">
        <v>10501</v>
      </c>
      <c r="Q5" s="201">
        <v>27141</v>
      </c>
      <c r="R5" s="115" t="s">
        <v>7336</v>
      </c>
      <c r="S5" s="115" t="s">
        <v>10525</v>
      </c>
      <c r="T5" s="115">
        <v>519</v>
      </c>
      <c r="U5" s="119">
        <v>35972</v>
      </c>
      <c r="V5" s="115">
        <v>10</v>
      </c>
      <c r="W5" s="115" t="s">
        <v>7346</v>
      </c>
      <c r="X5" s="122" t="s">
        <v>10532</v>
      </c>
      <c r="Y5" s="202">
        <f>VLOOKUP(Z5,CHOOSE({2,1},Tabla__192.168.100.130_SQLCOPNIA_COPNIA_ParametrosGenerales[idParametro],Tabla__192.168.100.130_SQLCOPNIA_COPNIA_ParametrosGenerales[Parametro]),2,0)</f>
        <v>1048</v>
      </c>
      <c r="Z5" s="124" t="s">
        <v>10507</v>
      </c>
    </row>
    <row r="6" spans="1:26" ht="30" x14ac:dyDescent="0.25">
      <c r="A6" s="121">
        <v>5</v>
      </c>
      <c r="B6" s="123" t="s">
        <v>10533</v>
      </c>
      <c r="C6" s="123" t="s">
        <v>10534</v>
      </c>
      <c r="D6" s="123"/>
      <c r="E6" s="125"/>
      <c r="F6" s="195"/>
      <c r="G6" s="123">
        <v>11</v>
      </c>
      <c r="H6" s="196">
        <v>36766</v>
      </c>
      <c r="I6" s="198">
        <v>2</v>
      </c>
      <c r="J6" s="198" t="s">
        <v>10535</v>
      </c>
      <c r="K6" s="200" t="s">
        <v>10536</v>
      </c>
      <c r="L6" s="200" t="s">
        <v>10537</v>
      </c>
      <c r="M6" s="115" t="s">
        <v>10538</v>
      </c>
      <c r="N6" s="115" t="s">
        <v>10494</v>
      </c>
      <c r="O6" s="115">
        <v>8689011</v>
      </c>
      <c r="P6" s="200" t="s">
        <v>10501</v>
      </c>
      <c r="Q6" s="200"/>
      <c r="R6" s="115" t="s">
        <v>7336</v>
      </c>
      <c r="S6" s="115" t="s">
        <v>10525</v>
      </c>
      <c r="T6" s="115" t="s">
        <v>10539</v>
      </c>
      <c r="U6" s="119">
        <v>36266</v>
      </c>
      <c r="V6" s="115">
        <v>5</v>
      </c>
      <c r="W6" s="115" t="s">
        <v>10534</v>
      </c>
      <c r="X6" s="122"/>
      <c r="Y6" s="202">
        <f>VLOOKUP(Z6,CHOOSE({2,1},Tabla__192.168.100.130_SQLCOPNIA_COPNIA_ParametrosGenerales[idParametro],Tabla__192.168.100.130_SQLCOPNIA_COPNIA_ParametrosGenerales[Parametro]),2,0)</f>
        <v>1048</v>
      </c>
      <c r="Z6" s="124" t="s">
        <v>10507</v>
      </c>
    </row>
    <row r="7" spans="1:26" x14ac:dyDescent="0.25">
      <c r="A7" s="121">
        <v>6</v>
      </c>
      <c r="B7" s="123" t="s">
        <v>10540</v>
      </c>
      <c r="C7" s="123" t="s">
        <v>7346</v>
      </c>
      <c r="D7" s="123"/>
      <c r="E7" s="125"/>
      <c r="F7" s="195"/>
      <c r="G7" s="123">
        <v>11</v>
      </c>
      <c r="H7" s="196">
        <v>37018</v>
      </c>
      <c r="I7" s="198">
        <v>2</v>
      </c>
      <c r="J7" s="198" t="s">
        <v>10541</v>
      </c>
      <c r="K7" s="200" t="s">
        <v>10542</v>
      </c>
      <c r="L7" s="200" t="s">
        <v>10523</v>
      </c>
      <c r="M7" s="115" t="s">
        <v>10543</v>
      </c>
      <c r="N7" s="115" t="s">
        <v>10494</v>
      </c>
      <c r="O7" s="115">
        <v>10229432</v>
      </c>
      <c r="P7" s="200" t="s">
        <v>10501</v>
      </c>
      <c r="Q7" s="200"/>
      <c r="R7" s="115" t="s">
        <v>7335</v>
      </c>
      <c r="S7" s="115" t="s">
        <v>10525</v>
      </c>
      <c r="T7" s="115">
        <v>2000.1332</v>
      </c>
      <c r="U7" s="119">
        <v>36794</v>
      </c>
      <c r="V7" s="115">
        <v>7</v>
      </c>
      <c r="W7" s="115" t="s">
        <v>7346</v>
      </c>
      <c r="X7" s="122"/>
      <c r="Y7" s="202">
        <f>VLOOKUP(Z7,CHOOSE({2,1},Tabla__192.168.100.130_SQLCOPNIA_COPNIA_ParametrosGenerales[idParametro],Tabla__192.168.100.130_SQLCOPNIA_COPNIA_ParametrosGenerales[Parametro]),2,0)</f>
        <v>1048</v>
      </c>
      <c r="Z7" s="124" t="s">
        <v>10507</v>
      </c>
    </row>
    <row r="8" spans="1:26" x14ac:dyDescent="0.25">
      <c r="A8" s="121">
        <v>7</v>
      </c>
      <c r="B8" s="123" t="s">
        <v>10544</v>
      </c>
      <c r="C8" s="123" t="s">
        <v>7346</v>
      </c>
      <c r="D8" s="123"/>
      <c r="E8" s="125"/>
      <c r="F8" s="195"/>
      <c r="G8" s="123">
        <v>11</v>
      </c>
      <c r="H8" s="196">
        <v>37018</v>
      </c>
      <c r="I8" s="198">
        <v>2</v>
      </c>
      <c r="J8" s="198" t="s">
        <v>10545</v>
      </c>
      <c r="K8" s="200"/>
      <c r="L8" s="200" t="s">
        <v>10546</v>
      </c>
      <c r="M8" s="115"/>
      <c r="N8" s="115" t="s">
        <v>10494</v>
      </c>
      <c r="O8" s="115">
        <v>13926000</v>
      </c>
      <c r="P8" s="200" t="s">
        <v>10501</v>
      </c>
      <c r="Q8" s="200"/>
      <c r="R8" s="115" t="s">
        <v>7335</v>
      </c>
      <c r="S8" s="115" t="s">
        <v>10525</v>
      </c>
      <c r="T8" s="115">
        <v>2000.1313</v>
      </c>
      <c r="U8" s="119">
        <v>36794</v>
      </c>
      <c r="V8" s="115">
        <v>7</v>
      </c>
      <c r="W8" s="115" t="s">
        <v>7346</v>
      </c>
      <c r="X8" s="122"/>
      <c r="Y8" s="202">
        <f>VLOOKUP(Z8,CHOOSE({2,1},Tabla__192.168.100.130_SQLCOPNIA_COPNIA_ParametrosGenerales[idParametro],Tabla__192.168.100.130_SQLCOPNIA_COPNIA_ParametrosGenerales[Parametro]),2,0)</f>
        <v>1048</v>
      </c>
      <c r="Z8" s="124" t="s">
        <v>10507</v>
      </c>
    </row>
    <row r="9" spans="1:26" x14ac:dyDescent="0.25">
      <c r="A9" s="121">
        <v>8</v>
      </c>
      <c r="B9" s="123" t="s">
        <v>10547</v>
      </c>
      <c r="C9" s="123" t="s">
        <v>7346</v>
      </c>
      <c r="D9" s="123"/>
      <c r="E9" s="125"/>
      <c r="F9" s="195"/>
      <c r="G9" s="123">
        <v>9</v>
      </c>
      <c r="H9" s="196">
        <v>37400</v>
      </c>
      <c r="I9" s="198">
        <v>2</v>
      </c>
      <c r="J9" s="198" t="s">
        <v>10548</v>
      </c>
      <c r="K9" s="200" t="s">
        <v>10549</v>
      </c>
      <c r="L9" s="200" t="s">
        <v>10523</v>
      </c>
      <c r="M9" s="115" t="s">
        <v>10550</v>
      </c>
      <c r="N9" s="115" t="s">
        <v>10494</v>
      </c>
      <c r="O9" s="115">
        <v>17083879</v>
      </c>
      <c r="P9" s="200" t="s">
        <v>10501</v>
      </c>
      <c r="Q9" s="200"/>
      <c r="R9" s="115" t="s">
        <v>7335</v>
      </c>
      <c r="S9" s="115" t="s">
        <v>10525</v>
      </c>
      <c r="T9" s="115">
        <v>2000.0462</v>
      </c>
      <c r="U9" s="119">
        <v>36671</v>
      </c>
      <c r="V9" s="115">
        <v>7</v>
      </c>
      <c r="W9" s="115" t="s">
        <v>7346</v>
      </c>
      <c r="X9" s="122"/>
      <c r="Y9" s="202">
        <f>VLOOKUP(Z9,CHOOSE({2,1},Tabla__192.168.100.130_SQLCOPNIA_COPNIA_ParametrosGenerales[idParametro],Tabla__192.168.100.130_SQLCOPNIA_COPNIA_ParametrosGenerales[Parametro]),2,0)</f>
        <v>1048</v>
      </c>
      <c r="Z9" s="124" t="s">
        <v>10507</v>
      </c>
    </row>
    <row r="10" spans="1:26" x14ac:dyDescent="0.25">
      <c r="A10" s="121">
        <v>9</v>
      </c>
      <c r="B10" s="123" t="s">
        <v>10551</v>
      </c>
      <c r="C10" s="123" t="s">
        <v>7346</v>
      </c>
      <c r="D10" s="123"/>
      <c r="E10" s="125"/>
      <c r="F10" s="195"/>
      <c r="G10" s="123">
        <v>11</v>
      </c>
      <c r="H10" s="196">
        <v>37018</v>
      </c>
      <c r="I10" s="198">
        <v>2</v>
      </c>
      <c r="J10" s="198" t="s">
        <v>10552</v>
      </c>
      <c r="K10" s="200"/>
      <c r="L10" s="200" t="s">
        <v>10553</v>
      </c>
      <c r="M10" s="115"/>
      <c r="N10" s="115" t="s">
        <v>10494</v>
      </c>
      <c r="O10" s="115">
        <v>17158391</v>
      </c>
      <c r="P10" s="200" t="s">
        <v>10501</v>
      </c>
      <c r="Q10" s="200"/>
      <c r="R10" s="115" t="s">
        <v>7335</v>
      </c>
      <c r="S10" s="115" t="s">
        <v>10525</v>
      </c>
      <c r="T10" s="115">
        <v>2000.1312</v>
      </c>
      <c r="U10" s="119">
        <v>36794</v>
      </c>
      <c r="V10" s="115">
        <v>7</v>
      </c>
      <c r="W10" s="115" t="s">
        <v>7346</v>
      </c>
      <c r="X10" s="122"/>
      <c r="Y10" s="202">
        <f>VLOOKUP(Z10,CHOOSE({2,1},Tabla__192.168.100.130_SQLCOPNIA_COPNIA_ParametrosGenerales[idParametro],Tabla__192.168.100.130_SQLCOPNIA_COPNIA_ParametrosGenerales[Parametro]),2,0)</f>
        <v>1048</v>
      </c>
      <c r="Z10" s="124" t="s">
        <v>10507</v>
      </c>
    </row>
    <row r="11" spans="1:26" x14ac:dyDescent="0.25">
      <c r="A11" s="121">
        <v>10</v>
      </c>
      <c r="B11" s="123" t="s">
        <v>10554</v>
      </c>
      <c r="C11" s="123" t="s">
        <v>7346</v>
      </c>
      <c r="D11" s="123"/>
      <c r="E11" s="125"/>
      <c r="F11" s="195"/>
      <c r="G11" s="123">
        <v>11</v>
      </c>
      <c r="H11" s="196">
        <v>37018</v>
      </c>
      <c r="I11" s="198">
        <v>2</v>
      </c>
      <c r="J11" s="198" t="s">
        <v>10555</v>
      </c>
      <c r="K11" s="200" t="s">
        <v>10556</v>
      </c>
      <c r="L11" s="200" t="s">
        <v>10557</v>
      </c>
      <c r="M11" s="115" t="s">
        <v>10558</v>
      </c>
      <c r="N11" s="115" t="s">
        <v>10494</v>
      </c>
      <c r="O11" s="115">
        <v>17328877</v>
      </c>
      <c r="P11" s="200" t="s">
        <v>10501</v>
      </c>
      <c r="Q11" s="200"/>
      <c r="R11" s="115" t="s">
        <v>7335</v>
      </c>
      <c r="S11" s="115" t="s">
        <v>10525</v>
      </c>
      <c r="T11" s="115">
        <v>2000.133</v>
      </c>
      <c r="U11" s="119">
        <v>36794</v>
      </c>
      <c r="V11" s="115">
        <v>7</v>
      </c>
      <c r="W11" s="115" t="s">
        <v>7346</v>
      </c>
      <c r="X11" s="122"/>
      <c r="Y11" s="202">
        <f>VLOOKUP(Z11,CHOOSE({2,1},Tabla__192.168.100.130_SQLCOPNIA_COPNIA_ParametrosGenerales[idParametro],Tabla__192.168.100.130_SQLCOPNIA_COPNIA_ParametrosGenerales[Parametro]),2,0)</f>
        <v>1048</v>
      </c>
      <c r="Z11" s="124" t="s">
        <v>10507</v>
      </c>
    </row>
    <row r="12" spans="1:26" x14ac:dyDescent="0.25">
      <c r="A12" s="121">
        <v>11</v>
      </c>
      <c r="B12" s="123" t="s">
        <v>10559</v>
      </c>
      <c r="C12" s="123" t="s">
        <v>7346</v>
      </c>
      <c r="D12" s="123"/>
      <c r="E12" s="125"/>
      <c r="F12" s="195"/>
      <c r="G12" s="123">
        <v>11</v>
      </c>
      <c r="H12" s="196">
        <v>37018</v>
      </c>
      <c r="I12" s="198">
        <v>2</v>
      </c>
      <c r="J12" s="198" t="s">
        <v>10560</v>
      </c>
      <c r="K12" s="200" t="s">
        <v>10561</v>
      </c>
      <c r="L12" s="200" t="s">
        <v>10562</v>
      </c>
      <c r="M12" s="115" t="s">
        <v>10563</v>
      </c>
      <c r="N12" s="115" t="s">
        <v>10494</v>
      </c>
      <c r="O12" s="115">
        <v>19087864</v>
      </c>
      <c r="P12" s="200" t="s">
        <v>10501</v>
      </c>
      <c r="Q12" s="200"/>
      <c r="R12" s="115" t="s">
        <v>7335</v>
      </c>
      <c r="S12" s="115" t="s">
        <v>10525</v>
      </c>
      <c r="T12" s="115">
        <v>2000.1306999999999</v>
      </c>
      <c r="U12" s="119">
        <v>36794</v>
      </c>
      <c r="V12" s="115">
        <v>6</v>
      </c>
      <c r="W12" s="115" t="s">
        <v>7346</v>
      </c>
      <c r="X12" s="122"/>
      <c r="Y12" s="202">
        <f>VLOOKUP(Z12,CHOOSE({2,1},Tabla__192.168.100.130_SQLCOPNIA_COPNIA_ParametrosGenerales[idParametro],Tabla__192.168.100.130_SQLCOPNIA_COPNIA_ParametrosGenerales[Parametro]),2,0)</f>
        <v>1048</v>
      </c>
      <c r="Z12" s="124" t="s">
        <v>10507</v>
      </c>
    </row>
    <row r="13" spans="1:26" ht="30" x14ac:dyDescent="0.25">
      <c r="A13" s="121">
        <v>12</v>
      </c>
      <c r="B13" s="123" t="s">
        <v>10564</v>
      </c>
      <c r="C13" s="123" t="s">
        <v>7346</v>
      </c>
      <c r="D13" s="123"/>
      <c r="E13" s="125"/>
      <c r="F13" s="195"/>
      <c r="G13" s="123">
        <v>1</v>
      </c>
      <c r="H13" s="196">
        <v>36549</v>
      </c>
      <c r="I13" s="198">
        <v>2</v>
      </c>
      <c r="J13" s="198" t="s">
        <v>10565</v>
      </c>
      <c r="K13" s="200" t="s">
        <v>10566</v>
      </c>
      <c r="L13" s="200" t="s">
        <v>10567</v>
      </c>
      <c r="M13" s="115" t="s">
        <v>10568</v>
      </c>
      <c r="N13" s="115" t="s">
        <v>10494</v>
      </c>
      <c r="O13" s="115">
        <v>19406546</v>
      </c>
      <c r="P13" s="200" t="s">
        <v>10501</v>
      </c>
      <c r="Q13" s="200"/>
      <c r="R13" s="115" t="s">
        <v>7336</v>
      </c>
      <c r="S13" s="115" t="s">
        <v>10525</v>
      </c>
      <c r="T13" s="115">
        <v>98.014200000000002</v>
      </c>
      <c r="U13" s="119">
        <v>36020</v>
      </c>
      <c r="V13" s="115">
        <v>9</v>
      </c>
      <c r="W13" s="115" t="s">
        <v>7346</v>
      </c>
      <c r="X13" s="122" t="s">
        <v>10569</v>
      </c>
      <c r="Y13" s="202">
        <f>VLOOKUP(Z13,CHOOSE({2,1},Tabla__192.168.100.130_SQLCOPNIA_COPNIA_ParametrosGenerales[idParametro],Tabla__192.168.100.130_SQLCOPNIA_COPNIA_ParametrosGenerales[Parametro]),2,0)</f>
        <v>1048</v>
      </c>
      <c r="Z13" s="124" t="s">
        <v>10507</v>
      </c>
    </row>
    <row r="14" spans="1:26" ht="30" x14ac:dyDescent="0.25">
      <c r="A14" s="121">
        <v>13</v>
      </c>
      <c r="B14" s="123" t="s">
        <v>10570</v>
      </c>
      <c r="C14" s="123" t="s">
        <v>10571</v>
      </c>
      <c r="D14" s="123"/>
      <c r="E14" s="125"/>
      <c r="F14" s="195"/>
      <c r="G14" s="123">
        <v>11</v>
      </c>
      <c r="H14" s="196">
        <v>37018</v>
      </c>
      <c r="I14" s="198">
        <v>2</v>
      </c>
      <c r="J14" s="198" t="s">
        <v>10572</v>
      </c>
      <c r="K14" s="200" t="s">
        <v>10573</v>
      </c>
      <c r="L14" s="200" t="s">
        <v>10574</v>
      </c>
      <c r="M14" s="115" t="s">
        <v>10575</v>
      </c>
      <c r="N14" s="115" t="s">
        <v>10494</v>
      </c>
      <c r="O14" s="115">
        <v>41940281</v>
      </c>
      <c r="P14" s="200" t="s">
        <v>10501</v>
      </c>
      <c r="Q14" s="200"/>
      <c r="R14" s="115" t="s">
        <v>7336</v>
      </c>
      <c r="S14" s="115" t="s">
        <v>10525</v>
      </c>
      <c r="T14" s="115">
        <v>20000008</v>
      </c>
      <c r="U14" s="119">
        <v>36581</v>
      </c>
      <c r="V14" s="115">
        <v>5</v>
      </c>
      <c r="W14" s="115" t="s">
        <v>10571</v>
      </c>
      <c r="X14" s="122"/>
      <c r="Y14" s="202">
        <f>VLOOKUP(Z14,CHOOSE({2,1},Tabla__192.168.100.130_SQLCOPNIA_COPNIA_ParametrosGenerales[idParametro],Tabla__192.168.100.130_SQLCOPNIA_COPNIA_ParametrosGenerales[Parametro]),2,0)</f>
        <v>1048</v>
      </c>
      <c r="Z14" s="124" t="s">
        <v>10507</v>
      </c>
    </row>
    <row r="15" spans="1:26" x14ac:dyDescent="0.25">
      <c r="A15" s="121">
        <v>14</v>
      </c>
      <c r="B15" s="123" t="s">
        <v>10576</v>
      </c>
      <c r="C15" s="123" t="s">
        <v>7346</v>
      </c>
      <c r="D15" s="123"/>
      <c r="E15" s="125"/>
      <c r="F15" s="195"/>
      <c r="G15" s="123">
        <v>4</v>
      </c>
      <c r="H15" s="196">
        <v>36941</v>
      </c>
      <c r="I15" s="198">
        <v>2</v>
      </c>
      <c r="J15" s="198" t="s">
        <v>10577</v>
      </c>
      <c r="K15" s="200" t="s">
        <v>10578</v>
      </c>
      <c r="L15" s="200" t="s">
        <v>10579</v>
      </c>
      <c r="M15" s="115"/>
      <c r="N15" s="115" t="s">
        <v>10494</v>
      </c>
      <c r="O15" s="115">
        <v>79116470</v>
      </c>
      <c r="P15" s="200" t="s">
        <v>10501</v>
      </c>
      <c r="Q15" s="200"/>
      <c r="R15" s="115" t="s">
        <v>7338</v>
      </c>
      <c r="S15" s="115" t="s">
        <v>10525</v>
      </c>
      <c r="T15" s="115">
        <v>89.000069999999994</v>
      </c>
      <c r="U15" s="119">
        <v>32573</v>
      </c>
      <c r="V15" s="115">
        <v>5</v>
      </c>
      <c r="W15" s="115" t="s">
        <v>7346</v>
      </c>
      <c r="X15" s="122"/>
      <c r="Y15" s="202">
        <f>VLOOKUP(Z15,CHOOSE({2,1},Tabla__192.168.100.130_SQLCOPNIA_COPNIA_ParametrosGenerales[idParametro],Tabla__192.168.100.130_SQLCOPNIA_COPNIA_ParametrosGenerales[Parametro]),2,0)</f>
        <v>1048</v>
      </c>
      <c r="Z15" s="124" t="s">
        <v>10507</v>
      </c>
    </row>
    <row r="16" spans="1:26" ht="30" x14ac:dyDescent="0.25">
      <c r="A16" s="121">
        <v>15</v>
      </c>
      <c r="B16" s="123" t="s">
        <v>10580</v>
      </c>
      <c r="C16" s="123" t="s">
        <v>7346</v>
      </c>
      <c r="D16" s="123"/>
      <c r="E16" s="125"/>
      <c r="F16" s="195"/>
      <c r="G16" s="123">
        <v>8</v>
      </c>
      <c r="H16" s="196">
        <v>36987</v>
      </c>
      <c r="I16" s="198">
        <v>2</v>
      </c>
      <c r="J16" s="198" t="s">
        <v>10566</v>
      </c>
      <c r="K16" s="200" t="s">
        <v>10581</v>
      </c>
      <c r="L16" s="200" t="s">
        <v>10582</v>
      </c>
      <c r="M16" s="115"/>
      <c r="N16" s="115" t="s">
        <v>10494</v>
      </c>
      <c r="O16" s="115">
        <v>79151495</v>
      </c>
      <c r="P16" s="200" t="s">
        <v>10501</v>
      </c>
      <c r="Q16" s="200"/>
      <c r="R16" s="115" t="s">
        <v>7335</v>
      </c>
      <c r="S16" s="115" t="s">
        <v>10525</v>
      </c>
      <c r="T16" s="115">
        <v>2000.1322</v>
      </c>
      <c r="U16" s="119">
        <v>36794</v>
      </c>
      <c r="V16" s="115">
        <v>5</v>
      </c>
      <c r="W16" s="115" t="s">
        <v>7346</v>
      </c>
      <c r="X16" s="122" t="s">
        <v>10583</v>
      </c>
      <c r="Y16" s="202">
        <f>VLOOKUP(Z16,CHOOSE({2,1},Tabla__192.168.100.130_SQLCOPNIA_COPNIA_ParametrosGenerales[idParametro],Tabla__192.168.100.130_SQLCOPNIA_COPNIA_ParametrosGenerales[Parametro]),2,0)</f>
        <v>1048</v>
      </c>
      <c r="Z16" s="124" t="s">
        <v>10507</v>
      </c>
    </row>
    <row r="17" spans="1:26" x14ac:dyDescent="0.25">
      <c r="A17" s="121">
        <v>16</v>
      </c>
      <c r="B17" s="123" t="s">
        <v>10584</v>
      </c>
      <c r="C17" s="123" t="s">
        <v>7346</v>
      </c>
      <c r="D17" s="123"/>
      <c r="E17" s="125"/>
      <c r="F17" s="195"/>
      <c r="G17" s="123">
        <v>11</v>
      </c>
      <c r="H17" s="196">
        <v>37018</v>
      </c>
      <c r="I17" s="198">
        <v>2</v>
      </c>
      <c r="J17" s="198" t="s">
        <v>10585</v>
      </c>
      <c r="K17" s="200" t="s">
        <v>10586</v>
      </c>
      <c r="L17" s="200" t="s">
        <v>10587</v>
      </c>
      <c r="M17" s="115"/>
      <c r="N17" s="115" t="s">
        <v>10494</v>
      </c>
      <c r="O17" s="115">
        <v>79203047</v>
      </c>
      <c r="P17" s="200" t="s">
        <v>10501</v>
      </c>
      <c r="Q17" s="200"/>
      <c r="R17" s="115" t="s">
        <v>7335</v>
      </c>
      <c r="S17" s="115" t="s">
        <v>10525</v>
      </c>
      <c r="T17" s="115">
        <v>2000.1316999999999</v>
      </c>
      <c r="U17" s="119">
        <v>36794</v>
      </c>
      <c r="V17" s="115">
        <v>7</v>
      </c>
      <c r="W17" s="115" t="s">
        <v>7346</v>
      </c>
      <c r="X17" s="122"/>
      <c r="Y17" s="202">
        <f>VLOOKUP(Z17,CHOOSE({2,1},Tabla__192.168.100.130_SQLCOPNIA_COPNIA_ParametrosGenerales[idParametro],Tabla__192.168.100.130_SQLCOPNIA_COPNIA_ParametrosGenerales[Parametro]),2,0)</f>
        <v>1048</v>
      </c>
      <c r="Z17" s="124" t="s">
        <v>10507</v>
      </c>
    </row>
    <row r="18" spans="1:26" x14ac:dyDescent="0.25">
      <c r="A18" s="121">
        <v>17</v>
      </c>
      <c r="B18" s="123" t="s">
        <v>10588</v>
      </c>
      <c r="C18" s="123" t="s">
        <v>7346</v>
      </c>
      <c r="D18" s="123"/>
      <c r="E18" s="125"/>
      <c r="F18" s="195"/>
      <c r="G18" s="123">
        <v>11</v>
      </c>
      <c r="H18" s="196">
        <v>37018</v>
      </c>
      <c r="I18" s="198">
        <v>2</v>
      </c>
      <c r="J18" s="198" t="s">
        <v>10589</v>
      </c>
      <c r="K18" s="200" t="s">
        <v>10590</v>
      </c>
      <c r="L18" s="200" t="s">
        <v>10591</v>
      </c>
      <c r="M18" s="115"/>
      <c r="N18" s="115" t="s">
        <v>10494</v>
      </c>
      <c r="O18" s="115">
        <v>79245500</v>
      </c>
      <c r="P18" s="200" t="s">
        <v>10501</v>
      </c>
      <c r="Q18" s="200"/>
      <c r="R18" s="115" t="s">
        <v>7335</v>
      </c>
      <c r="S18" s="115" t="s">
        <v>10525</v>
      </c>
      <c r="T18" s="115">
        <v>2000.1320000000001</v>
      </c>
      <c r="U18" s="119">
        <v>36794</v>
      </c>
      <c r="V18" s="115">
        <v>7</v>
      </c>
      <c r="W18" s="115" t="s">
        <v>7346</v>
      </c>
      <c r="X18" s="122"/>
      <c r="Y18" s="202">
        <f>VLOOKUP(Z18,CHOOSE({2,1},Tabla__192.168.100.130_SQLCOPNIA_COPNIA_ParametrosGenerales[idParametro],Tabla__192.168.100.130_SQLCOPNIA_COPNIA_ParametrosGenerales[Parametro]),2,0)</f>
        <v>1048</v>
      </c>
      <c r="Z18" s="124" t="s">
        <v>10507</v>
      </c>
    </row>
    <row r="19" spans="1:26" x14ac:dyDescent="0.25">
      <c r="A19" s="121">
        <v>18</v>
      </c>
      <c r="B19" s="123" t="s">
        <v>10592</v>
      </c>
      <c r="C19" s="123" t="s">
        <v>7346</v>
      </c>
      <c r="D19" s="123"/>
      <c r="E19" s="125"/>
      <c r="F19" s="195"/>
      <c r="G19" s="123">
        <v>11</v>
      </c>
      <c r="H19" s="196">
        <v>37018</v>
      </c>
      <c r="I19" s="198">
        <v>2</v>
      </c>
      <c r="J19" s="198" t="s">
        <v>10593</v>
      </c>
      <c r="K19" s="200" t="s">
        <v>10594</v>
      </c>
      <c r="L19" s="200" t="s">
        <v>10595</v>
      </c>
      <c r="M19" s="115" t="s">
        <v>10596</v>
      </c>
      <c r="N19" s="115" t="s">
        <v>10494</v>
      </c>
      <c r="O19" s="115">
        <v>79250312</v>
      </c>
      <c r="P19" s="200" t="s">
        <v>10501</v>
      </c>
      <c r="Q19" s="200"/>
      <c r="R19" s="115" t="s">
        <v>7335</v>
      </c>
      <c r="S19" s="115" t="s">
        <v>10525</v>
      </c>
      <c r="T19" s="115">
        <v>2000.1324</v>
      </c>
      <c r="U19" s="119">
        <v>36794</v>
      </c>
      <c r="V19" s="115">
        <v>6</v>
      </c>
      <c r="W19" s="115" t="s">
        <v>7346</v>
      </c>
      <c r="X19" s="122"/>
      <c r="Y19" s="202" t="e">
        <f>VLOOKUP(Z19,CHOOSE({2,1},Tabla__192.168.100.130_SQLCOPNIA_COPNIA_ParametrosGenerales[idParametro],Tabla__192.168.100.130_SQLCOPNIA_COPNIA_ParametrosGenerales[Parametro]),2,0)</f>
        <v>#N/A</v>
      </c>
      <c r="Z19" s="124"/>
    </row>
    <row r="20" spans="1:26" x14ac:dyDescent="0.25">
      <c r="A20" s="121">
        <v>19</v>
      </c>
      <c r="B20" s="123" t="s">
        <v>10597</v>
      </c>
      <c r="C20" s="123" t="s">
        <v>7346</v>
      </c>
      <c r="D20" s="123"/>
      <c r="E20" s="125"/>
      <c r="F20" s="195"/>
      <c r="G20" s="123">
        <v>11</v>
      </c>
      <c r="H20" s="196">
        <v>36766</v>
      </c>
      <c r="I20" s="198">
        <v>2</v>
      </c>
      <c r="J20" s="198" t="s">
        <v>10566</v>
      </c>
      <c r="K20" s="200" t="s">
        <v>10598</v>
      </c>
      <c r="L20" s="200" t="s">
        <v>10599</v>
      </c>
      <c r="M20" s="115"/>
      <c r="N20" s="115" t="s">
        <v>10494</v>
      </c>
      <c r="O20" s="115">
        <v>79461801</v>
      </c>
      <c r="P20" s="200" t="s">
        <v>10501</v>
      </c>
      <c r="Q20" s="200"/>
      <c r="R20" s="115" t="s">
        <v>7335</v>
      </c>
      <c r="S20" s="115" t="s">
        <v>10525</v>
      </c>
      <c r="T20" s="115">
        <v>99.041399999999996</v>
      </c>
      <c r="U20" s="119">
        <v>36381</v>
      </c>
      <c r="V20" s="115">
        <v>5</v>
      </c>
      <c r="W20" s="115" t="s">
        <v>7346</v>
      </c>
      <c r="X20" s="122" t="s">
        <v>10600</v>
      </c>
      <c r="Y20" s="202" t="e">
        <f>VLOOKUP(Z20,CHOOSE({2,1},Tabla__192.168.100.130_SQLCOPNIA_COPNIA_ParametrosGenerales[idParametro],Tabla__192.168.100.130_SQLCOPNIA_COPNIA_ParametrosGenerales[Parametro]),2,0)</f>
        <v>#N/A</v>
      </c>
      <c r="Z20" s="124"/>
    </row>
    <row r="21" spans="1:26" ht="30" x14ac:dyDescent="0.25">
      <c r="A21" s="121">
        <v>20</v>
      </c>
      <c r="B21" s="123" t="s">
        <v>10601</v>
      </c>
      <c r="C21" s="123" t="s">
        <v>7346</v>
      </c>
      <c r="D21" s="123"/>
      <c r="E21" s="125"/>
      <c r="F21" s="195"/>
      <c r="G21" s="123">
        <v>23</v>
      </c>
      <c r="H21" s="196">
        <v>37914</v>
      </c>
      <c r="I21" s="198">
        <v>2</v>
      </c>
      <c r="J21" s="198" t="s">
        <v>10602</v>
      </c>
      <c r="K21" s="200" t="s">
        <v>10572</v>
      </c>
      <c r="L21" s="200" t="s">
        <v>10603</v>
      </c>
      <c r="M21" s="115" t="s">
        <v>10604</v>
      </c>
      <c r="N21" s="115" t="s">
        <v>10494</v>
      </c>
      <c r="O21" s="115">
        <v>80399966</v>
      </c>
      <c r="P21" s="200" t="s">
        <v>10501</v>
      </c>
      <c r="Q21" s="200"/>
      <c r="R21" s="115" t="s">
        <v>7335</v>
      </c>
      <c r="S21" s="115" t="s">
        <v>10525</v>
      </c>
      <c r="T21" s="115">
        <v>2000.1337000000001</v>
      </c>
      <c r="U21" s="119">
        <v>36644</v>
      </c>
      <c r="V21" s="115">
        <v>10</v>
      </c>
      <c r="W21" s="115" t="s">
        <v>7346</v>
      </c>
      <c r="X21" s="122" t="s">
        <v>10532</v>
      </c>
      <c r="Y21" s="202" t="e">
        <f>VLOOKUP(Z21,CHOOSE({2,1},Tabla__192.168.100.130_SQLCOPNIA_COPNIA_ParametrosGenerales[idParametro],Tabla__192.168.100.130_SQLCOPNIA_COPNIA_ParametrosGenerales[Parametro]),2,0)</f>
        <v>#N/A</v>
      </c>
      <c r="Z21" s="124"/>
    </row>
    <row r="22" spans="1:26" ht="30" x14ac:dyDescent="0.25">
      <c r="A22" s="121">
        <v>21</v>
      </c>
      <c r="B22" s="123" t="s">
        <v>10605</v>
      </c>
      <c r="C22" s="123" t="s">
        <v>10527</v>
      </c>
      <c r="D22" s="123"/>
      <c r="E22" s="125"/>
      <c r="F22" s="195"/>
      <c r="G22" s="123">
        <v>13</v>
      </c>
      <c r="H22" s="196">
        <v>37053</v>
      </c>
      <c r="I22" s="198">
        <v>2</v>
      </c>
      <c r="J22" s="198" t="s">
        <v>10606</v>
      </c>
      <c r="K22" s="200" t="s">
        <v>10607</v>
      </c>
      <c r="L22" s="200" t="s">
        <v>10608</v>
      </c>
      <c r="M22" s="115"/>
      <c r="N22" s="115" t="s">
        <v>10494</v>
      </c>
      <c r="O22" s="115">
        <v>98610835</v>
      </c>
      <c r="P22" s="200" t="s">
        <v>10501</v>
      </c>
      <c r="Q22" s="200"/>
      <c r="R22" s="115" t="s">
        <v>7336</v>
      </c>
      <c r="S22" s="115" t="s">
        <v>10525</v>
      </c>
      <c r="T22" s="115">
        <v>527</v>
      </c>
      <c r="U22" s="119">
        <v>35972</v>
      </c>
      <c r="V22" s="115">
        <v>5</v>
      </c>
      <c r="W22" s="115" t="s">
        <v>10527</v>
      </c>
      <c r="X22" s="122"/>
      <c r="Y22" s="202" t="e">
        <f>VLOOKUP(Z22,CHOOSE({2,1},Tabla__192.168.100.130_SQLCOPNIA_COPNIA_ParametrosGenerales[idParametro],Tabla__192.168.100.130_SQLCOPNIA_COPNIA_ParametrosGenerales[Parametro]),2,0)</f>
        <v>#N/A</v>
      </c>
      <c r="Z22" s="124"/>
    </row>
    <row r="23" spans="1:26" x14ac:dyDescent="0.25">
      <c r="A23" s="121">
        <v>22</v>
      </c>
      <c r="B23" s="123" t="s">
        <v>10609</v>
      </c>
      <c r="C23" s="123" t="s">
        <v>7346</v>
      </c>
      <c r="D23" s="123"/>
      <c r="E23" s="125"/>
      <c r="F23" s="195"/>
      <c r="G23" s="123">
        <v>15</v>
      </c>
      <c r="H23" s="196">
        <v>37084</v>
      </c>
      <c r="I23" s="198">
        <v>2</v>
      </c>
      <c r="J23" s="198" t="s">
        <v>10610</v>
      </c>
      <c r="K23" s="200" t="s">
        <v>10611</v>
      </c>
      <c r="L23" s="200" t="s">
        <v>10612</v>
      </c>
      <c r="M23" s="115" t="s">
        <v>10613</v>
      </c>
      <c r="N23" s="115" t="s">
        <v>10494</v>
      </c>
      <c r="O23" s="115">
        <v>79518527</v>
      </c>
      <c r="P23" s="200" t="s">
        <v>10501</v>
      </c>
      <c r="Q23" s="200"/>
      <c r="R23" s="115" t="s">
        <v>7335</v>
      </c>
      <c r="S23" s="115" t="s">
        <v>10525</v>
      </c>
      <c r="T23" s="115">
        <v>2000.1319000000001</v>
      </c>
      <c r="U23" s="119">
        <v>36294</v>
      </c>
      <c r="V23" s="115">
        <v>5</v>
      </c>
      <c r="W23" s="115" t="s">
        <v>7346</v>
      </c>
      <c r="X23" s="122"/>
      <c r="Y23" s="202" t="e">
        <f>VLOOKUP(Z23,CHOOSE({2,1},Tabla__192.168.100.130_SQLCOPNIA_COPNIA_ParametrosGenerales[idParametro],Tabla__192.168.100.130_SQLCOPNIA_COPNIA_ParametrosGenerales[Parametro]),2,0)</f>
        <v>#N/A</v>
      </c>
      <c r="Z23" s="124"/>
    </row>
    <row r="24" spans="1:26" ht="30" x14ac:dyDescent="0.25">
      <c r="A24" s="121">
        <v>23</v>
      </c>
      <c r="B24" s="123" t="s">
        <v>10614</v>
      </c>
      <c r="C24" s="123" t="s">
        <v>7346</v>
      </c>
      <c r="D24" s="123"/>
      <c r="E24" s="125"/>
      <c r="F24" s="195"/>
      <c r="G24" s="123">
        <v>21</v>
      </c>
      <c r="H24" s="196">
        <v>37172</v>
      </c>
      <c r="I24" s="198">
        <v>2</v>
      </c>
      <c r="J24" s="198" t="s">
        <v>10615</v>
      </c>
      <c r="K24" s="200" t="s">
        <v>10594</v>
      </c>
      <c r="L24" s="200" t="s">
        <v>10616</v>
      </c>
      <c r="M24" s="115" t="s">
        <v>10617</v>
      </c>
      <c r="N24" s="115" t="s">
        <v>10494</v>
      </c>
      <c r="O24" s="115">
        <v>79538465</v>
      </c>
      <c r="P24" s="200" t="s">
        <v>10501</v>
      </c>
      <c r="Q24" s="200"/>
      <c r="R24" s="115" t="s">
        <v>7338</v>
      </c>
      <c r="S24" s="115" t="s">
        <v>10525</v>
      </c>
      <c r="T24" s="115">
        <v>94.003100000000003</v>
      </c>
      <c r="U24" s="119">
        <v>33046</v>
      </c>
      <c r="V24" s="115">
        <v>7</v>
      </c>
      <c r="W24" s="115" t="s">
        <v>7346</v>
      </c>
      <c r="X24" s="122" t="s">
        <v>10532</v>
      </c>
      <c r="Y24" s="202" t="e">
        <f>VLOOKUP(Z24,CHOOSE({2,1},Tabla__192.168.100.130_SQLCOPNIA_COPNIA_ParametrosGenerales[idParametro],Tabla__192.168.100.130_SQLCOPNIA_COPNIA_ParametrosGenerales[Parametro]),2,0)</f>
        <v>#N/A</v>
      </c>
      <c r="Z24" s="124"/>
    </row>
    <row r="25" spans="1:26" ht="75" x14ac:dyDescent="0.25">
      <c r="A25" s="121">
        <v>24</v>
      </c>
      <c r="B25" s="123" t="s">
        <v>10618</v>
      </c>
      <c r="C25" s="123" t="s">
        <v>7346</v>
      </c>
      <c r="D25" s="123"/>
      <c r="E25" s="125"/>
      <c r="F25" s="195"/>
      <c r="G25" s="123">
        <v>23</v>
      </c>
      <c r="H25" s="196">
        <v>37214</v>
      </c>
      <c r="I25" s="198">
        <v>2</v>
      </c>
      <c r="J25" s="198" t="s">
        <v>10619</v>
      </c>
      <c r="K25" s="200" t="s">
        <v>10620</v>
      </c>
      <c r="L25" s="200" t="s">
        <v>10621</v>
      </c>
      <c r="M25" s="115"/>
      <c r="N25" s="115" t="s">
        <v>10494</v>
      </c>
      <c r="O25" s="115">
        <v>79435664</v>
      </c>
      <c r="P25" s="200" t="s">
        <v>10501</v>
      </c>
      <c r="Q25" s="200"/>
      <c r="R25" s="115" t="s">
        <v>7338</v>
      </c>
      <c r="S25" s="115" t="s">
        <v>10525</v>
      </c>
      <c r="T25" s="115" t="s">
        <v>10622</v>
      </c>
      <c r="U25" s="119">
        <v>37181</v>
      </c>
      <c r="V25" s="115">
        <v>17</v>
      </c>
      <c r="W25" s="115" t="s">
        <v>7346</v>
      </c>
      <c r="X25" s="122" t="s">
        <v>10623</v>
      </c>
      <c r="Y25" s="202" t="e">
        <f>VLOOKUP(Z25,CHOOSE({2,1},Tabla__192.168.100.130_SQLCOPNIA_COPNIA_ParametrosGenerales[idParametro],Tabla__192.168.100.130_SQLCOPNIA_COPNIA_ParametrosGenerales[Parametro]),2,0)</f>
        <v>#N/A</v>
      </c>
      <c r="Z25" s="124"/>
    </row>
    <row r="26" spans="1:26" x14ac:dyDescent="0.25">
      <c r="A26" s="121">
        <v>25</v>
      </c>
      <c r="B26" s="123" t="s">
        <v>10624</v>
      </c>
      <c r="C26" s="123" t="s">
        <v>7346</v>
      </c>
      <c r="D26" s="123"/>
      <c r="E26" s="125"/>
      <c r="F26" s="195"/>
      <c r="G26" s="123">
        <v>23</v>
      </c>
      <c r="H26" s="196">
        <v>37914</v>
      </c>
      <c r="I26" s="198">
        <v>2</v>
      </c>
      <c r="J26" s="198" t="s">
        <v>10625</v>
      </c>
      <c r="K26" s="200" t="s">
        <v>10626</v>
      </c>
      <c r="L26" s="200" t="s">
        <v>10627</v>
      </c>
      <c r="M26" s="115" t="s">
        <v>10628</v>
      </c>
      <c r="N26" s="115" t="s">
        <v>10494</v>
      </c>
      <c r="O26" s="115">
        <v>79860591</v>
      </c>
      <c r="P26" s="200" t="s">
        <v>10501</v>
      </c>
      <c r="Q26" s="200"/>
      <c r="R26" s="115" t="s">
        <v>7338</v>
      </c>
      <c r="S26" s="115" t="s">
        <v>10525</v>
      </c>
      <c r="T26" s="115">
        <v>2003.002</v>
      </c>
      <c r="U26" s="119">
        <v>37796</v>
      </c>
      <c r="V26" s="115">
        <v>5</v>
      </c>
      <c r="W26" s="115" t="s">
        <v>7346</v>
      </c>
      <c r="X26" s="122"/>
      <c r="Y26" s="202" t="e">
        <f>VLOOKUP(Z26,CHOOSE({2,1},Tabla__192.168.100.130_SQLCOPNIA_COPNIA_ParametrosGenerales[idParametro],Tabla__192.168.100.130_SQLCOPNIA_COPNIA_ParametrosGenerales[Parametro]),2,0)</f>
        <v>#N/A</v>
      </c>
      <c r="Z26" s="124"/>
    </row>
    <row r="27" spans="1:26" x14ac:dyDescent="0.25">
      <c r="A27" s="121">
        <v>26</v>
      </c>
      <c r="B27" s="123" t="s">
        <v>10629</v>
      </c>
      <c r="C27" s="123" t="s">
        <v>7346</v>
      </c>
      <c r="D27" s="123"/>
      <c r="E27" s="125"/>
      <c r="F27" s="195"/>
      <c r="G27" s="123">
        <v>22</v>
      </c>
      <c r="H27" s="196">
        <v>37550</v>
      </c>
      <c r="I27" s="198">
        <v>2</v>
      </c>
      <c r="J27" s="198" t="s">
        <v>10626</v>
      </c>
      <c r="K27" s="200" t="s">
        <v>10549</v>
      </c>
      <c r="L27" s="200" t="s">
        <v>10630</v>
      </c>
      <c r="M27" s="115"/>
      <c r="N27" s="115" t="s">
        <v>10494</v>
      </c>
      <c r="O27" s="115">
        <v>19444132</v>
      </c>
      <c r="P27" s="200" t="s">
        <v>10501</v>
      </c>
      <c r="Q27" s="200"/>
      <c r="R27" s="115" t="s">
        <v>7338</v>
      </c>
      <c r="S27" s="115" t="s">
        <v>10525</v>
      </c>
      <c r="T27" s="115" t="s">
        <v>10631</v>
      </c>
      <c r="U27" s="119">
        <v>37460</v>
      </c>
      <c r="V27" s="115">
        <v>5</v>
      </c>
      <c r="W27" s="115" t="s">
        <v>7346</v>
      </c>
      <c r="X27" s="122"/>
      <c r="Y27" s="202" t="e">
        <f>VLOOKUP(Z27,CHOOSE({2,1},Tabla__192.168.100.130_SQLCOPNIA_COPNIA_ParametrosGenerales[idParametro],Tabla__192.168.100.130_SQLCOPNIA_COPNIA_ParametrosGenerales[Parametro]),2,0)</f>
        <v>#N/A</v>
      </c>
      <c r="Z27" s="124"/>
    </row>
    <row r="28" spans="1:26" x14ac:dyDescent="0.25">
      <c r="A28" s="121">
        <v>27</v>
      </c>
      <c r="B28" s="123" t="s">
        <v>10632</v>
      </c>
      <c r="C28" s="123" t="s">
        <v>7346</v>
      </c>
      <c r="D28" s="123"/>
      <c r="E28" s="125"/>
      <c r="F28" s="195"/>
      <c r="G28" s="123">
        <v>20</v>
      </c>
      <c r="H28" s="196">
        <v>37519</v>
      </c>
      <c r="I28" s="198">
        <v>2</v>
      </c>
      <c r="J28" s="198" t="s">
        <v>10549</v>
      </c>
      <c r="K28" s="200" t="s">
        <v>10552</v>
      </c>
      <c r="L28" s="200" t="s">
        <v>10523</v>
      </c>
      <c r="M28" s="115" t="s">
        <v>10633</v>
      </c>
      <c r="N28" s="115" t="s">
        <v>10494</v>
      </c>
      <c r="O28" s="115">
        <v>79904964</v>
      </c>
      <c r="P28" s="200" t="s">
        <v>10501</v>
      </c>
      <c r="Q28" s="200"/>
      <c r="R28" s="115" t="s">
        <v>7338</v>
      </c>
      <c r="S28" s="115" t="s">
        <v>10525</v>
      </c>
      <c r="T28" s="115" t="s">
        <v>10634</v>
      </c>
      <c r="U28" s="119">
        <v>37460</v>
      </c>
      <c r="V28" s="115">
        <v>5</v>
      </c>
      <c r="W28" s="115" t="s">
        <v>7346</v>
      </c>
      <c r="X28" s="122"/>
      <c r="Y28" s="202" t="e">
        <f>VLOOKUP(Z28,CHOOSE({2,1},Tabla__192.168.100.130_SQLCOPNIA_COPNIA_ParametrosGenerales[idParametro],Tabla__192.168.100.130_SQLCOPNIA_COPNIA_ParametrosGenerales[Parametro]),2,0)</f>
        <v>#N/A</v>
      </c>
      <c r="Z28" s="124"/>
    </row>
    <row r="29" spans="1:26" ht="30" x14ac:dyDescent="0.25">
      <c r="A29" s="121">
        <v>28</v>
      </c>
      <c r="B29" s="123" t="s">
        <v>10635</v>
      </c>
      <c r="C29" s="123" t="s">
        <v>10527</v>
      </c>
      <c r="D29" s="123"/>
      <c r="E29" s="125"/>
      <c r="F29" s="195"/>
      <c r="G29" s="123">
        <v>1</v>
      </c>
      <c r="H29" s="196">
        <v>37284</v>
      </c>
      <c r="I29" s="198">
        <v>2</v>
      </c>
      <c r="J29" s="198" t="s">
        <v>10636</v>
      </c>
      <c r="K29" s="200" t="s">
        <v>10637</v>
      </c>
      <c r="L29" s="200" t="s">
        <v>10638</v>
      </c>
      <c r="M29" s="115" t="s">
        <v>10639</v>
      </c>
      <c r="N29" s="115" t="s">
        <v>10494</v>
      </c>
      <c r="O29" s="115">
        <v>26259320</v>
      </c>
      <c r="P29" s="200" t="s">
        <v>10501</v>
      </c>
      <c r="Q29" s="200"/>
      <c r="R29" s="115" t="s">
        <v>7339</v>
      </c>
      <c r="S29" s="115" t="s">
        <v>7340</v>
      </c>
      <c r="T29" s="115">
        <v>320</v>
      </c>
      <c r="U29" s="119">
        <v>29441</v>
      </c>
      <c r="V29" s="115">
        <v>6</v>
      </c>
      <c r="W29" s="115" t="s">
        <v>10527</v>
      </c>
      <c r="X29" s="122"/>
      <c r="Y29" s="202" t="e">
        <f>VLOOKUP(Z29,CHOOSE({2,1},Tabla__192.168.100.130_SQLCOPNIA_COPNIA_ParametrosGenerales[idParametro],Tabla__192.168.100.130_SQLCOPNIA_COPNIA_ParametrosGenerales[Parametro]),2,0)</f>
        <v>#N/A</v>
      </c>
      <c r="Z29" s="124"/>
    </row>
    <row r="30" spans="1:26" ht="30" x14ac:dyDescent="0.25">
      <c r="A30" s="121">
        <v>29</v>
      </c>
      <c r="B30" s="123" t="s">
        <v>10640</v>
      </c>
      <c r="C30" s="123" t="s">
        <v>7346</v>
      </c>
      <c r="D30" s="123"/>
      <c r="E30" s="125"/>
      <c r="F30" s="195"/>
      <c r="G30" s="123">
        <v>19</v>
      </c>
      <c r="H30" s="196">
        <v>37494</v>
      </c>
      <c r="I30" s="198">
        <v>2</v>
      </c>
      <c r="J30" s="198" t="s">
        <v>10641</v>
      </c>
      <c r="K30" s="200" t="s">
        <v>10642</v>
      </c>
      <c r="L30" s="200" t="s">
        <v>10557</v>
      </c>
      <c r="M30" s="115" t="s">
        <v>10643</v>
      </c>
      <c r="N30" s="115" t="s">
        <v>10494</v>
      </c>
      <c r="O30" s="115">
        <v>79915921</v>
      </c>
      <c r="P30" s="200" t="s">
        <v>10501</v>
      </c>
      <c r="Q30" s="200"/>
      <c r="R30" s="115" t="s">
        <v>7341</v>
      </c>
      <c r="S30" s="115" t="s">
        <v>1121</v>
      </c>
      <c r="T30" s="115">
        <v>4</v>
      </c>
      <c r="U30" s="119">
        <v>37435</v>
      </c>
      <c r="V30" s="115">
        <v>5</v>
      </c>
      <c r="W30" s="115" t="s">
        <v>7346</v>
      </c>
      <c r="X30" s="122"/>
      <c r="Y30" s="202" t="e">
        <f>VLOOKUP(Z30,CHOOSE({2,1},Tabla__192.168.100.130_SQLCOPNIA_COPNIA_ParametrosGenerales[idParametro],Tabla__192.168.100.130_SQLCOPNIA_COPNIA_ParametrosGenerales[Parametro]),2,0)</f>
        <v>#N/A</v>
      </c>
      <c r="Z30" s="124"/>
    </row>
    <row r="31" spans="1:26" ht="45" x14ac:dyDescent="0.25">
      <c r="A31" s="121">
        <v>30</v>
      </c>
      <c r="B31" s="123" t="s">
        <v>10644</v>
      </c>
      <c r="C31" s="123" t="s">
        <v>7346</v>
      </c>
      <c r="D31" s="123"/>
      <c r="E31" s="125"/>
      <c r="F31" s="195"/>
      <c r="G31" s="123">
        <v>9</v>
      </c>
      <c r="H31" s="196">
        <v>37400</v>
      </c>
      <c r="I31" s="198">
        <v>2</v>
      </c>
      <c r="J31" s="198" t="s">
        <v>10572</v>
      </c>
      <c r="K31" s="200" t="s">
        <v>10572</v>
      </c>
      <c r="L31" s="200" t="s">
        <v>10645</v>
      </c>
      <c r="M31" s="115" t="s">
        <v>10543</v>
      </c>
      <c r="N31" s="115" t="s">
        <v>10494</v>
      </c>
      <c r="O31" s="115">
        <v>79716128</v>
      </c>
      <c r="P31" s="200" t="s">
        <v>10501</v>
      </c>
      <c r="Q31" s="200"/>
      <c r="R31" s="115" t="s">
        <v>7342</v>
      </c>
      <c r="S31" s="115" t="s">
        <v>7343</v>
      </c>
      <c r="T31" s="115">
        <v>208</v>
      </c>
      <c r="U31" s="119">
        <v>37236</v>
      </c>
      <c r="V31" s="115">
        <v>5</v>
      </c>
      <c r="W31" s="115" t="s">
        <v>7346</v>
      </c>
      <c r="X31" s="122"/>
      <c r="Y31" s="202" t="e">
        <f>VLOOKUP(Z31,CHOOSE({2,1},Tabla__192.168.100.130_SQLCOPNIA_COPNIA_ParametrosGenerales[idParametro],Tabla__192.168.100.130_SQLCOPNIA_COPNIA_ParametrosGenerales[Parametro]),2,0)</f>
        <v>#N/A</v>
      </c>
      <c r="Z31" s="124"/>
    </row>
    <row r="32" spans="1:26" ht="30" x14ac:dyDescent="0.25">
      <c r="A32" s="121">
        <v>31</v>
      </c>
      <c r="B32" s="123" t="s">
        <v>10646</v>
      </c>
      <c r="C32" s="123" t="s">
        <v>7346</v>
      </c>
      <c r="D32" s="123"/>
      <c r="E32" s="125"/>
      <c r="F32" s="195"/>
      <c r="G32" s="123">
        <v>3</v>
      </c>
      <c r="H32" s="196">
        <v>37690</v>
      </c>
      <c r="I32" s="198">
        <v>2</v>
      </c>
      <c r="J32" s="198" t="s">
        <v>10647</v>
      </c>
      <c r="K32" s="200" t="s">
        <v>10648</v>
      </c>
      <c r="L32" s="200" t="s">
        <v>10649</v>
      </c>
      <c r="M32" s="115" t="s">
        <v>10596</v>
      </c>
      <c r="N32" s="115" t="s">
        <v>10494</v>
      </c>
      <c r="O32" s="115">
        <v>11348104</v>
      </c>
      <c r="P32" s="200" t="s">
        <v>10501</v>
      </c>
      <c r="Q32" s="200"/>
      <c r="R32" s="115" t="s">
        <v>7341</v>
      </c>
      <c r="S32" s="115" t="s">
        <v>1121</v>
      </c>
      <c r="T32" s="115">
        <v>1</v>
      </c>
      <c r="U32" s="119">
        <v>36867</v>
      </c>
      <c r="V32" s="115">
        <v>5</v>
      </c>
      <c r="W32" s="115" t="s">
        <v>7346</v>
      </c>
      <c r="X32" s="122"/>
      <c r="Y32" s="202" t="e">
        <f>VLOOKUP(Z32,CHOOSE({2,1},Tabla__192.168.100.130_SQLCOPNIA_COPNIA_ParametrosGenerales[idParametro],Tabla__192.168.100.130_SQLCOPNIA_COPNIA_ParametrosGenerales[Parametro]),2,0)</f>
        <v>#N/A</v>
      </c>
      <c r="Z32" s="124"/>
    </row>
    <row r="33" spans="1:26" ht="30" x14ac:dyDescent="0.25">
      <c r="A33" s="121">
        <v>32</v>
      </c>
      <c r="B33" s="123" t="s">
        <v>10650</v>
      </c>
      <c r="C33" s="123" t="s">
        <v>7346</v>
      </c>
      <c r="D33" s="123"/>
      <c r="E33" s="125"/>
      <c r="F33" s="195"/>
      <c r="G33" s="123">
        <v>3</v>
      </c>
      <c r="H33" s="196">
        <v>37690</v>
      </c>
      <c r="I33" s="198">
        <v>2</v>
      </c>
      <c r="J33" s="198" t="s">
        <v>10651</v>
      </c>
      <c r="K33" s="200" t="s">
        <v>10652</v>
      </c>
      <c r="L33" s="200" t="s">
        <v>10653</v>
      </c>
      <c r="M33" s="115" t="s">
        <v>10654</v>
      </c>
      <c r="N33" s="115" t="s">
        <v>10494</v>
      </c>
      <c r="O33" s="115">
        <v>74359265</v>
      </c>
      <c r="P33" s="200" t="s">
        <v>10501</v>
      </c>
      <c r="Q33" s="200"/>
      <c r="R33" s="115" t="s">
        <v>7341</v>
      </c>
      <c r="S33" s="115" t="s">
        <v>1121</v>
      </c>
      <c r="T33" s="115">
        <v>1</v>
      </c>
      <c r="U33" s="119">
        <v>36867</v>
      </c>
      <c r="V33" s="115">
        <v>5</v>
      </c>
      <c r="W33" s="115" t="s">
        <v>7346</v>
      </c>
      <c r="X33" s="122"/>
      <c r="Y33" s="202" t="e">
        <f>VLOOKUP(Z33,CHOOSE({2,1},Tabla__192.168.100.130_SQLCOPNIA_COPNIA_ParametrosGenerales[idParametro],Tabla__192.168.100.130_SQLCOPNIA_COPNIA_ParametrosGenerales[Parametro]),2,0)</f>
        <v>#N/A</v>
      </c>
      <c r="Z33" s="124"/>
    </row>
    <row r="34" spans="1:26" ht="30" x14ac:dyDescent="0.25">
      <c r="A34" s="121">
        <v>33</v>
      </c>
      <c r="B34" s="123" t="s">
        <v>10655</v>
      </c>
      <c r="C34" s="123" t="s">
        <v>7346</v>
      </c>
      <c r="D34" s="123"/>
      <c r="E34" s="125"/>
      <c r="F34" s="195"/>
      <c r="G34" s="123">
        <v>17</v>
      </c>
      <c r="H34" s="196">
        <v>37809</v>
      </c>
      <c r="I34" s="198">
        <v>2</v>
      </c>
      <c r="J34" s="198" t="s">
        <v>10656</v>
      </c>
      <c r="K34" s="200" t="s">
        <v>10657</v>
      </c>
      <c r="L34" s="200" t="s">
        <v>10658</v>
      </c>
      <c r="M34" s="115" t="s">
        <v>10659</v>
      </c>
      <c r="N34" s="115" t="s">
        <v>10494</v>
      </c>
      <c r="O34" s="115">
        <v>51948337</v>
      </c>
      <c r="P34" s="200" t="s">
        <v>10660</v>
      </c>
      <c r="Q34" s="200"/>
      <c r="R34" s="115" t="s">
        <v>7341</v>
      </c>
      <c r="S34" s="115" t="s">
        <v>1121</v>
      </c>
      <c r="T34" s="115">
        <v>1</v>
      </c>
      <c r="U34" s="119">
        <v>36867</v>
      </c>
      <c r="V34" s="115">
        <v>5</v>
      </c>
      <c r="W34" s="115" t="s">
        <v>7346</v>
      </c>
      <c r="X34" s="122"/>
      <c r="Y34" s="202" t="e">
        <f>VLOOKUP(Z34,CHOOSE({2,1},Tabla__192.168.100.130_SQLCOPNIA_COPNIA_ParametrosGenerales[idParametro],Tabla__192.168.100.130_SQLCOPNIA_COPNIA_ParametrosGenerales[Parametro]),2,0)</f>
        <v>#N/A</v>
      </c>
      <c r="Z34" s="124"/>
    </row>
    <row r="35" spans="1:26" ht="45" x14ac:dyDescent="0.25">
      <c r="A35" s="121">
        <v>34</v>
      </c>
      <c r="B35" s="123" t="s">
        <v>10661</v>
      </c>
      <c r="C35" s="123" t="s">
        <v>7346</v>
      </c>
      <c r="D35" s="123"/>
      <c r="E35" s="125"/>
      <c r="F35" s="195"/>
      <c r="G35" s="123">
        <v>1</v>
      </c>
      <c r="H35" s="196">
        <v>37284</v>
      </c>
      <c r="I35" s="198">
        <v>2</v>
      </c>
      <c r="J35" s="198" t="s">
        <v>10662</v>
      </c>
      <c r="K35" s="200" t="s">
        <v>10642</v>
      </c>
      <c r="L35" s="200" t="s">
        <v>10663</v>
      </c>
      <c r="M35" s="115" t="s">
        <v>10664</v>
      </c>
      <c r="N35" s="115" t="s">
        <v>10494</v>
      </c>
      <c r="O35" s="115">
        <v>74359478</v>
      </c>
      <c r="P35" s="200" t="s">
        <v>10501</v>
      </c>
      <c r="Q35" s="200"/>
      <c r="R35" s="115" t="s">
        <v>7342</v>
      </c>
      <c r="S35" s="115" t="s">
        <v>7343</v>
      </c>
      <c r="T35" s="115">
        <v>208</v>
      </c>
      <c r="U35" s="119">
        <v>37236</v>
      </c>
      <c r="V35" s="115">
        <v>5</v>
      </c>
      <c r="W35" s="115" t="s">
        <v>7346</v>
      </c>
      <c r="X35" s="122"/>
      <c r="Y35" s="202" t="e">
        <f>VLOOKUP(Z35,CHOOSE({2,1},Tabla__192.168.100.130_SQLCOPNIA_COPNIA_ParametrosGenerales[idParametro],Tabla__192.168.100.130_SQLCOPNIA_COPNIA_ParametrosGenerales[Parametro]),2,0)</f>
        <v>#N/A</v>
      </c>
      <c r="Z35" s="124"/>
    </row>
    <row r="36" spans="1:26" ht="105" x14ac:dyDescent="0.25">
      <c r="A36" s="121">
        <v>35</v>
      </c>
      <c r="B36" s="123" t="s">
        <v>10665</v>
      </c>
      <c r="C36" s="123" t="s">
        <v>7346</v>
      </c>
      <c r="D36" s="123"/>
      <c r="E36" s="125"/>
      <c r="F36" s="195"/>
      <c r="G36" s="123">
        <v>24</v>
      </c>
      <c r="H36" s="196">
        <v>39905</v>
      </c>
      <c r="I36" s="198">
        <v>2</v>
      </c>
      <c r="J36" s="198" t="s">
        <v>10666</v>
      </c>
      <c r="K36" s="200" t="s">
        <v>10667</v>
      </c>
      <c r="L36" s="200" t="s">
        <v>10668</v>
      </c>
      <c r="M36" s="115" t="s">
        <v>10669</v>
      </c>
      <c r="N36" s="115" t="s">
        <v>10494</v>
      </c>
      <c r="O36" s="115">
        <v>79887470</v>
      </c>
      <c r="P36" s="200" t="s">
        <v>10501</v>
      </c>
      <c r="Q36" s="200"/>
      <c r="R36" s="115" t="s">
        <v>7342</v>
      </c>
      <c r="S36" s="115" t="s">
        <v>7343</v>
      </c>
      <c r="T36" s="115">
        <v>235</v>
      </c>
      <c r="U36" s="119">
        <v>37967</v>
      </c>
      <c r="V36" s="115">
        <v>5</v>
      </c>
      <c r="W36" s="115" t="s">
        <v>7346</v>
      </c>
      <c r="X36" s="122" t="s">
        <v>10670</v>
      </c>
      <c r="Y36" s="202" t="e">
        <f>VLOOKUP(Z36,CHOOSE({2,1},Tabla__192.168.100.130_SQLCOPNIA_COPNIA_ParametrosGenerales[idParametro],Tabla__192.168.100.130_SQLCOPNIA_COPNIA_ParametrosGenerales[Parametro]),2,0)</f>
        <v>#N/A</v>
      </c>
      <c r="Z36" s="124"/>
    </row>
    <row r="37" spans="1:26" x14ac:dyDescent="0.25">
      <c r="A37" s="121">
        <v>36</v>
      </c>
      <c r="B37" s="123" t="s">
        <v>10671</v>
      </c>
      <c r="C37" s="123" t="s">
        <v>7346</v>
      </c>
      <c r="D37" s="123"/>
      <c r="E37" s="125"/>
      <c r="F37" s="195"/>
      <c r="G37" s="123">
        <v>11</v>
      </c>
      <c r="H37" s="196">
        <v>37018</v>
      </c>
      <c r="I37" s="198">
        <v>2</v>
      </c>
      <c r="J37" s="198" t="s">
        <v>10672</v>
      </c>
      <c r="K37" s="200" t="s">
        <v>10673</v>
      </c>
      <c r="L37" s="200" t="s">
        <v>10674</v>
      </c>
      <c r="M37" s="115"/>
      <c r="N37" s="115" t="s">
        <v>10494</v>
      </c>
      <c r="O37" s="115">
        <v>11345369</v>
      </c>
      <c r="P37" s="200" t="s">
        <v>10501</v>
      </c>
      <c r="Q37" s="200"/>
      <c r="R37" s="115" t="s">
        <v>7335</v>
      </c>
      <c r="S37" s="115" t="s">
        <v>10525</v>
      </c>
      <c r="T37" s="115">
        <v>2000.1311000000001</v>
      </c>
      <c r="U37" s="119">
        <v>36794</v>
      </c>
      <c r="V37" s="115">
        <v>7</v>
      </c>
      <c r="W37" s="115" t="s">
        <v>7346</v>
      </c>
      <c r="X37" s="122"/>
      <c r="Y37" s="202" t="e">
        <f>VLOOKUP(Z37,CHOOSE({2,1},Tabla__192.168.100.130_SQLCOPNIA_COPNIA_ParametrosGenerales[idParametro],Tabla__192.168.100.130_SQLCOPNIA_COPNIA_ParametrosGenerales[Parametro]),2,0)</f>
        <v>#N/A</v>
      </c>
      <c r="Z37" s="124"/>
    </row>
    <row r="38" spans="1:26" x14ac:dyDescent="0.25">
      <c r="A38" s="121">
        <v>37</v>
      </c>
      <c r="B38" s="123" t="s">
        <v>10675</v>
      </c>
      <c r="C38" s="123" t="s">
        <v>7346</v>
      </c>
      <c r="D38" s="123"/>
      <c r="E38" s="125"/>
      <c r="F38" s="195"/>
      <c r="G38" s="123">
        <v>19</v>
      </c>
      <c r="H38" s="196">
        <v>37494</v>
      </c>
      <c r="I38" s="198">
        <v>2</v>
      </c>
      <c r="J38" s="198" t="s">
        <v>10676</v>
      </c>
      <c r="K38" s="200" t="s">
        <v>10677</v>
      </c>
      <c r="L38" s="200" t="s">
        <v>10557</v>
      </c>
      <c r="M38" s="115" t="s">
        <v>10678</v>
      </c>
      <c r="N38" s="115" t="s">
        <v>10494</v>
      </c>
      <c r="O38" s="115">
        <v>17589158</v>
      </c>
      <c r="P38" s="200" t="s">
        <v>10501</v>
      </c>
      <c r="Q38" s="200"/>
      <c r="R38" s="115" t="s">
        <v>7338</v>
      </c>
      <c r="S38" s="115" t="s">
        <v>7344</v>
      </c>
      <c r="T38" s="115">
        <v>46</v>
      </c>
      <c r="U38" s="119">
        <v>35244</v>
      </c>
      <c r="V38" s="115">
        <v>5</v>
      </c>
      <c r="W38" s="115" t="s">
        <v>7346</v>
      </c>
      <c r="X38" s="122"/>
      <c r="Y38" s="202" t="e">
        <f>VLOOKUP(Z38,CHOOSE({2,1},Tabla__192.168.100.130_SQLCOPNIA_COPNIA_ParametrosGenerales[idParametro],Tabla__192.168.100.130_SQLCOPNIA_COPNIA_ParametrosGenerales[Parametro]),2,0)</f>
        <v>#N/A</v>
      </c>
      <c r="Z38" s="124"/>
    </row>
    <row r="39" spans="1:26" x14ac:dyDescent="0.25">
      <c r="A39" s="121">
        <v>38</v>
      </c>
      <c r="B39" s="123" t="s">
        <v>10679</v>
      </c>
      <c r="C39" s="123" t="s">
        <v>7346</v>
      </c>
      <c r="D39" s="123"/>
      <c r="E39" s="125"/>
      <c r="F39" s="195"/>
      <c r="G39" s="123">
        <v>5</v>
      </c>
      <c r="H39" s="196">
        <v>36962</v>
      </c>
      <c r="I39" s="198">
        <v>2</v>
      </c>
      <c r="J39" s="198" t="s">
        <v>10680</v>
      </c>
      <c r="K39" s="200" t="s">
        <v>10681</v>
      </c>
      <c r="L39" s="200" t="s">
        <v>10682</v>
      </c>
      <c r="M39" s="115" t="s">
        <v>10683</v>
      </c>
      <c r="N39" s="115" t="s">
        <v>10494</v>
      </c>
      <c r="O39" s="115">
        <v>40430396</v>
      </c>
      <c r="P39" s="200" t="s">
        <v>10660</v>
      </c>
      <c r="Q39" s="200"/>
      <c r="R39" s="115" t="s">
        <v>7335</v>
      </c>
      <c r="S39" s="115" t="s">
        <v>10525</v>
      </c>
      <c r="T39" s="115">
        <v>2000.0442</v>
      </c>
      <c r="U39" s="119">
        <v>36671</v>
      </c>
      <c r="V39" s="115">
        <v>5</v>
      </c>
      <c r="W39" s="115" t="s">
        <v>7346</v>
      </c>
      <c r="X39" s="122"/>
      <c r="Y39" s="202" t="e">
        <f>VLOOKUP(Z39,CHOOSE({2,1},Tabla__192.168.100.130_SQLCOPNIA_COPNIA_ParametrosGenerales[idParametro],Tabla__192.168.100.130_SQLCOPNIA_COPNIA_ParametrosGenerales[Parametro]),2,0)</f>
        <v>#N/A</v>
      </c>
      <c r="Z39" s="124"/>
    </row>
    <row r="40" spans="1:26" ht="60" x14ac:dyDescent="0.25">
      <c r="A40" s="121">
        <v>39</v>
      </c>
      <c r="B40" s="123" t="s">
        <v>10684</v>
      </c>
      <c r="C40" s="123" t="s">
        <v>7346</v>
      </c>
      <c r="D40" s="123"/>
      <c r="E40" s="125"/>
      <c r="F40" s="195"/>
      <c r="G40" s="123">
        <v>5</v>
      </c>
      <c r="H40" s="196">
        <v>37739</v>
      </c>
      <c r="I40" s="198">
        <v>2</v>
      </c>
      <c r="J40" s="198" t="s">
        <v>10685</v>
      </c>
      <c r="K40" s="200" t="s">
        <v>10686</v>
      </c>
      <c r="L40" s="200" t="s">
        <v>10687</v>
      </c>
      <c r="M40" s="115" t="s">
        <v>10688</v>
      </c>
      <c r="N40" s="115" t="s">
        <v>10494</v>
      </c>
      <c r="O40" s="115">
        <v>4436664</v>
      </c>
      <c r="P40" s="200" t="s">
        <v>10501</v>
      </c>
      <c r="Q40" s="200"/>
      <c r="R40" s="115" t="s">
        <v>7336</v>
      </c>
      <c r="S40" s="115" t="s">
        <v>10525</v>
      </c>
      <c r="T40" s="115" t="s">
        <v>10689</v>
      </c>
      <c r="U40" s="119">
        <v>37326</v>
      </c>
      <c r="V40" s="115">
        <v>9</v>
      </c>
      <c r="W40" s="115" t="s">
        <v>7346</v>
      </c>
      <c r="X40" s="122" t="s">
        <v>10690</v>
      </c>
      <c r="Y40" s="202" t="e">
        <f>VLOOKUP(Z40,CHOOSE({2,1},Tabla__192.168.100.130_SQLCOPNIA_COPNIA_ParametrosGenerales[idParametro],Tabla__192.168.100.130_SQLCOPNIA_COPNIA_ParametrosGenerales[Parametro]),2,0)</f>
        <v>#N/A</v>
      </c>
      <c r="Z40" s="124"/>
    </row>
    <row r="41" spans="1:26" ht="60" x14ac:dyDescent="0.25">
      <c r="A41" s="121">
        <v>40</v>
      </c>
      <c r="B41" s="123" t="s">
        <v>10691</v>
      </c>
      <c r="C41" s="123" t="s">
        <v>7346</v>
      </c>
      <c r="D41" s="123"/>
      <c r="E41" s="125"/>
      <c r="F41" s="195"/>
      <c r="G41" s="123">
        <v>16</v>
      </c>
      <c r="H41" s="196">
        <v>37781</v>
      </c>
      <c r="I41" s="198">
        <v>2</v>
      </c>
      <c r="J41" s="198" t="s">
        <v>10692</v>
      </c>
      <c r="K41" s="200" t="s">
        <v>10693</v>
      </c>
      <c r="L41" s="200" t="s">
        <v>10537</v>
      </c>
      <c r="M41" s="115" t="s">
        <v>10628</v>
      </c>
      <c r="N41" s="115" t="s">
        <v>10494</v>
      </c>
      <c r="O41" s="115">
        <v>10177954</v>
      </c>
      <c r="P41" s="200" t="s">
        <v>10501</v>
      </c>
      <c r="Q41" s="200"/>
      <c r="R41" s="115" t="s">
        <v>7336</v>
      </c>
      <c r="S41" s="115" t="s">
        <v>10525</v>
      </c>
      <c r="T41" s="115" t="s">
        <v>10694</v>
      </c>
      <c r="U41" s="119">
        <v>37326</v>
      </c>
      <c r="V41" s="115">
        <v>8</v>
      </c>
      <c r="W41" s="115" t="s">
        <v>7346</v>
      </c>
      <c r="X41" s="122" t="s">
        <v>10690</v>
      </c>
      <c r="Y41" s="202" t="e">
        <f>VLOOKUP(Z41,CHOOSE({2,1},Tabla__192.168.100.130_SQLCOPNIA_COPNIA_ParametrosGenerales[idParametro],Tabla__192.168.100.130_SQLCOPNIA_COPNIA_ParametrosGenerales[Parametro]),2,0)</f>
        <v>#N/A</v>
      </c>
      <c r="Z41" s="124"/>
    </row>
    <row r="42" spans="1:26" ht="60" x14ac:dyDescent="0.25">
      <c r="A42" s="121">
        <v>41</v>
      </c>
      <c r="B42" s="123" t="s">
        <v>10695</v>
      </c>
      <c r="C42" s="123" t="s">
        <v>7346</v>
      </c>
      <c r="D42" s="123"/>
      <c r="E42" s="125"/>
      <c r="F42" s="195"/>
      <c r="G42" s="123">
        <v>16</v>
      </c>
      <c r="H42" s="196">
        <v>37781</v>
      </c>
      <c r="I42" s="198">
        <v>2</v>
      </c>
      <c r="J42" s="198" t="s">
        <v>10696</v>
      </c>
      <c r="K42" s="200" t="s">
        <v>10697</v>
      </c>
      <c r="L42" s="200" t="s">
        <v>10537</v>
      </c>
      <c r="M42" s="115" t="s">
        <v>10628</v>
      </c>
      <c r="N42" s="115" t="s">
        <v>10494</v>
      </c>
      <c r="O42" s="115">
        <v>10173970</v>
      </c>
      <c r="P42" s="200" t="s">
        <v>10501</v>
      </c>
      <c r="Q42" s="200"/>
      <c r="R42" s="115" t="s">
        <v>7336</v>
      </c>
      <c r="S42" s="115" t="s">
        <v>10525</v>
      </c>
      <c r="T42" s="115" t="s">
        <v>10698</v>
      </c>
      <c r="U42" s="119">
        <v>37326</v>
      </c>
      <c r="V42" s="115">
        <v>8</v>
      </c>
      <c r="W42" s="115" t="s">
        <v>7346</v>
      </c>
      <c r="X42" s="122" t="s">
        <v>10690</v>
      </c>
      <c r="Y42" s="202" t="e">
        <f>VLOOKUP(Z42,CHOOSE({2,1},Tabla__192.168.100.130_SQLCOPNIA_COPNIA_ParametrosGenerales[idParametro],Tabla__192.168.100.130_SQLCOPNIA_COPNIA_ParametrosGenerales[Parametro]),2,0)</f>
        <v>#N/A</v>
      </c>
      <c r="Z42" s="124"/>
    </row>
    <row r="43" spans="1:26" ht="60" x14ac:dyDescent="0.25">
      <c r="A43" s="121">
        <v>42</v>
      </c>
      <c r="B43" s="123" t="s">
        <v>10699</v>
      </c>
      <c r="C43" s="123" t="s">
        <v>7346</v>
      </c>
      <c r="D43" s="123"/>
      <c r="E43" s="125"/>
      <c r="F43" s="195"/>
      <c r="G43" s="123">
        <v>18</v>
      </c>
      <c r="H43" s="196">
        <v>37844</v>
      </c>
      <c r="I43" s="198">
        <v>2</v>
      </c>
      <c r="J43" s="198" t="s">
        <v>10696</v>
      </c>
      <c r="K43" s="200" t="s">
        <v>10572</v>
      </c>
      <c r="L43" s="200" t="s">
        <v>10700</v>
      </c>
      <c r="M43" s="115"/>
      <c r="N43" s="115" t="s">
        <v>10494</v>
      </c>
      <c r="O43" s="115">
        <v>7506224</v>
      </c>
      <c r="P43" s="200" t="s">
        <v>10501</v>
      </c>
      <c r="Q43" s="200"/>
      <c r="R43" s="115" t="s">
        <v>7336</v>
      </c>
      <c r="S43" s="115" t="s">
        <v>10525</v>
      </c>
      <c r="T43" s="115" t="s">
        <v>10701</v>
      </c>
      <c r="U43" s="119">
        <v>37600</v>
      </c>
      <c r="V43" s="115">
        <v>7</v>
      </c>
      <c r="W43" s="115" t="s">
        <v>7346</v>
      </c>
      <c r="X43" s="122" t="s">
        <v>10690</v>
      </c>
      <c r="Y43" s="202" t="e">
        <f>VLOOKUP(Z43,CHOOSE({2,1},Tabla__192.168.100.130_SQLCOPNIA_COPNIA_ParametrosGenerales[idParametro],Tabla__192.168.100.130_SQLCOPNIA_COPNIA_ParametrosGenerales[Parametro]),2,0)</f>
        <v>#N/A</v>
      </c>
      <c r="Z43" s="124"/>
    </row>
    <row r="44" spans="1:26" ht="60" x14ac:dyDescent="0.25">
      <c r="A44" s="121">
        <v>43</v>
      </c>
      <c r="B44" s="123" t="s">
        <v>10702</v>
      </c>
      <c r="C44" s="123" t="s">
        <v>10703</v>
      </c>
      <c r="D44" s="123"/>
      <c r="E44" s="125"/>
      <c r="F44" s="195"/>
      <c r="G44" s="123">
        <v>19</v>
      </c>
      <c r="H44" s="196">
        <v>37879</v>
      </c>
      <c r="I44" s="198">
        <v>2</v>
      </c>
      <c r="J44" s="198" t="s">
        <v>10594</v>
      </c>
      <c r="K44" s="200" t="s">
        <v>10704</v>
      </c>
      <c r="L44" s="200" t="s">
        <v>10645</v>
      </c>
      <c r="M44" s="115"/>
      <c r="N44" s="115" t="s">
        <v>10494</v>
      </c>
      <c r="O44" s="115">
        <v>16160299</v>
      </c>
      <c r="P44" s="200" t="s">
        <v>10501</v>
      </c>
      <c r="Q44" s="200"/>
      <c r="R44" s="115" t="s">
        <v>7336</v>
      </c>
      <c r="S44" s="115" t="s">
        <v>10525</v>
      </c>
      <c r="T44" s="115">
        <v>889</v>
      </c>
      <c r="U44" s="119">
        <v>37833</v>
      </c>
      <c r="V44" s="115">
        <v>10</v>
      </c>
      <c r="W44" s="115" t="s">
        <v>10703</v>
      </c>
      <c r="X44" s="122" t="s">
        <v>10690</v>
      </c>
      <c r="Y44" s="202" t="e">
        <f>VLOOKUP(Z44,CHOOSE({2,1},Tabla__192.168.100.130_SQLCOPNIA_COPNIA_ParametrosGenerales[idParametro],Tabla__192.168.100.130_SQLCOPNIA_COPNIA_ParametrosGenerales[Parametro]),2,0)</f>
        <v>#N/A</v>
      </c>
      <c r="Z44" s="124"/>
    </row>
    <row r="45" spans="1:26" ht="105" x14ac:dyDescent="0.25">
      <c r="A45" s="121">
        <v>44</v>
      </c>
      <c r="B45" s="123" t="s">
        <v>10705</v>
      </c>
      <c r="C45" s="123" t="s">
        <v>7346</v>
      </c>
      <c r="D45" s="123"/>
      <c r="E45" s="125"/>
      <c r="F45" s="195"/>
      <c r="G45" s="123">
        <v>1</v>
      </c>
      <c r="H45" s="196">
        <v>36549</v>
      </c>
      <c r="I45" s="198">
        <v>2</v>
      </c>
      <c r="J45" s="198" t="s">
        <v>10706</v>
      </c>
      <c r="K45" s="200" t="s">
        <v>10707</v>
      </c>
      <c r="L45" s="200" t="s">
        <v>10708</v>
      </c>
      <c r="M45" s="115" t="s">
        <v>10709</v>
      </c>
      <c r="N45" s="115" t="s">
        <v>10494</v>
      </c>
      <c r="O45" s="115">
        <v>97490018</v>
      </c>
      <c r="P45" s="200" t="s">
        <v>10501</v>
      </c>
      <c r="Q45" s="200"/>
      <c r="R45" s="115" t="s">
        <v>7336</v>
      </c>
      <c r="S45" s="115" t="s">
        <v>10525</v>
      </c>
      <c r="T45" s="115">
        <v>98.013199999999998</v>
      </c>
      <c r="U45" s="119">
        <v>36020</v>
      </c>
      <c r="V45" s="115">
        <v>7</v>
      </c>
      <c r="W45" s="115" t="s">
        <v>7346</v>
      </c>
      <c r="X45" s="122" t="s">
        <v>10710</v>
      </c>
      <c r="Y45" s="202" t="e">
        <f>VLOOKUP(Z45,CHOOSE({2,1},Tabla__192.168.100.130_SQLCOPNIA_COPNIA_ParametrosGenerales[idParametro],Tabla__192.168.100.130_SQLCOPNIA_COPNIA_ParametrosGenerales[Parametro]),2,0)</f>
        <v>#N/A</v>
      </c>
      <c r="Z45" s="124"/>
    </row>
    <row r="46" spans="1:26" ht="105" x14ac:dyDescent="0.25">
      <c r="A46" s="121">
        <v>45</v>
      </c>
      <c r="B46" s="123" t="s">
        <v>10711</v>
      </c>
      <c r="C46" s="123" t="s">
        <v>7346</v>
      </c>
      <c r="D46" s="123"/>
      <c r="E46" s="125"/>
      <c r="F46" s="195"/>
      <c r="G46" s="123">
        <v>13</v>
      </c>
      <c r="H46" s="196">
        <v>37053</v>
      </c>
      <c r="I46" s="198">
        <v>2</v>
      </c>
      <c r="J46" s="198" t="s">
        <v>10585</v>
      </c>
      <c r="K46" s="200" t="s">
        <v>10712</v>
      </c>
      <c r="L46" s="200" t="s">
        <v>10604</v>
      </c>
      <c r="M46" s="115"/>
      <c r="N46" s="115" t="s">
        <v>10494</v>
      </c>
      <c r="O46" s="115">
        <v>4248459</v>
      </c>
      <c r="P46" s="200" t="s">
        <v>10501</v>
      </c>
      <c r="Q46" s="200"/>
      <c r="R46" s="115" t="s">
        <v>7335</v>
      </c>
      <c r="S46" s="115" t="s">
        <v>10525</v>
      </c>
      <c r="T46" s="115">
        <v>2000.1315999999999</v>
      </c>
      <c r="U46" s="119">
        <v>36794</v>
      </c>
      <c r="V46" s="115">
        <v>8</v>
      </c>
      <c r="W46" s="115" t="s">
        <v>7346</v>
      </c>
      <c r="X46" s="122" t="s">
        <v>10713</v>
      </c>
      <c r="Y46" s="202" t="e">
        <f>VLOOKUP(Z46,CHOOSE({2,1},Tabla__192.168.100.130_SQLCOPNIA_COPNIA_ParametrosGenerales[idParametro],Tabla__192.168.100.130_SQLCOPNIA_COPNIA_ParametrosGenerales[Parametro]),2,0)</f>
        <v>#N/A</v>
      </c>
      <c r="Z46" s="124"/>
    </row>
    <row r="47" spans="1:26" ht="105" x14ac:dyDescent="0.25">
      <c r="A47" s="121">
        <v>46</v>
      </c>
      <c r="B47" s="123" t="s">
        <v>10714</v>
      </c>
      <c r="C47" s="123" t="s">
        <v>10715</v>
      </c>
      <c r="D47" s="123"/>
      <c r="E47" s="125"/>
      <c r="F47" s="195"/>
      <c r="G47" s="123">
        <v>5</v>
      </c>
      <c r="H47" s="196">
        <v>37333</v>
      </c>
      <c r="I47" s="198">
        <v>2</v>
      </c>
      <c r="J47" s="198" t="s">
        <v>10716</v>
      </c>
      <c r="K47" s="200" t="s">
        <v>10716</v>
      </c>
      <c r="L47" s="200" t="s">
        <v>10717</v>
      </c>
      <c r="M47" s="115"/>
      <c r="N47" s="115" t="s">
        <v>10494</v>
      </c>
      <c r="O47" s="115">
        <v>18435251</v>
      </c>
      <c r="P47" s="200" t="s">
        <v>10501</v>
      </c>
      <c r="Q47" s="200"/>
      <c r="R47" s="115" t="s">
        <v>7336</v>
      </c>
      <c r="S47" s="115" t="s">
        <v>10525</v>
      </c>
      <c r="T47" s="115">
        <v>6</v>
      </c>
      <c r="U47" s="119">
        <v>35920</v>
      </c>
      <c r="V47" s="115">
        <v>5</v>
      </c>
      <c r="W47" s="115" t="s">
        <v>10715</v>
      </c>
      <c r="X47" s="122" t="s">
        <v>10718</v>
      </c>
      <c r="Y47" s="202" t="e">
        <f>VLOOKUP(Z47,CHOOSE({2,1},Tabla__192.168.100.130_SQLCOPNIA_COPNIA_ParametrosGenerales[idParametro],Tabla__192.168.100.130_SQLCOPNIA_COPNIA_ParametrosGenerales[Parametro]),2,0)</f>
        <v>#N/A</v>
      </c>
      <c r="Z47" s="124"/>
    </row>
    <row r="48" spans="1:26" ht="60" x14ac:dyDescent="0.25">
      <c r="A48" s="121">
        <v>47</v>
      </c>
      <c r="B48" s="194">
        <v>55</v>
      </c>
      <c r="C48" s="194" t="s">
        <v>7346</v>
      </c>
      <c r="D48" s="194"/>
      <c r="E48" s="203"/>
      <c r="F48" s="195"/>
      <c r="G48" s="194">
        <v>2</v>
      </c>
      <c r="H48" s="204">
        <v>37279</v>
      </c>
      <c r="I48" s="198">
        <v>100</v>
      </c>
      <c r="J48" s="198" t="s">
        <v>10719</v>
      </c>
      <c r="K48" s="200" t="s">
        <v>10720</v>
      </c>
      <c r="L48" s="200" t="s">
        <v>10721</v>
      </c>
      <c r="M48" s="199"/>
      <c r="N48" s="199" t="s">
        <v>10494</v>
      </c>
      <c r="O48" s="199">
        <v>1127344280</v>
      </c>
      <c r="P48" s="200" t="s">
        <v>10501</v>
      </c>
      <c r="Q48" s="200"/>
      <c r="R48" s="199" t="s">
        <v>7347</v>
      </c>
      <c r="S48" s="199" t="s">
        <v>7348</v>
      </c>
      <c r="T48" s="199">
        <v>0</v>
      </c>
      <c r="U48" s="205">
        <v>37241</v>
      </c>
      <c r="V48" s="199">
        <v>0</v>
      </c>
      <c r="W48" s="199" t="s">
        <v>10722</v>
      </c>
      <c r="X48" s="206" t="s">
        <v>10723</v>
      </c>
      <c r="Y48" s="207" t="e">
        <f>VLOOKUP(Z48,CHOOSE({2,1},Tabla__192.168.100.130_SQLCOPNIA_COPNIA_ParametrosGenerales[idParametro],Tabla__192.168.100.130_SQLCOPNIA_COPNIA_ParametrosGenerales[Parametro]),2,0)</f>
        <v>#N/A</v>
      </c>
      <c r="Z48" s="208"/>
    </row>
  </sheetData>
  <dataValidations count="4">
    <dataValidation type="list" allowBlank="1" showInputMessage="1" showErrorMessage="1" sqref="R2:R48">
      <formula1>PROFESIONES</formula1>
    </dataValidation>
    <dataValidation type="list" allowBlank="1" showInputMessage="1" showErrorMessage="1" sqref="S2:S48">
      <formula1>UNIVERSIDADES</formula1>
    </dataValidation>
    <dataValidation type="list" allowBlank="1" showInputMessage="1" showErrorMessage="1" sqref="Z2:Z48">
      <formula1>HOMOLOGACONSEJO</formula1>
    </dataValidation>
    <dataValidation type="list" allowBlank="1" showInputMessage="1" showErrorMessage="1" sqref="I2:I48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61" t="s">
        <v>5461</v>
      </c>
      <c r="Q2" s="162"/>
      <c r="R2" s="162"/>
      <c r="S2" s="163"/>
    </row>
    <row r="3" spans="1:22" ht="16.5" customHeight="1" x14ac:dyDescent="0.25">
      <c r="A3" s="164" t="s">
        <v>5462</v>
      </c>
      <c r="B3" s="165"/>
      <c r="C3" s="166" t="s">
        <v>5463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  <c r="N3" s="169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71" t="s">
        <v>5469</v>
      </c>
      <c r="B4" s="172"/>
      <c r="C4" s="173" t="str">
        <f>IF(C3=C851,"&lt;Nombre del responsable de los Documentos&gt;",VLOOKUP(C3,$C$852:$F$886,3,FALSE))</f>
        <v>DIEGO FERNANDO BRIÑEZ HERNANDEZ</v>
      </c>
      <c r="D4" s="174"/>
      <c r="E4" s="175"/>
      <c r="F4" s="175"/>
      <c r="G4" s="175"/>
      <c r="H4" s="175"/>
      <c r="I4" s="175"/>
      <c r="J4" s="175"/>
      <c r="K4" s="175"/>
      <c r="L4" s="175"/>
      <c r="M4" s="176"/>
      <c r="N4" s="170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77" t="s">
        <v>5471</v>
      </c>
      <c r="B5" s="178"/>
      <c r="C5" s="178"/>
      <c r="D5" s="28"/>
      <c r="E5" s="179" t="s">
        <v>5472</v>
      </c>
      <c r="F5" s="179"/>
      <c r="G5" s="179"/>
      <c r="H5" s="179"/>
      <c r="I5" s="179"/>
      <c r="J5" s="179"/>
      <c r="K5" s="179"/>
      <c r="L5" s="180"/>
      <c r="M5" s="181"/>
      <c r="N5" s="170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82" t="s">
        <v>5476</v>
      </c>
      <c r="F7" s="183"/>
      <c r="G7" s="184" t="s">
        <v>5477</v>
      </c>
      <c r="H7" s="185"/>
      <c r="I7" s="39"/>
      <c r="J7" s="186" t="s">
        <v>5478</v>
      </c>
      <c r="K7" s="187"/>
      <c r="L7" s="187"/>
      <c r="M7" s="187"/>
      <c r="N7" s="187"/>
      <c r="O7" s="188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9"/>
      <c r="B838" s="190"/>
      <c r="C838" s="190"/>
      <c r="D838" s="190"/>
      <c r="E838" s="190"/>
      <c r="F838" s="190"/>
      <c r="G838" s="190"/>
      <c r="H838" s="190"/>
      <c r="I838" s="190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91" t="s">
        <v>7252</v>
      </c>
      <c r="F839" s="192"/>
      <c r="G839" s="192"/>
      <c r="H839" s="192"/>
      <c r="I839" s="192"/>
      <c r="J839" s="192"/>
      <c r="K839" s="192"/>
      <c r="L839" s="192"/>
      <c r="M839" s="192"/>
      <c r="N839" s="192"/>
      <c r="O839" s="192"/>
      <c r="P839" s="192"/>
      <c r="Q839" s="192"/>
      <c r="R839" s="192"/>
      <c r="S839" s="193"/>
    </row>
    <row r="840" spans="1:22" s="63" customFormat="1" x14ac:dyDescent="0.25">
      <c r="A840" s="157" t="s">
        <v>7253</v>
      </c>
      <c r="B840" s="158"/>
      <c r="C840" s="159"/>
      <c r="D840" s="159"/>
      <c r="E840" s="159"/>
      <c r="F840" s="159"/>
      <c r="G840" s="159"/>
      <c r="H840" s="159"/>
      <c r="I840" s="159"/>
      <c r="J840" s="159"/>
      <c r="K840" s="159"/>
      <c r="L840" s="159"/>
      <c r="M840" s="159"/>
      <c r="N840" s="159"/>
      <c r="O840" s="159"/>
      <c r="P840" s="159"/>
      <c r="Q840" s="159"/>
      <c r="R840" s="159"/>
      <c r="S840" s="160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43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5"/>
    </row>
    <row r="843" spans="1:22" s="63" customFormat="1" ht="33" customHeight="1" x14ac:dyDescent="0.25">
      <c r="A843" s="146" t="s">
        <v>7254</v>
      </c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8"/>
    </row>
    <row r="844" spans="1:22" s="63" customFormat="1" ht="15.75" thickBot="1" x14ac:dyDescent="0.3">
      <c r="A844" s="143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5"/>
    </row>
    <row r="845" spans="1:22" s="100" customFormat="1" ht="22.5" customHeight="1" x14ac:dyDescent="0.25">
      <c r="A845" s="149" t="s">
        <v>7255</v>
      </c>
      <c r="B845" s="150"/>
      <c r="C845" s="96" t="s">
        <v>7256</v>
      </c>
      <c r="D845" s="97"/>
      <c r="E845" s="98" t="s">
        <v>7257</v>
      </c>
      <c r="F845" s="151"/>
      <c r="G845" s="151"/>
      <c r="H845" s="151"/>
      <c r="I845" s="152"/>
      <c r="J845" s="153" t="s">
        <v>7258</v>
      </c>
      <c r="K845" s="154"/>
      <c r="L845" s="154"/>
      <c r="M845" s="154"/>
      <c r="N845" s="154"/>
      <c r="O845" s="99"/>
      <c r="P845" s="155"/>
      <c r="Q845" s="155"/>
      <c r="R845" s="155"/>
      <c r="S845" s="156"/>
      <c r="V845" s="63"/>
    </row>
    <row r="846" spans="1:22" s="102" customFormat="1" ht="39" customHeight="1" thickBot="1" x14ac:dyDescent="0.25">
      <c r="A846" s="129" t="s">
        <v>7259</v>
      </c>
      <c r="B846" s="130"/>
      <c r="C846" s="131"/>
      <c r="D846" s="101"/>
      <c r="E846" s="132" t="s">
        <v>7259</v>
      </c>
      <c r="F846" s="133"/>
      <c r="G846" s="133"/>
      <c r="H846" s="133"/>
      <c r="I846" s="134"/>
      <c r="J846" s="135" t="s">
        <v>7259</v>
      </c>
      <c r="K846" s="136"/>
      <c r="L846" s="136"/>
      <c r="M846" s="136"/>
      <c r="N846" s="136"/>
      <c r="O846" s="136"/>
      <c r="P846" s="136"/>
      <c r="Q846" s="136"/>
      <c r="R846" s="136"/>
      <c r="S846" s="137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38"/>
      <c r="G847" s="139"/>
      <c r="H847" s="139"/>
      <c r="I847" s="140"/>
      <c r="J847" s="141" t="s">
        <v>7261</v>
      </c>
      <c r="K847" s="142"/>
      <c r="L847" s="142"/>
      <c r="M847" s="142"/>
      <c r="N847" s="138"/>
      <c r="O847" s="138"/>
      <c r="P847" s="139"/>
      <c r="Q847" s="139"/>
      <c r="R847" s="139"/>
      <c r="S847" s="140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42951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42950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42949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42948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42947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42946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42945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42944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  <mergeCell ref="A842:S842"/>
    <mergeCell ref="A843:S843"/>
    <mergeCell ref="A844:S844"/>
    <mergeCell ref="A845:B845"/>
    <mergeCell ref="F845:I845"/>
    <mergeCell ref="J845:N845"/>
    <mergeCell ref="P845:S845"/>
    <mergeCell ref="A846:C846"/>
    <mergeCell ref="E846:I846"/>
    <mergeCell ref="J846:S846"/>
    <mergeCell ref="F847:I847"/>
    <mergeCell ref="J847:M847"/>
    <mergeCell ref="N847:S847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copnia_1</cp:lastModifiedBy>
  <cp:lastPrinted>2015-01-08T19:48:44Z</cp:lastPrinted>
  <dcterms:created xsi:type="dcterms:W3CDTF">2014-12-04T22:20:08Z</dcterms:created>
  <dcterms:modified xsi:type="dcterms:W3CDTF">2017-08-04T14:03:05Z</dcterms:modified>
</cp:coreProperties>
</file>