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Cargue!$B$1:$V$6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4" i="2"/>
  <c r="Y5" i="2"/>
  <c r="Y6" i="2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<sst xmlns="http://schemas.openxmlformats.org/spreadsheetml/2006/main" count="28586" uniqueCount="10524">
  <si>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</si>
  <si>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</si>
  <si>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</si>
  <si>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</si>
  <si>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</si>
  <si>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</si>
  <si>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</si>
  <si>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</si>
  <si>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</si>
  <si>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</si>
  <si>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</si>
  <si>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</si>
  <si>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</si>
  <si>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</si>
  <si>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</si>
  <si>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</si>
  <si>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</si>
  <si>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</si>
  <si>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</si>
  <si>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</si>
  <si>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</si>
  <si>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</si>
  <si>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</si>
  <si>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</si>
  <si>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</si>
  <si>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</si>
  <si>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</si>
  <si>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</si>
  <si>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</si>
  <si>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</si>
  <si>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</si>
  <si>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</si>
  <si>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</si>
  <si>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</si>
  <si>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</si>
  <si>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</si>
  <si>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</si>
  <si>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</si>
  <si>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</si>
  <si>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</si>
  <si>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</si>
  <si>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</si>
  <si>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</si>
  <si>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</si>
  <si>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</si>
  <si>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</si>
  <si>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</si>
  <si>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</si>
  <si>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</si>
  <si>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</si>
  <si>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</si>
  <si>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</si>
  <si>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</si>
  <si>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</si>
  <si>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</si>
  <si>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</si>
  <si>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</si>
  <si>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</si>
  <si>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</si>
  <si>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</si>
  <si>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</si>
  <si>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</si>
  <si>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</si>
  <si>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</si>
  <si>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</si>
  <si>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</si>
  <si>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</si>
  <si>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</si>
  <si>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</si>
  <si>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</si>
  <si>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</si>
  <si>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</si>
  <si>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</si>
  <si>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</si>
  <si>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</si>
  <si>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</si>
  <si>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</si>
  <si>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</si>
  <si>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</si>
  <si>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</si>
  <si>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</si>
  <si>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</si>
  <si>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</si>
  <si>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</si>
  <si>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</si>
  <si>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</si>
  <si>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</si>
  <si>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</si>
  <si>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</si>
  <si>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</si>
  <si>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</si>
  <si>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</si>
  <si>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</si>
  <si>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</si>
  <si>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</si>
  <si>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</si>
  <si>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</si>
  <si>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</si>
  <si>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</si>
  <si>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</si>
  <si>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</si>
  <si>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</si>
  <si>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</si>
  <si>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</si>
  <si>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</si>
  <si>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</si>
  <si>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</si>
  <si>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</si>
  <si>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</si>
  <si>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</si>
  <si>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</si>
  <si>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</si>
  <si>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</si>
  <si>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</si>
  <si>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</si>
  <si>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</si>
  <si>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</si>
  <si>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</si>
  <si>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</si>
  <si>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</si>
  <si>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</si>
  <si>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</si>
  <si>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</si>
  <si>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</si>
  <si>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</si>
  <si>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</si>
  <si>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</si>
  <si>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</si>
  <si>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</si>
  <si>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</si>
  <si>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</si>
  <si>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</si>
  <si>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</si>
  <si>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</si>
  <si>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</si>
  <si>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</si>
  <si>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</si>
  <si>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</si>
  <si>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</si>
  <si>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</si>
  <si>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</si>
  <si>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</si>
  <si>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</si>
  <si>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</si>
  <si>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</si>
  <si>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</si>
  <si>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</si>
  <si>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</si>
  <si>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</si>
  <si>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</si>
  <si>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</si>
  <si>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</si>
  <si>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</si>
  <si>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</si>
  <si>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</si>
  <si>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</si>
  <si>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</si>
  <si>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</si>
  <si>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</si>
  <si>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</si>
  <si>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</si>
  <si>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</si>
  <si>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</si>
  <si>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</si>
  <si>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</si>
  <si>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</si>
  <si>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</si>
  <si>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</si>
  <si>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</si>
  <si>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</si>
  <si>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</si>
  <si>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</si>
  <si>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</si>
  <si>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</si>
  <si>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</si>
  <si>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</si>
  <si>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</si>
  <si>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</si>
  <si>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</si>
  <si>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</si>
  <si>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</si>
  <si>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</si>
  <si>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</si>
  <si>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</si>
  <si>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</si>
  <si>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</si>
  <si>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</si>
  <si>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</si>
  <si>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</si>
  <si>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</si>
  <si>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</si>
  <si>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</si>
  <si>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</si>
  <si>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</si>
  <si>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</si>
  <si>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</si>
  <si>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</si>
  <si>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</si>
  <si>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</si>
  <si>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</si>
  <si>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</si>
  <si>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</si>
  <si>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</si>
  <si>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</si>
  <si>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</si>
  <si>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</si>
  <si>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</si>
  <si>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</si>
  <si>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</si>
  <si>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</si>
  <si>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</si>
  <si>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</si>
  <si>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</si>
  <si>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</si>
  <si>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</si>
  <si>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</si>
  <si>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</si>
  <si>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</si>
  <si>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</si>
  <si>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</si>
  <si>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</si>
  <si>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</si>
  <si>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</si>
  <si>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</si>
  <si>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</si>
  <si>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</si>
  <si>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</si>
  <si>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</si>
  <si>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</si>
  <si>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</si>
  <si>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</si>
  <si>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</si>
  <si>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</si>
  <si>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</si>
  <si>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</si>
  <si>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</si>
  <si>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</si>
  <si>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</si>
  <si>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</si>
  <si>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</si>
  <si>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</si>
  <si>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</si>
  <si>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</si>
  <si>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</si>
  <si>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</si>
  <si>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</si>
  <si>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</si>
  <si>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</si>
  <si>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</si>
  <si>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</si>
  <si>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</si>
  <si>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</si>
  <si>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</si>
  <si>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</si>
  <si>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</si>
  <si>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</si>
  <si>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</si>
  <si>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</si>
  <si>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</si>
  <si>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</si>
  <si>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</si>
  <si>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</si>
  <si>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</si>
  <si>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</si>
  <si>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</si>
  <si>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</si>
  <si>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</si>
  <si>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</si>
  <si>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</si>
  <si>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</si>
  <si>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</si>
  <si>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</si>
  <si>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</si>
  <si>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</si>
  <si>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</si>
  <si>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</si>
  <si>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</si>
  <si>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</si>
  <si>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</si>
  <si>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</si>
  <si>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</si>
  <si>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</si>
  <si>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</si>
  <si>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</si>
  <si>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</si>
  <si>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</si>
  <si>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</si>
  <si>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</si>
  <si>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</si>
  <si>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</si>
  <si>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</si>
  <si>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</si>
  <si>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</si>
  <si>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</si>
  <si>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</si>
  <si>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</si>
  <si>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</si>
  <si>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</si>
  <si>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</si>
  <si>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</si>
  <si>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</si>
  <si>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</si>
  <si>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</si>
  <si>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</si>
  <si>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</si>
  <si>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</si>
  <si>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</si>
  <si>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</si>
  <si>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</si>
  <si>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</si>
  <si>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</si>
  <si>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</si>
  <si>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</si>
  <si>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</si>
  <si>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</si>
  <si>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</si>
  <si>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</si>
  <si>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</si>
  <si>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</si>
  <si>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</si>
  <si>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</si>
  <si>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</si>
  <si>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</si>
  <si>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</si>
  <si>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</si>
  <si>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</si>
  <si>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</si>
  <si>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</si>
  <si>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</si>
  <si>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</si>
  <si>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</si>
  <si>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</si>
  <si>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</si>
  <si>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</si>
  <si>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</si>
  <si>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</si>
  <si>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</si>
  <si>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</si>
  <si>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</si>
  <si>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</si>
  <si>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</si>
  <si>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</si>
  <si>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</si>
  <si>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</si>
  <si>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</si>
  <si>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</si>
  <si>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</si>
  <si>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</si>
  <si>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</si>
  <si>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</si>
  <si>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</si>
  <si>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</si>
  <si>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</si>
  <si>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</si>
  <si>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</si>
  <si>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</si>
  <si>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</si>
  <si>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</si>
  <si>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</si>
  <si>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</si>
  <si>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</si>
  <si>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</si>
  <si>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</si>
  <si>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</si>
  <si>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</si>
  <si>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</si>
  <si>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</si>
  <si>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</si>
  <si>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</si>
  <si>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</si>
  <si>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</si>
  <si>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</si>
  <si>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</si>
  <si>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</si>
  <si>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</si>
  <si>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</si>
  <si>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</si>
  <si>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</si>
  <si>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</si>
  <si>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</si>
  <si>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</si>
  <si>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</si>
  <si>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</si>
  <si>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</si>
  <si>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</si>
  <si>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</si>
  <si>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</si>
  <si>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</si>
  <si>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</si>
  <si>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</si>
  <si>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</si>
  <si>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</si>
  <si>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</si>
  <si>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</si>
  <si>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</si>
  <si>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</si>
  <si>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</si>
  <si>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</si>
  <si>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</si>
  <si>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</si>
  <si>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</si>
  <si>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</si>
  <si>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</si>
  <si>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</si>
  <si>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</si>
  <si>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</si>
  <si>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</si>
  <si>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</si>
  <si>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</si>
  <si>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</si>
  <si>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</si>
  <si>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</si>
  <si>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</si>
  <si>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</si>
  <si>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</si>
  <si>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</si>
  <si>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</si>
  <si>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</si>
  <si>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</si>
  <si>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</si>
  <si>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</si>
  <si>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</si>
  <si>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</si>
  <si>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</si>
  <si>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</si>
  <si>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</si>
  <si>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</si>
  <si>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</si>
  <si>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</si>
  <si>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</si>
  <si>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</si>
  <si>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</si>
  <si>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</si>
  <si>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</si>
  <si>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</si>
  <si>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</si>
  <si>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</si>
  <si>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</si>
  <si>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</si>
  <si>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</si>
  <si>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</si>
  <si>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</si>
  <si>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</si>
  <si>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</si>
  <si>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</si>
  <si>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</si>
  <si>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</si>
  <si>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</si>
  <si>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</si>
  <si>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</si>
  <si>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</si>
  <si>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</si>
  <si>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</si>
  <si>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</si>
  <si>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</si>
  <si>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</si>
  <si>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</si>
  <si>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</si>
  <si>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</si>
  <si>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</si>
  <si>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</si>
  <si>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</si>
  <si>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</si>
  <si>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</si>
  <si>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</si>
  <si>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</si>
  <si>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</si>
  <si>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</si>
  <si>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</si>
  <si>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</si>
  <si>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</si>
  <si>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</si>
  <si>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</si>
  <si>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</si>
  <si>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</si>
  <si>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</si>
  <si>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</si>
  <si>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</si>
  <si>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</si>
  <si>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</si>
  <si>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</si>
  <si>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</si>
  <si>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</si>
  <si>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</si>
  <si>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</si>
  <si>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</si>
  <si>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</si>
  <si>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</si>
  <si>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</si>
  <si>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</si>
  <si>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</si>
  <si>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</si>
  <si>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</si>
  <si>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</si>
  <si>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</si>
  <si>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</si>
  <si>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</si>
  <si>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</si>
  <si>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</si>
  <si>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</si>
  <si>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</si>
  <si>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</si>
  <si>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</si>
  <si>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</si>
  <si>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</si>
  <si>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</si>
  <si>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</si>
  <si>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</si>
  <si>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</si>
  <si>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</si>
  <si>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</si>
  <si>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</si>
  <si>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</si>
  <si>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</si>
  <si>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</si>
  <si>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</si>
  <si>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</si>
  <si>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</si>
  <si>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</si>
  <si>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</si>
  <si>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</si>
  <si>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</si>
  <si>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</si>
  <si>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</si>
  <si>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</si>
  <si>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</si>
  <si>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</si>
  <si>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</si>
  <si>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</si>
  <si>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</si>
  <si>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</si>
  <si>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</si>
  <si>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</si>
  <si>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</si>
  <si>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</si>
  <si>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</si>
  <si>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</si>
  <si>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</si>
  <si>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</si>
  <si>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</si>
  <si>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</si>
  <si>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</si>
  <si>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</si>
  <si>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</si>
  <si>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</si>
  <si>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</si>
  <si>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</si>
  <si>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</si>
  <si>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</si>
  <si>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</si>
  <si>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</si>
  <si>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</si>
  <si>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</si>
  <si>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</si>
  <si>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</si>
  <si>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</si>
  <si>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</si>
  <si>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</si>
  <si>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</si>
  <si>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</si>
  <si>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</si>
  <si>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</si>
  <si>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</si>
  <si>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</si>
  <si>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</si>
  <si>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</si>
  <si>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</si>
  <si>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</si>
  <si>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</si>
  <si>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</si>
  <si>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</si>
  <si>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</si>
  <si>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</si>
  <si>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</si>
  <si>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</si>
  <si>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</si>
  <si>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</si>
  <si>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</si>
  <si>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</si>
  <si>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</si>
  <si>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</si>
  <si>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</si>
  <si>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</si>
  <si>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</si>
  <si>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</si>
  <si>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</si>
  <si>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</si>
  <si>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</si>
  <si>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</si>
  <si>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</si>
  <si>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</si>
  <si>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</si>
  <si>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</si>
  <si>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</si>
  <si>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</si>
  <si>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</si>
  <si>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</si>
  <si>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</si>
  <si>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</si>
  <si>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</si>
  <si>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</si>
  <si>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</si>
  <si>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</si>
  <si>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</si>
  <si>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</si>
  <si>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</si>
  <si>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</si>
  <si>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</si>
  <si>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</si>
  <si>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</si>
  <si>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</si>
  <si>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</si>
  <si>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</si>
  <si>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</si>
  <si>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</si>
  <si>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</si>
  <si>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</si>
  <si>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</si>
  <si>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</si>
  <si>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</si>
  <si>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</si>
  <si>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</si>
  <si>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</si>
  <si>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</si>
  <si>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</si>
  <si>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</si>
  <si>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</si>
  <si>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</si>
  <si>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</si>
  <si>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</si>
  <si>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</si>
  <si>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</si>
  <si>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</si>
  <si>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</si>
  <si>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</si>
  <si>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</si>
  <si>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</si>
  <si>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</si>
  <si>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</si>
  <si>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</si>
  <si>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</si>
  <si>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</si>
  <si>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</si>
  <si>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</si>
  <si>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</si>
  <si>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</si>
  <si>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</si>
  <si>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</si>
  <si>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</si>
  <si>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</si>
  <si>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</si>
  <si>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</si>
  <si>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</si>
  <si>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</si>
  <si>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</si>
  <si>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</si>
  <si>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</si>
  <si>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</si>
  <si>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</si>
  <si>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</si>
  <si>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</si>
  <si>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</si>
  <si>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</si>
  <si>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</si>
  <si>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</si>
  <si>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</si>
  <si>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</si>
  <si>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</si>
  <si>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</si>
  <si>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</si>
  <si>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</si>
  <si>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</si>
  <si>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</si>
  <si>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</si>
  <si>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</si>
  <si>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</si>
  <si>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</si>
  <si>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</si>
  <si>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</si>
  <si>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</si>
  <si>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</si>
  <si>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</si>
  <si>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</si>
  <si>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</si>
  <si>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</si>
  <si>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</si>
  <si>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</si>
  <si>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</si>
  <si>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</si>
  <si>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</si>
  <si>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</si>
  <si>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</si>
  <si>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</si>
  <si>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</si>
  <si>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</si>
  <si>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</si>
  <si>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</si>
  <si>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</si>
  <si>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</si>
  <si>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</si>
  <si>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</si>
  <si>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</si>
  <si>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</si>
  <si>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</si>
  <si>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</si>
  <si>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</si>
  <si>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</si>
  <si>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</si>
  <si>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</si>
  <si>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</si>
  <si>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</si>
  <si>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</si>
  <si>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</si>
  <si>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</si>
  <si>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</si>
  <si>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</si>
  <si>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</si>
  <si>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</si>
  <si>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</si>
  <si>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</si>
  <si>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</si>
  <si>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</si>
  <si>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</si>
  <si>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</si>
  <si>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</si>
  <si>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</si>
  <si>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</si>
  <si>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</si>
  <si>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</si>
  <si>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</si>
  <si>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</si>
  <si>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</si>
  <si>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</si>
  <si>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</si>
  <si>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</si>
  <si>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</si>
  <si>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</si>
  <si>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</si>
  <si>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</si>
  <si>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</si>
  <si>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</si>
  <si>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</si>
  <si>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</si>
  <si>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</si>
  <si>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</si>
  <si>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</si>
  <si>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</si>
  <si>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</si>
  <si>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</si>
  <si>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</si>
  <si>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</si>
  <si>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</si>
  <si>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</si>
  <si>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</si>
  <si>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</si>
  <si>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</si>
  <si>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</si>
  <si>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</si>
  <si>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</si>
  <si>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</si>
  <si>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</si>
  <si>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</si>
  <si>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</si>
  <si>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</si>
  <si>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</si>
  <si>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</si>
  <si>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</si>
  <si>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</si>
  <si>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</si>
  <si>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</si>
  <si>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</si>
  <si>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</si>
  <si>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</si>
  <si>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</si>
  <si>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</si>
  <si>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</si>
  <si>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</si>
  <si>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</si>
  <si>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</si>
  <si>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</si>
  <si>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</si>
  <si>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</si>
  <si>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</si>
  <si>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</si>
  <si>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</si>
  <si>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</si>
  <si>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</si>
  <si>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</si>
  <si>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</si>
  <si>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</si>
  <si>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</si>
  <si>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</si>
  <si>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</si>
  <si>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</si>
  <si>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</si>
  <si>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</si>
  <si>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</si>
  <si>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</si>
  <si>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</si>
  <si>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</si>
  <si>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</si>
  <si>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</si>
  <si>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</si>
  <si>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</si>
  <si>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</si>
  <si>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</si>
  <si>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</si>
  <si>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</si>
  <si>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</si>
  <si>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</si>
  <si>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</si>
  <si>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</si>
  <si>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</si>
  <si>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</si>
  <si>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</si>
  <si>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</si>
  <si>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</si>
  <si>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</si>
  <si>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</si>
  <si>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</si>
  <si>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</si>
  <si>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</si>
  <si>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</si>
  <si>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</si>
  <si>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</si>
  <si>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</si>
  <si>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</si>
  <si>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</si>
  <si>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</si>
  <si>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</si>
  <si>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</si>
  <si>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</si>
  <si>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</si>
  <si>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</si>
  <si>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</si>
  <si>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</si>
  <si>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</si>
  <si>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</si>
  <si>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</si>
  <si>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</si>
  <si>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</si>
  <si>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</si>
  <si>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</si>
  <si>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</si>
  <si>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</si>
  <si>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</si>
  <si>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</si>
  <si>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</si>
  <si>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</si>
  <si>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</si>
  <si>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</si>
  <si>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</si>
  <si>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</si>
  <si>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</si>
  <si>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</si>
  <si>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</si>
  <si>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</si>
  <si>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</si>
  <si>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</si>
  <si>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</si>
  <si>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</si>
  <si>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</si>
  <si>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</si>
  <si>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</si>
  <si>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</si>
  <si>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</si>
  <si>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</si>
  <si>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</si>
  <si>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</si>
  <si>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</si>
  <si>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</si>
  <si>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</si>
  <si>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</si>
  <si>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</si>
  <si>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</si>
  <si>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</si>
  <si>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</si>
  <si>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</si>
  <si>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</si>
  <si>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</si>
  <si>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</si>
  <si>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</si>
  <si>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</si>
  <si>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</si>
  <si>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</si>
  <si>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</si>
  <si>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</si>
  <si>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</si>
  <si>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</si>
  <si>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</si>
  <si>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</si>
  <si>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</si>
  <si>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</si>
  <si>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</si>
  <si>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</si>
  <si>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</si>
  <si>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</si>
  <si>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</si>
  <si>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</si>
  <si>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</si>
  <si>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</si>
  <si>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</si>
  <si>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</si>
  <si>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</si>
  <si>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</si>
  <si>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</si>
  <si>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</si>
  <si>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</si>
  <si>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</si>
  <si>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</si>
  <si>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</si>
  <si>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</si>
  <si>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</si>
  <si>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</si>
  <si>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</si>
  <si>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</si>
  <si>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</si>
  <si>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</si>
  <si>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</si>
  <si>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</si>
  <si>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</si>
  <si>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</si>
  <si>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</si>
  <si>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</si>
  <si>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</si>
  <si>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</si>
  <si>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</si>
  <si>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</si>
  <si>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</si>
  <si>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</si>
  <si>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</si>
  <si>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</si>
  <si>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</si>
  <si>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</si>
  <si>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</si>
  <si>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</si>
  <si>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</si>
  <si>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</si>
  <si>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</si>
  <si>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</si>
  <si>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</si>
  <si>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</si>
  <si>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</si>
  <si>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</si>
  <si>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</si>
  <si>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</si>
  <si>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</si>
  <si>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</si>
  <si>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</si>
  <si>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</si>
  <si>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</si>
  <si>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</si>
  <si>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</si>
  <si>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</si>
  <si>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</si>
  <si>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</si>
  <si>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</si>
  <si>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</si>
  <si>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</si>
  <si>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</si>
  <si>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</si>
  <si>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</si>
  <si>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</si>
  <si>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</si>
  <si>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</si>
  <si>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</si>
  <si>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</si>
  <si>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</si>
  <si>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</si>
  <si>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</si>
  <si>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</si>
  <si>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</si>
  <si>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</si>
  <si>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</si>
  <si>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</si>
  <si>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</si>
  <si>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</si>
  <si>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</si>
  <si>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</si>
  <si>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</si>
  <si>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</si>
  <si>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</si>
  <si>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</si>
  <si>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</si>
  <si>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</si>
  <si>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</si>
  <si>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</si>
  <si>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</si>
  <si>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</si>
  <si>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</si>
  <si>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</si>
  <si>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</si>
  <si>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</si>
  <si>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</si>
  <si>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</si>
  <si>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</si>
  <si>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</si>
  <si>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</si>
  <si>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</si>
  <si>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</si>
  <si>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</si>
  <si>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</si>
  <si>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</si>
  <si>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</si>
  <si>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</si>
  <si>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</si>
  <si>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</si>
  <si>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</si>
  <si>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</si>
  <si>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</si>
  <si>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</si>
  <si>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</si>
  <si>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</si>
  <si>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</si>
  <si>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</si>
  <si>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</si>
  <si>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</si>
  <si>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</si>
  <si>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</si>
  <si>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</si>
  <si>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</si>
  <si>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</si>
  <si>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</si>
  <si>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</si>
  <si>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</si>
  <si>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</si>
  <si>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</si>
  <si>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</si>
  <si>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</si>
  <si>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</si>
  <si>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</si>
  <si>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</si>
  <si>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</si>
  <si>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</si>
  <si>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</si>
  <si>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</si>
  <si>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</si>
  <si>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</si>
  <si>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</si>
  <si>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</si>
  <si>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</si>
  <si>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</si>
  <si>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</si>
  <si>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</si>
  <si>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</si>
  <si>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</si>
  <si>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</si>
  <si>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</si>
  <si>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</si>
  <si>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</si>
  <si>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</si>
  <si>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</si>
  <si>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</si>
  <si>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</si>
  <si>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</si>
  <si>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</si>
  <si>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</si>
  <si>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</si>
  <si>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</si>
  <si>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</si>
  <si>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</si>
  <si>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</si>
  <si>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</si>
  <si>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</si>
  <si>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</si>
  <si>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</si>
  <si>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</si>
  <si>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</si>
  <si>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</si>
  <si>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</si>
  <si>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</si>
  <si>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</si>
  <si>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</si>
  <si>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</si>
  <si>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</si>
  <si>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</si>
  <si>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</si>
  <si>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</si>
  <si>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</si>
  <si>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</si>
  <si>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</si>
  <si>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</si>
  <si>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</si>
  <si>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</si>
  <si>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</si>
  <si>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</si>
  <si>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</si>
  <si>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</si>
  <si>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</si>
  <si>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</si>
  <si>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</si>
  <si>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</si>
  <si>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</si>
  <si>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</si>
  <si>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</si>
  <si>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</si>
  <si>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</si>
  <si>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</si>
  <si>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</si>
  <si>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</si>
  <si>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</si>
  <si>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</si>
  <si>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</si>
  <si>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</si>
  <si>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</si>
  <si>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</si>
  <si>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</si>
  <si>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</si>
  <si>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</si>
  <si>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</si>
  <si>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</si>
  <si>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</si>
  <si>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</si>
  <si>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</si>
  <si>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</si>
  <si>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</si>
  <si>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</si>
  <si>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</si>
  <si>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</si>
  <si>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</si>
  <si>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</si>
  <si>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</si>
  <si>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</si>
  <si>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</si>
  <si>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</si>
  <si>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</si>
  <si>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</si>
  <si>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</si>
  <si>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</si>
  <si>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</si>
  <si>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</si>
  <si>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</si>
  <si>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</si>
  <si>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</si>
  <si>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</si>
  <si>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</si>
  <si>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</si>
  <si>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</si>
  <si>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</si>
  <si>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</si>
  <si>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</si>
  <si>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</si>
  <si>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</si>
  <si>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</si>
  <si>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</si>
  <si>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</si>
  <si>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</si>
  <si>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</si>
  <si>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</si>
  <si>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</si>
  <si>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</si>
  <si>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</si>
  <si>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</si>
  <si>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</si>
  <si>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</si>
  <si>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</si>
  <si>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</si>
  <si>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</si>
  <si>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</si>
  <si>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</si>
  <si>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</si>
  <si>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</si>
  <si>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</si>
  <si>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</si>
  <si>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</si>
  <si>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</si>
  <si>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</si>
  <si>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</si>
  <si>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</si>
  <si>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</si>
  <si>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</si>
  <si>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</si>
  <si>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</si>
  <si>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</si>
  <si>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</si>
  <si>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</si>
  <si>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</si>
  <si>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</si>
  <si>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</si>
  <si>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</si>
  <si>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</si>
  <si>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</si>
  <si>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</si>
  <si>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</si>
  <si>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</si>
  <si>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</si>
  <si>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</si>
  <si>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</si>
  <si>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</si>
  <si>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</si>
  <si>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</si>
  <si>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</si>
  <si>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</si>
  <si>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</si>
  <si>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</si>
  <si>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</si>
  <si>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</si>
  <si>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</si>
  <si>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</si>
  <si>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</si>
  <si>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</si>
  <si>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</si>
  <si>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</si>
  <si>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</si>
  <si>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</si>
  <si>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</si>
  <si>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</si>
  <si>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</si>
  <si>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</si>
  <si>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</si>
  <si>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</si>
  <si>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</si>
  <si>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</si>
  <si>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</si>
  <si>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</si>
  <si>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</si>
  <si>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</si>
  <si>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</si>
  <si>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</si>
  <si>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</si>
  <si>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</si>
  <si>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</si>
  <si>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</si>
  <si>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</si>
  <si>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</si>
  <si>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</si>
  <si>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</si>
  <si>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</si>
  <si>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</si>
  <si>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</si>
  <si>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</si>
  <si>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</si>
  <si>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</si>
  <si>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</si>
  <si>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</si>
  <si>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</si>
  <si>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</si>
  <si>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</si>
  <si>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</si>
  <si>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</si>
  <si>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</si>
  <si>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</si>
  <si>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</si>
  <si>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</si>
  <si>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</si>
  <si>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</si>
  <si>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</si>
  <si>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</si>
  <si>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</si>
  <si>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</si>
  <si>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</si>
  <si>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</si>
  <si>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</si>
  <si>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</si>
  <si>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</si>
  <si>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</si>
  <si>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</si>
  <si>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</si>
  <si>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</si>
  <si>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</si>
  <si>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</si>
  <si>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</si>
  <si>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</si>
  <si>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</si>
  <si>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</si>
  <si>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</si>
  <si>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</si>
  <si>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</si>
  <si>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</si>
  <si>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</si>
  <si>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</si>
  <si>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</si>
  <si>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</si>
  <si>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</si>
  <si>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</si>
  <si>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</si>
  <si>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</si>
  <si>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</si>
  <si>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</si>
  <si>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</si>
  <si>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</si>
  <si>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</si>
  <si>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</si>
  <si>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</si>
  <si>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</si>
  <si>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</si>
  <si>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</si>
  <si>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</si>
  <si>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</si>
  <si>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</si>
  <si>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</si>
  <si>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</si>
  <si>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</si>
  <si>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</si>
  <si>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</si>
  <si>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</si>
  <si>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</si>
  <si>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</si>
  <si>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</si>
  <si>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</si>
  <si>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</si>
  <si>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</si>
  <si>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</si>
  <si>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</si>
  <si>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</si>
  <si>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</si>
  <si>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</si>
  <si>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</si>
  <si>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</si>
  <si>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</si>
  <si>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</si>
  <si>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</si>
  <si>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</si>
  <si>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</si>
  <si>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</si>
  <si>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</si>
  <si>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</si>
  <si>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</si>
  <si>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</si>
  <si>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</si>
  <si>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</si>
  <si>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</si>
  <si>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</si>
  <si>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</si>
  <si>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</si>
  <si>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</si>
  <si>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</si>
  <si>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</si>
  <si>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</si>
  <si>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</si>
  <si>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</si>
  <si>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</si>
  <si>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</si>
  <si>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</si>
  <si>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</si>
  <si>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</si>
  <si>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</si>
  <si>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</si>
  <si>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</si>
  <si>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</si>
  <si>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</si>
  <si>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</si>
  <si>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</si>
  <si>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</si>
  <si>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</si>
  <si>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</si>
  <si>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</si>
  <si>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</si>
  <si>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</si>
  <si>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</si>
  <si>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</si>
  <si>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</si>
  <si>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</si>
  <si>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</si>
  <si>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</si>
  <si>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</si>
  <si>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</si>
  <si>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</si>
  <si>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</si>
  <si>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</si>
  <si>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</si>
  <si>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</si>
  <si>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</si>
  <si>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</si>
  <si>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</si>
  <si>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</si>
  <si>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</si>
  <si>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</si>
  <si>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</si>
  <si>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</si>
  <si>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</si>
  <si>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</si>
  <si>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</si>
  <si>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</si>
  <si>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</si>
  <si>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</si>
  <si>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</si>
  <si>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</si>
  <si>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</si>
  <si>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</si>
  <si>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</si>
  <si>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</si>
  <si>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</si>
  <si>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</si>
  <si>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</si>
  <si>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</si>
  <si>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</si>
  <si>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</si>
  <si>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</si>
  <si>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</si>
  <si>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</si>
  <si>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</si>
  <si>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</si>
  <si>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</si>
  <si>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</si>
  <si>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</si>
  <si>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</si>
  <si>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</si>
  <si>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</si>
  <si>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</si>
  <si>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</si>
  <si>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</si>
  <si>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</si>
  <si>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</si>
  <si>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</si>
  <si>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</si>
  <si>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</si>
  <si>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</si>
  <si>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</si>
  <si>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</si>
  <si>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</si>
  <si>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</si>
  <si>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</si>
  <si>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</si>
  <si>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</si>
  <si>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</si>
  <si>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</si>
  <si>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</si>
  <si>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</si>
  <si>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</si>
  <si>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</si>
  <si>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</si>
  <si>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</si>
  <si>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</si>
  <si>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</si>
  <si>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</si>
  <si>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</si>
  <si>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</si>
  <si>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</si>
  <si>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</si>
  <si>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</si>
  <si>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</si>
  <si>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</si>
  <si>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</si>
  <si>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</si>
  <si>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</si>
  <si>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</si>
  <si>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</si>
  <si>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</si>
  <si>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</si>
  <si>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</si>
  <si>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</si>
  <si>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</si>
  <si>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</si>
  <si>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</si>
  <si>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</si>
  <si>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</si>
  <si>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</si>
  <si>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</si>
  <si>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</si>
  <si>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</si>
  <si>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</si>
  <si>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</si>
  <si>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</si>
  <si>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</si>
  <si>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</si>
  <si>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</si>
  <si>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</si>
  <si>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</si>
  <si>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</si>
  <si>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</si>
  <si>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</si>
  <si>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</si>
  <si>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</si>
  <si>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</si>
  <si>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</si>
  <si>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</si>
  <si>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</si>
  <si>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</si>
  <si>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</si>
  <si>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</si>
  <si>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</si>
  <si>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</si>
  <si>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</si>
  <si>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</si>
  <si>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</si>
  <si>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</si>
  <si>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</si>
  <si>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</si>
  <si>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</si>
  <si>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</si>
  <si>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</si>
  <si>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</si>
  <si>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</si>
  <si>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</si>
  <si>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</si>
  <si>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</si>
  <si>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</si>
  <si>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</si>
  <si>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</si>
  <si>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</si>
  <si>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</si>
  <si>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</si>
  <si>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</si>
  <si>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</si>
  <si>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</si>
  <si>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</si>
  <si>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</si>
  <si>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</si>
  <si>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</si>
  <si>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</si>
  <si>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</si>
  <si>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</si>
  <si>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</si>
  <si>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</si>
  <si>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</si>
  <si>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</si>
  <si>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</si>
  <si>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</si>
  <si>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</si>
  <si>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</si>
  <si>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</si>
  <si>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</si>
  <si>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</si>
  <si>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</si>
  <si>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</si>
  <si>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</si>
  <si>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</si>
  <si>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</si>
  <si>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</si>
  <si>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</si>
  <si>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</si>
  <si>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</si>
  <si>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</si>
  <si>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</si>
  <si>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</si>
  <si>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</si>
  <si>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</si>
  <si>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</si>
  <si>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</si>
  <si>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</si>
  <si>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</si>
  <si>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</si>
  <si>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</si>
  <si>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</si>
  <si>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</si>
  <si>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</si>
  <si>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</si>
  <si>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</si>
  <si>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</si>
  <si>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</si>
  <si>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</si>
  <si>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</si>
  <si>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</si>
  <si>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</si>
  <si>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</si>
  <si>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</si>
  <si>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</si>
  <si>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</si>
  <si>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</si>
  <si>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</si>
  <si>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</si>
  <si>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</si>
  <si>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</si>
  <si>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</si>
  <si>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</si>
  <si>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</si>
  <si>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</si>
  <si>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</si>
  <si>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</si>
  <si>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</si>
  <si>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</si>
  <si>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</si>
  <si>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</si>
  <si>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</si>
  <si>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</si>
  <si>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</si>
  <si>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</si>
  <si>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</si>
  <si>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</si>
  <si>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</si>
  <si>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</si>
  <si>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</si>
  <si>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</si>
  <si>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</si>
  <si>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</si>
  <si>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</si>
  <si>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</si>
  <si>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</si>
  <si>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</si>
  <si>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</si>
  <si>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</si>
  <si>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</si>
  <si>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</si>
  <si>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</si>
  <si>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</si>
  <si>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</si>
  <si>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</si>
  <si>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</si>
  <si>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</si>
  <si>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</si>
  <si>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</si>
  <si>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</si>
  <si>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</si>
  <si>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</si>
  <si>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</si>
  <si>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</si>
  <si>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</si>
  <si>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</si>
  <si>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</si>
  <si>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</si>
  <si>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</si>
  <si>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</si>
  <si>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</si>
  <si>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</si>
  <si>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</si>
  <si>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</si>
  <si>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</si>
  <si>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</si>
  <si>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</si>
  <si>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</si>
  <si>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</si>
  <si>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</si>
  <si>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</si>
  <si>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</si>
  <si>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</si>
  <si>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</si>
  <si>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</si>
  <si>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</si>
  <si>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</si>
  <si>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</si>
  <si>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</si>
  <si>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</si>
  <si>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</si>
  <si>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</si>
  <si>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</si>
  <si>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</si>
  <si>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</si>
  <si>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</si>
  <si>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</si>
  <si>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</si>
  <si>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</si>
  <si>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</si>
  <si>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</si>
  <si>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</si>
  <si>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</si>
  <si>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</si>
  <si>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</si>
  <si>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</si>
  <si>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</si>
  <si>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</si>
  <si>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</si>
  <si>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</si>
  <si>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</si>
  <si>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</si>
  <si>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</si>
  <si>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</si>
  <si>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</si>
  <si>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</si>
  <si>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</si>
  <si>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</si>
  <si>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</si>
  <si>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</si>
  <si>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</si>
  <si>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</si>
  <si>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</si>
  <si>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</si>
  <si>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</si>
  <si>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</si>
  <si>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</si>
  <si>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</si>
  <si>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</si>
  <si>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</si>
  <si>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</si>
  <si>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</si>
  <si>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</si>
  <si>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</si>
  <si>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</si>
  <si>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</si>
  <si>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</si>
  <si>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</si>
  <si>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</si>
  <si>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</si>
  <si>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</si>
  <si>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</si>
  <si>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</si>
  <si>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</si>
  <si>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</si>
  <si>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</si>
  <si>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</si>
  <si>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</si>
  <si>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</si>
  <si>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</si>
  <si>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</si>
  <si>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</si>
  <si>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</si>
  <si>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</si>
  <si>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</si>
  <si>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</si>
  <si>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</si>
  <si>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</si>
  <si>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</si>
  <si>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</si>
  <si>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</si>
  <si>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</si>
  <si>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</si>
  <si>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</si>
  <si>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</si>
  <si>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</si>
  <si>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</si>
  <si>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</si>
  <si>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</si>
  <si>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</si>
  <si>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</si>
  <si>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</si>
  <si>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</si>
  <si>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</si>
  <si>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</si>
  <si>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</si>
  <si>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</si>
  <si>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</si>
  <si>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</si>
  <si>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</si>
  <si>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</si>
  <si>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</si>
  <si>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</si>
  <si>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</si>
  <si>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</si>
  <si>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</si>
  <si>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</si>
  <si>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</si>
  <si>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</si>
  <si>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</si>
  <si>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</si>
  <si>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</si>
  <si>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</si>
  <si>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</si>
  <si>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</si>
  <si>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</si>
  <si>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</si>
  <si>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</si>
  <si>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</si>
  <si>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</si>
  <si>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</si>
  <si>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</si>
  <si>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</si>
  <si>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</si>
  <si>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</si>
  <si>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</si>
  <si>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</si>
  <si>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</si>
  <si>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</si>
  <si>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</si>
  <si>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</si>
  <si>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</si>
  <si>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</si>
  <si>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</si>
  <si>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</si>
  <si>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</si>
  <si>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</si>
  <si>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</si>
  <si>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</si>
  <si>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</si>
  <si>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</si>
  <si>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</si>
  <si>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</si>
  <si>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</si>
  <si>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</si>
  <si>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</si>
  <si>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</si>
  <si>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</si>
  <si>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</si>
  <si>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</si>
  <si>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</si>
  <si>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</si>
  <si>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</si>
  <si>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</si>
  <si>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</si>
  <si>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</si>
  <si>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</si>
  <si>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</si>
  <si>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</si>
  <si>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</si>
  <si>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</si>
  <si>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</si>
  <si>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</si>
  <si>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</si>
  <si>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</si>
  <si>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</si>
  <si>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</si>
  <si>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</si>
  <si>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</si>
  <si>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</si>
  <si>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</si>
  <si>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</si>
  <si>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</si>
  <si>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</si>
  <si>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</si>
  <si>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</si>
  <si>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</si>
  <si>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</si>
  <si>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</si>
  <si>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</si>
  <si>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</si>
  <si>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</si>
  <si>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</si>
  <si>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</si>
  <si>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</si>
  <si>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</si>
  <si>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</si>
  <si>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</si>
  <si>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</si>
  <si>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</si>
  <si>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</si>
  <si>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</si>
  <si>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</si>
  <si>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</si>
  <si>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</si>
  <si>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</si>
  <si>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</si>
  <si>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</si>
  <si>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</si>
  <si>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</si>
  <si>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</si>
  <si>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</si>
  <si>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</si>
  <si>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</si>
  <si>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</si>
  <si>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</si>
  <si>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</si>
  <si>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</si>
  <si>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</si>
  <si>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</si>
  <si>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</si>
  <si>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</si>
  <si>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</si>
  <si>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</si>
  <si>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</si>
  <si>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</si>
  <si>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</si>
  <si>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</si>
  <si>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</si>
  <si>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</si>
  <si>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</si>
  <si>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</si>
  <si>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</si>
  <si>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</si>
  <si>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</si>
  <si>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</si>
  <si>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</si>
  <si>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</si>
  <si>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</si>
  <si>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</si>
  <si>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</si>
  <si>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</si>
  <si>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</si>
  <si>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</si>
  <si>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</si>
  <si>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</si>
  <si>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</si>
  <si>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</si>
  <si>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</si>
  <si>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</si>
  <si>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</si>
  <si>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</si>
  <si>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</si>
  <si>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</si>
  <si>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</si>
  <si>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</si>
  <si>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</si>
  <si>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</si>
  <si>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</si>
  <si>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</si>
  <si>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</si>
  <si>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</si>
  <si>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</si>
  <si>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</si>
  <si>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</si>
  <si>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</si>
  <si>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</si>
  <si>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</si>
  <si>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</si>
  <si>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</si>
  <si>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</si>
  <si>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</si>
  <si>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</si>
  <si>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</si>
  <si>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</si>
  <si>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</si>
  <si>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</si>
  <si>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</si>
  <si>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</si>
  <si>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</si>
  <si>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</si>
  <si>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</si>
  <si>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</si>
  <si>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</si>
  <si>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</si>
  <si>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</si>
  <si>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</si>
  <si>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</si>
  <si>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</si>
  <si>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</si>
  <si>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</si>
  <si>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</si>
  <si>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</si>
  <si>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</si>
  <si>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</si>
  <si>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</si>
  <si>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</si>
  <si>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</si>
  <si>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</si>
  <si>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</si>
  <si>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</si>
  <si>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</si>
  <si>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</si>
  <si>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</si>
  <si>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</si>
  <si>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</si>
  <si>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</si>
  <si>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</si>
  <si>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</si>
  <si>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</si>
  <si>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</si>
  <si>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</si>
  <si>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</si>
  <si>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</si>
  <si>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</si>
  <si>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</si>
  <si>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</si>
  <si>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</si>
  <si>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</si>
  <si>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</si>
  <si>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</si>
  <si>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</si>
  <si>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</si>
  <si>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</si>
  <si>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</si>
  <si>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</si>
  <si>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</si>
  <si>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</si>
  <si>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</si>
  <si>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</si>
  <si>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</si>
  <si>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</si>
  <si>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</si>
  <si>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</si>
  <si>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</si>
  <si>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</si>
  <si>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</si>
  <si>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</si>
  <si>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</si>
  <si>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</si>
  <si>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</si>
  <si>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</si>
  <si>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</si>
  <si>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</si>
  <si>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</si>
  <si>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</si>
  <si>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</si>
  <si>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</si>
  <si>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</si>
  <si>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</si>
  <si>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</si>
  <si>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</si>
  <si>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</si>
  <si>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</si>
  <si>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</si>
  <si>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</si>
  <si>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</si>
  <si>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</si>
  <si>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</si>
  <si>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</si>
  <si>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</si>
  <si>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</si>
  <si>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</si>
  <si>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</si>
  <si>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</si>
  <si>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</si>
  <si>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</si>
  <si>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</si>
  <si>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</si>
  <si>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</si>
  <si>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</si>
  <si>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</si>
  <si>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</si>
  <si>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</si>
  <si>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</si>
  <si>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</si>
  <si>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</si>
  <si>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</si>
  <si>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</si>
  <si>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</si>
  <si>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</si>
  <si>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</si>
  <si>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</si>
  <si>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</si>
  <si>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</si>
  <si>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</si>
  <si>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</si>
  <si>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</si>
  <si>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</si>
  <si>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</si>
  <si>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</si>
  <si>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</si>
  <si>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</si>
  <si>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</si>
  <si>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</si>
  <si>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</si>
  <si>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</si>
  <si>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</si>
  <si>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</si>
  <si>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</si>
  <si>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</si>
  <si>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</si>
  <si>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</si>
  <si>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</si>
  <si>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</si>
  <si>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</si>
  <si>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</si>
  <si>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</si>
  <si>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</si>
  <si>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</si>
  <si>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</si>
  <si>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</si>
  <si>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</si>
  <si>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</si>
  <si>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</si>
  <si>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</si>
  <si>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</si>
  <si>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</si>
  <si>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</si>
  <si>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</si>
  <si>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</si>
  <si>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</si>
  <si>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</si>
  <si>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</si>
  <si>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</si>
  <si>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</si>
  <si>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</si>
  <si>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</si>
  <si>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</si>
  <si>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</si>
  <si>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</si>
  <si>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</si>
  <si>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</si>
  <si>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</si>
  <si>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</si>
  <si>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</si>
  <si>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</si>
  <si>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</si>
  <si>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</si>
  <si>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</si>
  <si>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</si>
  <si>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</si>
  <si>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</si>
  <si>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</si>
  <si>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</si>
  <si>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</si>
  <si>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</si>
  <si>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</si>
  <si>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</si>
  <si>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</si>
  <si>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</si>
  <si>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</si>
  <si>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</si>
  <si>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</si>
  <si>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</si>
  <si>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</si>
  <si>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</si>
  <si>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</si>
  <si>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</si>
  <si>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</si>
  <si>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</si>
  <si>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</si>
  <si>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</si>
  <si>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</si>
  <si>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</si>
  <si>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</si>
  <si>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</si>
  <si>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</si>
  <si>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</si>
  <si>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</si>
  <si>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</si>
  <si>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</si>
  <si>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</si>
  <si>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</si>
  <si>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</si>
  <si>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</si>
  <si>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</si>
  <si>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</si>
  <si>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</si>
  <si>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</si>
  <si>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</si>
  <si>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</si>
  <si>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</si>
  <si>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</si>
  <si>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</si>
  <si>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</si>
  <si>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</si>
  <si>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</si>
  <si>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</si>
  <si>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</si>
  <si>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</si>
  <si>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</si>
  <si>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</si>
  <si>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</si>
  <si>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</si>
  <si>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</si>
  <si>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</si>
  <si>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</si>
  <si>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</si>
  <si>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</si>
  <si>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</si>
  <si>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</si>
  <si>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</si>
  <si>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</si>
  <si>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</si>
  <si>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</si>
  <si>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</si>
  <si>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</si>
  <si>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</si>
  <si>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</si>
  <si>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</si>
  <si>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</si>
  <si>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</si>
  <si>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</si>
  <si>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</si>
  <si>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</si>
  <si>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</si>
  <si>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</si>
  <si>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</si>
  <si>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</si>
  <si>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</si>
  <si>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</si>
  <si>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</si>
  <si>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</si>
  <si>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</si>
  <si>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</si>
  <si>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</si>
  <si>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</si>
  <si>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</si>
  <si>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</si>
  <si>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</si>
  <si>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</si>
  <si>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</si>
  <si>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</si>
  <si>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</si>
  <si>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</si>
  <si>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</si>
  <si>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</si>
  <si>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</si>
  <si>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</si>
  <si>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</si>
  <si>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</si>
  <si>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</si>
  <si>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</si>
  <si>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</si>
  <si>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</si>
  <si>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</si>
  <si>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</si>
  <si>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</si>
  <si>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</si>
  <si>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</si>
  <si>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</si>
  <si>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</si>
  <si>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</si>
  <si>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</si>
  <si>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</si>
  <si>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</si>
  <si>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</si>
  <si>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</si>
  <si>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</si>
  <si>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</si>
  <si>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</si>
  <si>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</si>
  <si>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</si>
  <si>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</si>
  <si>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</si>
  <si>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</si>
  <si>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</si>
  <si>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</si>
  <si>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</si>
  <si>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</si>
  <si>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</si>
  <si>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</si>
  <si>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</si>
  <si>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</si>
  <si>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</si>
  <si>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</si>
  <si>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</si>
  <si>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</si>
  <si>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</si>
  <si>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</si>
  <si>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</si>
  <si>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</si>
  <si>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</si>
  <si>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</si>
  <si>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</si>
  <si>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</si>
  <si>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</si>
  <si>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</si>
  <si>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</si>
  <si>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</si>
  <si>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</si>
  <si>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</si>
  <si>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</si>
  <si>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</si>
  <si>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</si>
  <si>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</si>
  <si>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</si>
  <si>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</si>
  <si>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</si>
  <si>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</si>
  <si>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</si>
  <si>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</si>
  <si>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</si>
  <si>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</si>
  <si>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</si>
  <si>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</si>
  <si>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</si>
  <si>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</si>
  <si>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</si>
  <si>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</si>
  <si>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</si>
  <si>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</si>
  <si>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</si>
  <si>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</si>
  <si>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</si>
  <si>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</si>
  <si>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</si>
  <si>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</si>
  <si>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</si>
  <si>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</si>
  <si>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</si>
  <si>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</si>
  <si>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</si>
  <si>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</si>
  <si>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</si>
  <si>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</si>
  <si>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</si>
  <si>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</si>
  <si>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</si>
  <si>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</si>
  <si>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</si>
  <si>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</si>
  <si>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</si>
  <si>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</si>
  <si>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</si>
  <si>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</si>
  <si>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</si>
  <si>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</si>
  <si>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</si>
  <si>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</si>
  <si>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</si>
  <si>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</si>
  <si>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</si>
  <si>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</si>
  <si>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</si>
  <si>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</si>
  <si>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</si>
  <si>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</si>
  <si>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</si>
  <si>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</si>
  <si>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</si>
  <si>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</si>
  <si>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</si>
  <si>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</si>
  <si>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</si>
  <si>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</si>
  <si>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</si>
  <si>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</si>
  <si>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</si>
  <si>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</si>
  <si>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</si>
  <si>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</si>
  <si>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</si>
  <si>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</si>
  <si>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</si>
  <si>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</si>
  <si>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</si>
  <si>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</si>
  <si>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</si>
  <si>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</si>
  <si>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</si>
  <si>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</si>
  <si>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</si>
  <si>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</si>
  <si>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</si>
  <si>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</si>
  <si>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</si>
  <si>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</si>
  <si>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</si>
  <si>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</si>
  <si>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</si>
  <si>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</si>
  <si>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</si>
  <si>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</si>
  <si>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</si>
  <si>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</si>
  <si>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</si>
  <si>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</si>
  <si>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</si>
  <si>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</si>
  <si>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</si>
  <si>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</si>
  <si>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</si>
  <si>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</si>
  <si>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</si>
  <si>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</si>
  <si>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</si>
  <si>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</si>
  <si>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</si>
  <si>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</si>
  <si>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</si>
  <si>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</si>
  <si>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</si>
  <si>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</si>
  <si>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</si>
  <si>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</si>
  <si>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</si>
  <si>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</si>
  <si>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</si>
  <si>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</si>
  <si>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</si>
  <si>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</si>
  <si>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</si>
  <si>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</si>
  <si>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</si>
  <si>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</si>
  <si>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</si>
  <si>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</si>
  <si>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</si>
  <si>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</si>
  <si>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</si>
  <si>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</si>
  <si>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</si>
  <si>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</si>
  <si>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</si>
  <si>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</si>
  <si>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</si>
  <si>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</si>
  <si>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</si>
  <si>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</si>
  <si>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</si>
  <si>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</si>
  <si>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</si>
  <si>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</si>
  <si>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</si>
  <si>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</si>
  <si>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</si>
  <si>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</si>
  <si>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</si>
  <si>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</si>
  <si>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</si>
  <si>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</si>
  <si>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</si>
  <si>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</si>
  <si>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</si>
  <si>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</si>
  <si>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</si>
  <si>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</si>
  <si>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</si>
  <si>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</si>
  <si>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</si>
  <si>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</si>
  <si>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</si>
  <si>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</si>
  <si>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</si>
  <si>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</si>
  <si>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</si>
  <si>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</si>
  <si>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</si>
  <si>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</si>
  <si>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</si>
  <si>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</si>
  <si>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</si>
  <si>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</si>
  <si>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</si>
  <si>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</si>
  <si>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</si>
  <si>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</si>
  <si>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</si>
  <si>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</si>
  <si>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</si>
  <si>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</si>
  <si>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</si>
  <si>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</si>
  <si>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</si>
  <si>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</si>
  <si>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</si>
  <si>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</si>
  <si>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</si>
  <si>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</si>
  <si>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</si>
  <si>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</si>
  <si>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</si>
  <si>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</si>
  <si>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</si>
  <si>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</si>
  <si>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</si>
  <si>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</si>
  <si>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</si>
  <si>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</si>
  <si>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</si>
  <si>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</si>
  <si>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</si>
  <si>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</si>
  <si>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</si>
  <si>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</si>
  <si>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</si>
  <si>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</si>
  <si>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</si>
  <si>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</si>
  <si>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</si>
  <si>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</si>
  <si>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</si>
  <si>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</si>
  <si>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</si>
  <si>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</si>
  <si>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</si>
  <si>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</si>
  <si>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</si>
  <si>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</si>
  <si>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</si>
  <si>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</si>
  <si>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</si>
  <si>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</si>
  <si>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</si>
  <si>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</si>
  <si>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</si>
  <si>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</si>
  <si>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</si>
  <si>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</si>
  <si>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</si>
  <si>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</si>
  <si>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</si>
  <si>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</si>
  <si>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</si>
  <si>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</si>
  <si>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</si>
  <si>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</si>
  <si>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</si>
  <si>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</si>
  <si>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</si>
  <si>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</si>
  <si>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</si>
  <si>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</si>
  <si>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</si>
  <si>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</si>
  <si>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</si>
  <si>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</si>
  <si>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</si>
  <si>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</si>
  <si>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</si>
  <si>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</si>
  <si>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</si>
  <si>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</si>
  <si>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</si>
  <si>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</si>
  <si>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</si>
  <si>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</si>
  <si>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</si>
  <si>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</si>
  <si>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</si>
  <si>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</si>
  <si>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</si>
  <si>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</si>
  <si>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</si>
  <si>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</si>
  <si>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</si>
  <si>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</si>
  <si>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</si>
  <si>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</si>
  <si>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</si>
  <si>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</si>
  <si>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</si>
  <si>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</si>
  <si>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</si>
  <si>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</si>
  <si>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</si>
  <si>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</si>
  <si>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</si>
  <si>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</si>
  <si>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</si>
  <si>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</si>
  <si>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</si>
  <si>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</si>
  <si>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</si>
  <si>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</si>
  <si>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</si>
  <si>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</si>
  <si>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</si>
  <si>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</si>
  <si>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</si>
  <si>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</si>
  <si>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</si>
  <si>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</si>
  <si>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</si>
  <si>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</si>
  <si>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</si>
  <si>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</si>
  <si>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</si>
  <si>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</si>
  <si>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</si>
  <si>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</si>
  <si>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</si>
  <si>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</si>
  <si>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</si>
  <si>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</si>
  <si>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</si>
  <si>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</si>
  <si>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</si>
  <si>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</si>
  <si>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</si>
  <si>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</si>
  <si>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</si>
  <si>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</si>
  <si>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</si>
  <si>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</si>
  <si>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</si>
  <si>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</si>
  <si>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</si>
  <si>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</si>
  <si>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</si>
  <si>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</si>
  <si>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</si>
  <si>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</si>
  <si>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</si>
  <si>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</si>
  <si>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</si>
  <si>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</si>
  <si>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</si>
  <si>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</si>
  <si>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</si>
  <si>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</si>
  <si>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</si>
  <si>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</si>
  <si>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</si>
  <si>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</si>
  <si>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</si>
  <si>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</si>
  <si>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</si>
  <si>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</si>
  <si>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</si>
  <si>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</si>
  <si>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</si>
  <si>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</si>
  <si>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</si>
  <si>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</si>
  <si>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</si>
  <si>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</si>
  <si>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</si>
  <si>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</si>
  <si>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</si>
  <si>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</si>
  <si>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</si>
  <si>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</si>
  <si>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</si>
  <si>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</si>
  <si>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</si>
  <si>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</si>
  <si>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</si>
  <si>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</si>
  <si>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</si>
  <si>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</si>
  <si>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</si>
  <si>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</si>
  <si>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</si>
  <si>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</si>
  <si>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</si>
  <si>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</si>
  <si>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</si>
  <si>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</si>
  <si>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</si>
  <si>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</si>
  <si>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</si>
  <si>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</si>
  <si>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</si>
  <si>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</si>
  <si>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</si>
  <si>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</si>
  <si>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</si>
  <si>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</si>
  <si>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</si>
  <si>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</si>
  <si>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</si>
  <si>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</si>
  <si>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</si>
  <si>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</si>
  <si>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</si>
  <si>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</si>
  <si>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</si>
  <si>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</si>
  <si>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</si>
  <si>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</si>
  <si>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</si>
  <si>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</si>
  <si>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</si>
  <si>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</si>
  <si>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</si>
  <si>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</si>
  <si>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</si>
  <si>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</si>
  <si>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</si>
  <si>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</si>
  <si>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</si>
  <si>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</si>
  <si>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</si>
  <si>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</si>
  <si>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</si>
  <si>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</si>
  <si>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</si>
  <si>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</si>
  <si>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</si>
  <si>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</si>
  <si>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</si>
  <si>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</si>
  <si>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</si>
  <si>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</si>
  <si>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</si>
  <si>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</si>
  <si>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</si>
  <si>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</si>
  <si>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</si>
  <si>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</si>
  <si>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</si>
  <si>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</si>
  <si>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</si>
  <si>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</si>
  <si>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</si>
  <si>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</si>
  <si>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</si>
  <si>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</si>
  <si>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</si>
  <si>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</si>
  <si>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</si>
  <si>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</si>
  <si>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</si>
  <si>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</si>
  <si>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</si>
  <si>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</si>
  <si>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</si>
  <si>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</si>
  <si>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</si>
  <si>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</si>
  <si>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</si>
  <si>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</si>
  <si>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</si>
  <si>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</si>
  <si>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</si>
  <si>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</si>
  <si>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</si>
  <si>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</si>
  <si>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</si>
  <si>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</si>
  <si>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</si>
  <si>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</si>
  <si>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</si>
  <si>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</si>
  <si>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</si>
  <si>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</si>
  <si>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</si>
  <si>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</si>
  <si>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</si>
  <si>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</si>
  <si>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</si>
  <si>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</si>
  <si>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</si>
  <si>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</si>
  <si>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</si>
  <si>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</si>
  <si>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</si>
  <si>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</si>
  <si>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</si>
  <si>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</si>
  <si>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</si>
  <si>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</si>
  <si>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</si>
  <si>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</si>
  <si>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</si>
  <si>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</si>
  <si>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</si>
  <si>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</si>
  <si>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</si>
  <si>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</si>
  <si>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</si>
  <si>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</si>
  <si>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</si>
  <si>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</si>
  <si>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</si>
  <si>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</si>
  <si>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</si>
  <si>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</si>
  <si>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</si>
  <si>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</si>
  <si>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</si>
  <si>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</si>
  <si>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</si>
  <si>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</si>
  <si>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</si>
  <si>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</si>
  <si>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</si>
  <si>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</si>
  <si>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</si>
  <si>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</si>
  <si>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</si>
  <si>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</si>
  <si>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</si>
  <si>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</si>
  <si>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</si>
  <si>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</si>
  <si>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</si>
  <si>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</si>
  <si>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</si>
  <si>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</si>
  <si>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</si>
  <si>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</si>
  <si>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</si>
  <si>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</si>
  <si>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</si>
  <si>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</si>
  <si>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</si>
  <si>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</si>
  <si>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</si>
  <si>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</si>
  <si>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</si>
  <si>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</si>
  <si>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</si>
  <si>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</si>
  <si>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</si>
  <si>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</si>
  <si>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</si>
  <si>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</si>
  <si>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</si>
  <si>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</si>
  <si>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</si>
  <si>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</si>
  <si>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</si>
  <si>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</si>
  <si>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</si>
  <si>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</si>
  <si>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</si>
  <si>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</si>
  <si>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</si>
  <si>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</si>
  <si>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</si>
  <si>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</si>
  <si>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</si>
  <si>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</si>
  <si>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</si>
  <si>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</si>
  <si>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</si>
  <si>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</si>
  <si>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</si>
  <si>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</si>
  <si>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</si>
  <si>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</si>
  <si>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</si>
  <si>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</si>
  <si>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</si>
  <si>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</si>
  <si>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</si>
  <si>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</si>
  <si>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</si>
  <si>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</si>
  <si>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</si>
  <si>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</si>
  <si>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</si>
  <si>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</si>
  <si>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</si>
  <si>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</si>
  <si>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</si>
  <si>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</si>
  <si>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</si>
  <si>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</si>
  <si>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</si>
  <si>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</si>
  <si>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</si>
  <si>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</si>
  <si>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</si>
  <si>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</si>
  <si>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</si>
  <si>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</si>
  <si>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</si>
  <si>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</si>
  <si>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</si>
  <si>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</si>
  <si>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</si>
  <si>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</si>
  <si>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</si>
  <si>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</si>
  <si>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</si>
  <si>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</si>
  <si>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</si>
  <si>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</si>
  <si>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</si>
  <si>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</si>
  <si>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</si>
  <si>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</si>
  <si>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</si>
  <si>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</si>
  <si>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</si>
  <si>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</si>
  <si>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</si>
  <si>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</si>
  <si>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</si>
  <si>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</si>
  <si>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</si>
  <si>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</si>
  <si>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</si>
  <si>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</si>
  <si>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</si>
  <si>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</si>
  <si>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</si>
  <si>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</si>
  <si>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</si>
  <si>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</si>
  <si>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</si>
  <si>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</si>
  <si>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</si>
  <si>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</si>
  <si>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</si>
  <si>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</si>
  <si>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</si>
  <si>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</si>
  <si>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</si>
  <si>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</si>
  <si>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</si>
  <si>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</si>
  <si>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</si>
  <si>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</si>
  <si>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</si>
  <si>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</si>
  <si>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</si>
  <si>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</si>
  <si>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</si>
  <si>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</si>
  <si>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</si>
  <si>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</si>
  <si>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</si>
  <si>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</si>
  <si>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</si>
  <si>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</si>
  <si>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</si>
  <si>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</si>
  <si>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</si>
  <si>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</si>
  <si>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</si>
  <si>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</si>
  <si>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</si>
  <si>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</si>
  <si>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</si>
  <si>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</si>
  <si>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</si>
  <si>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</si>
  <si>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</si>
  <si>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</si>
  <si>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</si>
  <si>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</si>
  <si>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</si>
  <si>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</si>
  <si>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</si>
  <si>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</si>
  <si>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</si>
  <si>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</si>
  <si>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</si>
  <si>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</si>
  <si>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</si>
  <si>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</si>
  <si>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</si>
  <si>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</si>
  <si>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</si>
  <si>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</si>
  <si>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</si>
  <si>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</si>
  <si>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</si>
  <si>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</si>
  <si>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</si>
  <si>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</si>
  <si>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</si>
  <si>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</si>
  <si>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</si>
  <si>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</si>
  <si>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</si>
  <si>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</si>
  <si>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</si>
  <si>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</si>
  <si>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</si>
  <si>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</si>
  <si>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</si>
  <si>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</si>
  <si>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</si>
  <si>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</si>
  <si>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</si>
  <si>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</si>
  <si>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</si>
  <si>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</si>
  <si>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</si>
  <si>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</si>
  <si>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</si>
  <si>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</si>
  <si>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</si>
  <si>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</si>
  <si>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</si>
  <si>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</si>
  <si>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</si>
  <si>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</si>
  <si>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</si>
  <si>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</si>
  <si>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</si>
  <si>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</si>
  <si>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</si>
  <si>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</si>
  <si>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</si>
  <si>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</si>
  <si>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</si>
  <si>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</si>
  <si>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</si>
  <si>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</si>
  <si>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</si>
  <si>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</si>
  <si>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</si>
  <si>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</si>
  <si>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</si>
  <si>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</si>
  <si>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</si>
  <si>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</si>
  <si>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</si>
  <si>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</si>
  <si>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</si>
  <si>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</si>
  <si>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</si>
  <si>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</si>
  <si>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</si>
  <si>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</si>
  <si>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</si>
  <si>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</si>
  <si>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</si>
  <si>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</si>
  <si>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</si>
  <si>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</si>
  <si>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</si>
  <si>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</si>
  <si>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</si>
  <si>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</si>
  <si>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</si>
  <si>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</si>
  <si>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</si>
  <si>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</si>
  <si>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</si>
  <si>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</si>
  <si>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</si>
  <si>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</si>
  <si>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</si>
  <si>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</si>
  <si>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</si>
  <si>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</si>
  <si>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</si>
  <si>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</si>
  <si>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</si>
  <si>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</si>
  <si>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</si>
  <si>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</si>
  <si>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</si>
  <si>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</si>
  <si>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</si>
  <si>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</si>
  <si>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</si>
  <si>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</si>
  <si>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</si>
  <si>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</si>
  <si>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</si>
  <si>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</si>
  <si>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</si>
  <si>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</si>
  <si>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</si>
  <si>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</si>
  <si>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</si>
  <si>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</si>
  <si>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</si>
  <si>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</si>
  <si>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</si>
  <si>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</si>
  <si>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</si>
  <si>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</si>
  <si>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</si>
  <si>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</si>
  <si>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</si>
  <si>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</si>
  <si>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</si>
  <si>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</si>
  <si>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</si>
  <si>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</si>
  <si>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</si>
  <si>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</si>
  <si>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</si>
  <si>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</si>
  <si>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</si>
  <si>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</si>
  <si>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</si>
  <si>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</si>
  <si>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</si>
  <si>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</si>
  <si>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</si>
  <si>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</si>
  <si>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</si>
  <si>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</si>
  <si>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</si>
  <si>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</si>
  <si>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</si>
  <si>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</si>
  <si>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</si>
  <si>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</si>
  <si>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</si>
  <si>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</si>
  <si>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</si>
  <si>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</si>
  <si>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</si>
  <si>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</si>
  <si>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</si>
  <si>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</si>
  <si>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</si>
  <si>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</si>
  <si>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</si>
  <si>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</si>
  <si>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</si>
  <si>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</si>
  <si>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</si>
  <si>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</si>
  <si>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</si>
  <si>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</si>
  <si>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</si>
  <si>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</si>
  <si>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</si>
  <si>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</si>
  <si>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</si>
  <si>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</si>
  <si>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</si>
  <si>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</si>
  <si>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</si>
  <si>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</si>
  <si>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</si>
  <si>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</si>
  <si>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</si>
  <si>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</si>
  <si>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</si>
  <si>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</si>
  <si>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</si>
  <si>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</si>
  <si>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</si>
  <si>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</si>
  <si>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</si>
  <si>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</si>
  <si>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</si>
  <si>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</si>
  <si>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</si>
  <si>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</si>
  <si>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</si>
  <si>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</si>
  <si>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</si>
  <si>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</si>
  <si>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</si>
  <si>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</si>
  <si>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</si>
  <si>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</si>
  <si>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</si>
  <si>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</si>
  <si>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</si>
  <si>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</si>
  <si>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</si>
  <si>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</si>
  <si>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</si>
  <si>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</si>
  <si>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</si>
  <si>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</si>
  <si>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</si>
  <si>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</si>
  <si>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</si>
  <si>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</si>
  <si>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</si>
  <si>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</si>
  <si>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</si>
  <si>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</si>
  <si>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</si>
  <si>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</si>
  <si>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</si>
  <si>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</si>
  <si>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</si>
  <si>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</si>
  <si>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</si>
  <si>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</si>
  <si>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</si>
  <si>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</si>
  <si>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</si>
  <si>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</si>
  <si>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</si>
  <si>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</si>
  <si>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</si>
  <si>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</si>
  <si>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</si>
  <si>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</si>
  <si>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</si>
  <si>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</si>
  <si>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</si>
  <si>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</si>
  <si>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</si>
  <si>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</si>
  <si>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</si>
  <si>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</si>
  <si>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</si>
  <si>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</si>
  <si>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</si>
  <si>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</si>
  <si>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</si>
  <si>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</si>
  <si>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</si>
  <si>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</si>
  <si>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</si>
  <si>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</si>
  <si>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</si>
  <si>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</si>
  <si>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</si>
  <si>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</si>
  <si>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</si>
  <si>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</si>
  <si>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</si>
  <si>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</si>
  <si>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</si>
  <si>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</si>
  <si>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</si>
  <si>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</si>
  <si>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</si>
  <si>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</si>
  <si>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</si>
  <si>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</si>
  <si>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</si>
  <si>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</si>
  <si>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</si>
  <si>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</si>
  <si>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</si>
  <si>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</si>
  <si>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</si>
  <si>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</si>
  <si>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</si>
  <si>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</si>
  <si>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</si>
  <si>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</si>
  <si>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</si>
  <si>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</si>
  <si>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</si>
  <si>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</si>
  <si>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</si>
  <si>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</si>
  <si>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</si>
  <si>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</si>
  <si>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</si>
  <si>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</si>
  <si>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</si>
  <si>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</si>
  <si>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</si>
  <si>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</si>
  <si>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</si>
  <si>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</si>
  <si>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</si>
  <si>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</si>
  <si>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</si>
  <si>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</si>
  <si>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</si>
  <si>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</si>
  <si>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</si>
  <si>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</si>
  <si>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</si>
  <si>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</si>
  <si>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</si>
  <si>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</si>
  <si>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</si>
  <si>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</si>
  <si>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</si>
  <si>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</si>
  <si>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</si>
  <si>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</si>
  <si>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</si>
  <si>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</si>
  <si>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</si>
  <si>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</si>
  <si>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</si>
  <si>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</si>
  <si>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</si>
  <si>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</si>
  <si>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</si>
  <si>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</si>
  <si>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</si>
  <si>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</si>
  <si>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</si>
  <si>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</si>
  <si>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</si>
  <si>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</si>
  <si>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</si>
  <si>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</si>
  <si>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</si>
  <si>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</si>
  <si>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</si>
  <si>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</si>
  <si>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</si>
  <si>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</si>
  <si>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</si>
  <si>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</si>
  <si>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</si>
  <si>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</si>
  <si>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</si>
  <si>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</si>
  <si>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</si>
  <si>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</si>
  <si>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</si>
  <si>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</si>
  <si>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</si>
  <si>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</si>
  <si>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</si>
  <si>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</si>
  <si>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</si>
  <si>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</si>
  <si>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</si>
  <si>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</si>
  <si>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</si>
  <si>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</si>
  <si>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</si>
  <si>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</si>
  <si>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</si>
  <si>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</si>
  <si>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</si>
  <si>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</si>
  <si>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</si>
  <si>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</si>
  <si>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</si>
  <si>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</si>
  <si>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</si>
  <si>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</si>
  <si>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</si>
  <si>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</si>
  <si>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</si>
  <si>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</si>
  <si>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</si>
  <si>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</si>
  <si>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</si>
  <si>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</si>
  <si>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</si>
  <si>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</si>
  <si>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</si>
  <si>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</si>
  <si>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</si>
  <si>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</si>
  <si>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</si>
  <si>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</si>
  <si>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</si>
  <si>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</si>
  <si>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</si>
  <si>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</si>
  <si>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</si>
  <si>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</si>
  <si>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</si>
  <si>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</si>
  <si>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</si>
  <si>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</si>
  <si>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</si>
  <si>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</si>
  <si>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</si>
  <si>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</si>
  <si>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</si>
  <si>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</si>
  <si>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</si>
  <si>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</si>
  <si>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</si>
  <si>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</si>
  <si>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</si>
  <si>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</si>
  <si>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</si>
  <si>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</si>
  <si>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</si>
  <si>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</si>
  <si>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</si>
  <si>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</si>
  <si>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</si>
  <si>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</si>
  <si>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</si>
  <si>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</si>
  <si>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</si>
  <si>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</si>
  <si>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</si>
  <si>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</si>
  <si>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</si>
  <si>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</si>
  <si>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</si>
  <si>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</si>
  <si>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</si>
  <si>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</si>
  <si>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</si>
  <si>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</si>
  <si>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</si>
  <si>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</si>
  <si>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</si>
  <si>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</si>
  <si>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</si>
  <si>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</si>
  <si>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</si>
  <si>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</si>
  <si>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</si>
  <si>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</si>
  <si>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</si>
  <si>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</si>
  <si>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</si>
  <si>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</si>
  <si>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</si>
  <si>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</si>
  <si>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</si>
  <si>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</si>
  <si>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</si>
  <si>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</si>
  <si>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</si>
  <si>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</si>
  <si>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</si>
  <si>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</si>
  <si>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</si>
  <si>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</si>
  <si>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</si>
  <si>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</si>
  <si>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</si>
  <si>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</si>
  <si>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</si>
  <si>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</si>
  <si>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</si>
  <si>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</si>
  <si>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</si>
  <si>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</si>
  <si>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</si>
  <si>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</si>
  <si>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</si>
  <si>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</si>
  <si>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</si>
  <si>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</si>
  <si>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</si>
  <si>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</si>
  <si>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</si>
  <si>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</si>
  <si>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</si>
  <si>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</si>
  <si>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</si>
  <si>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</si>
  <si>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</si>
  <si>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</si>
  <si>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</si>
  <si>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</si>
  <si>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</si>
  <si>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</si>
  <si>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</si>
  <si>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</si>
  <si>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</si>
  <si>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</si>
  <si>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</si>
  <si>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</si>
  <si>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</si>
  <si>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</si>
  <si>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</si>
  <si>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</si>
  <si>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</si>
  <si>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</si>
  <si>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</si>
  <si>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</si>
  <si>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</si>
  <si>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</si>
  <si>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</si>
  <si>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</si>
  <si>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</si>
  <si>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</si>
  <si>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</si>
  <si>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</si>
  <si>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</si>
  <si>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</si>
  <si>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</si>
  <si>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</si>
  <si>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</si>
  <si>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</si>
  <si>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</si>
  <si>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</si>
  <si>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</si>
  <si>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</si>
  <si>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</si>
  <si>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</si>
  <si>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</si>
  <si>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</si>
  <si>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</si>
  <si>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</si>
  <si>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</si>
  <si>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</si>
  <si>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</si>
  <si>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</si>
  <si>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</si>
  <si>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</si>
  <si>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</si>
  <si>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</si>
  <si>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</si>
  <si>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</si>
  <si>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</si>
  <si>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</si>
  <si>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</si>
  <si>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</si>
  <si>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</si>
  <si>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</si>
  <si>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</si>
  <si>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</si>
  <si>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</si>
  <si>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</si>
  <si>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</si>
  <si>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</si>
  <si>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</si>
  <si>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</si>
  <si>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</si>
  <si>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</si>
  <si>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</si>
  <si>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</si>
  <si>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</si>
  <si>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</si>
  <si>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</si>
  <si>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</si>
  <si>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</si>
  <si>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</si>
  <si>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</si>
  <si>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</si>
  <si>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</si>
  <si>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</si>
  <si>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</si>
  <si>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</si>
  <si>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</si>
  <si>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</si>
  <si>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</si>
  <si>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</si>
  <si>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</si>
  <si>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</si>
  <si>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</si>
  <si>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</si>
  <si>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</si>
  <si>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</si>
  <si>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</si>
  <si>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</si>
  <si>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</si>
  <si>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</si>
  <si>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</si>
  <si>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</si>
  <si>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</si>
  <si>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</si>
  <si>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</si>
  <si>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</si>
  <si>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</si>
  <si>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</si>
  <si>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</si>
  <si>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</si>
  <si>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</si>
  <si>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</si>
  <si>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</si>
  <si>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</si>
  <si>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</si>
  <si>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</si>
  <si>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</si>
  <si>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</si>
  <si>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</si>
  <si>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</si>
  <si>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</si>
  <si>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</si>
  <si>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</si>
  <si>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</si>
  <si>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</si>
  <si>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</si>
  <si>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</si>
  <si>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</si>
  <si>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</si>
  <si>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</si>
  <si>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</si>
  <si>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</si>
  <si>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</si>
  <si>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</si>
  <si>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</si>
  <si>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</si>
  <si>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</si>
  <si>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</si>
  <si>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</si>
  <si>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</si>
  <si>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</si>
  <si>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</si>
  <si>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</si>
  <si>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</si>
  <si>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</si>
  <si>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</si>
  <si>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</si>
  <si>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</si>
  <si>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</si>
  <si>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</si>
  <si>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</si>
  <si>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</si>
  <si>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</si>
  <si>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</si>
  <si>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</si>
  <si>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</si>
  <si>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</si>
  <si>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</si>
  <si>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</si>
  <si>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</si>
  <si>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</si>
  <si>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</si>
  <si>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</si>
  <si>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</si>
  <si>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</si>
  <si>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</si>
  <si>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</si>
  <si>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</si>
  <si>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</si>
  <si>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</si>
  <si>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</si>
  <si>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</si>
  <si>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</si>
  <si>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</si>
  <si>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</si>
  <si>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</si>
  <si>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</si>
  <si>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</si>
  <si>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</si>
  <si>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</si>
  <si>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</si>
  <si>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</si>
  <si>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</si>
  <si>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</si>
  <si>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</si>
  <si>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</si>
  <si>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</si>
  <si>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</si>
  <si>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</si>
  <si>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</si>
  <si>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</si>
  <si>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</si>
  <si>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</si>
  <si>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</si>
  <si>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</si>
  <si>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</si>
  <si>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</si>
  <si>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</si>
  <si>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</si>
  <si>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</si>
  <si>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</si>
  <si>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</si>
  <si>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</si>
  <si>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</si>
  <si>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</si>
  <si>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</si>
  <si>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</si>
  <si>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</si>
  <si>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</si>
  <si>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</si>
  <si>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</si>
  <si>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</si>
  <si>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</si>
  <si>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</si>
  <si>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</si>
  <si>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</si>
  <si>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</si>
  <si>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</si>
  <si>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</si>
  <si>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</si>
  <si>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</si>
  <si>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</si>
  <si>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</si>
  <si>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</si>
  <si>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</si>
  <si>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</si>
  <si>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</si>
  <si>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</si>
  <si>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</si>
  <si>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</si>
  <si>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</si>
  <si>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</si>
  <si>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</si>
  <si>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</si>
  <si>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</si>
  <si>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</si>
  <si>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</si>
  <si>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</si>
  <si>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</si>
  <si>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</si>
  <si>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</si>
  <si>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</si>
  <si>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</si>
  <si>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</si>
  <si>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</si>
  <si>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</si>
  <si>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</si>
  <si>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</si>
  <si>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</si>
  <si>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</si>
  <si>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</si>
  <si>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</si>
  <si>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</si>
  <si>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</si>
  <si>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</si>
  <si>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</si>
  <si>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</si>
  <si>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</si>
  <si>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</si>
  <si>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</si>
  <si>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</si>
  <si>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</si>
  <si>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</si>
  <si>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</si>
  <si>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</si>
  <si>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</si>
  <si>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</si>
  <si>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</si>
  <si>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</si>
  <si>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</si>
  <si>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</si>
  <si>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</si>
  <si>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</si>
  <si>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</si>
  <si>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</si>
  <si>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</si>
  <si>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</si>
  <si>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</si>
  <si>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</si>
  <si>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</si>
  <si>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</si>
  <si>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</si>
  <si>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</si>
  <si>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</si>
  <si>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</si>
  <si>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</si>
  <si>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</si>
  <si>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</si>
  <si>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</si>
  <si>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</si>
  <si>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</si>
  <si>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</si>
  <si>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</si>
  <si>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</si>
  <si>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</si>
  <si>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</si>
  <si>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</si>
  <si>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</si>
  <si>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</si>
  <si>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</si>
  <si>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</si>
  <si>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</si>
  <si>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</si>
  <si>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</si>
  <si>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</si>
  <si>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</si>
  <si>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</si>
  <si>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</si>
  <si>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</si>
  <si>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</si>
  <si>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</si>
  <si>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</si>
  <si>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</si>
  <si>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</si>
  <si>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</si>
  <si>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</si>
  <si>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</si>
  <si>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</si>
  <si>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</si>
  <si>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</si>
  <si>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</si>
  <si>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</si>
  <si>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</si>
  <si>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</si>
  <si>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</si>
  <si>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</si>
  <si>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</si>
  <si>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</si>
  <si>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</si>
  <si>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</si>
  <si>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</si>
  <si>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</si>
  <si>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</si>
  <si>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</si>
  <si>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</si>
  <si>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</si>
  <si>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</si>
  <si>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</si>
  <si>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</si>
  <si>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</si>
  <si>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</si>
  <si>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</si>
  <si>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</si>
  <si>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</si>
  <si>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</si>
  <si>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</si>
  <si>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</si>
  <si>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</si>
  <si>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</si>
  <si>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</si>
  <si>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</si>
  <si>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</si>
  <si>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</si>
  <si>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</si>
  <si>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</si>
  <si>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</si>
  <si>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</si>
  <si>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</si>
  <si>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</si>
  <si>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</si>
  <si>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</si>
  <si>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</si>
  <si>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</si>
  <si>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</si>
  <si>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</si>
  <si>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</si>
  <si>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</si>
  <si>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</si>
  <si>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</si>
  <si>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</si>
  <si>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</si>
  <si>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</si>
  <si>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</si>
  <si>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</si>
  <si>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</si>
  <si>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</si>
  <si>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</si>
  <si>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</si>
  <si>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</si>
  <si>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</si>
  <si>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</si>
  <si>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</si>
  <si>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</si>
  <si>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</si>
  <si>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</si>
  <si>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</si>
  <si>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</si>
  <si>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</si>
  <si>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</si>
  <si>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</si>
  <si>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</si>
  <si>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</si>
  <si>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</si>
  <si>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</si>
  <si>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</si>
  <si>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</si>
  <si>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</si>
  <si>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</si>
  <si>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</si>
  <si>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</si>
  <si>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</si>
  <si>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</si>
  <si>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</si>
  <si>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</si>
  <si>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</si>
  <si>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</si>
  <si>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</si>
  <si>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</si>
  <si>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</si>
  <si>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</si>
  <si>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</si>
  <si>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</si>
  <si>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</si>
  <si>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</si>
  <si>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</si>
  <si>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</si>
  <si>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</si>
  <si>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</si>
  <si>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</si>
  <si>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</si>
  <si>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</si>
  <si>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</si>
  <si>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</si>
  <si>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</si>
  <si>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</si>
  <si>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</si>
  <si>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</si>
  <si>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</si>
  <si>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</si>
  <si>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</si>
  <si>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</si>
  <si>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</si>
  <si>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</si>
  <si>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</si>
  <si>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</si>
  <si>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</si>
  <si>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</si>
  <si>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</si>
  <si>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</si>
  <si>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</si>
  <si>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</si>
  <si>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</si>
  <si>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</si>
  <si>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</si>
  <si>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</si>
  <si>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</si>
  <si>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</si>
  <si>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</si>
  <si>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</si>
  <si>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</si>
  <si>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</si>
  <si>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</si>
  <si>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</si>
  <si>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</si>
  <si>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</si>
  <si>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</si>
  <si>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</si>
  <si>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</si>
  <si>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</si>
  <si>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</si>
  <si>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</si>
  <si>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</si>
  <si>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</si>
  <si>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</si>
  <si>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</si>
  <si>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</si>
  <si>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</si>
  <si>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</si>
  <si>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</si>
  <si>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</si>
  <si>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</si>
  <si>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</si>
  <si>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</si>
  <si>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</si>
  <si>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</si>
  <si>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</si>
  <si>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</si>
  <si>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</si>
  <si>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</si>
  <si>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</si>
  <si>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</si>
  <si>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</si>
  <si>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</si>
  <si>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</si>
  <si>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</si>
  <si>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</si>
  <si>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</si>
  <si>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</si>
  <si>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</si>
  <si>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</si>
  <si>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</si>
  <si>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</si>
  <si>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</si>
  <si>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</si>
  <si>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</si>
  <si>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</si>
  <si>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</si>
  <si>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</si>
  <si>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</si>
  <si>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</si>
  <si>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</si>
  <si>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</si>
  <si>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</si>
  <si>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</si>
  <si>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</si>
  <si>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</si>
  <si>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</si>
  <si>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</si>
  <si>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</si>
  <si>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</si>
  <si>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</si>
  <si>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</si>
  <si>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</si>
  <si>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</si>
  <si>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</si>
  <si>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</si>
  <si>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</si>
  <si>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</si>
  <si>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</si>
  <si>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</si>
  <si>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</si>
  <si>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</si>
  <si>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</si>
  <si>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</si>
  <si>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</si>
  <si>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</si>
  <si>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</si>
  <si>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</si>
  <si>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</si>
  <si>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</si>
  <si>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</si>
  <si>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</si>
  <si>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</si>
  <si>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</si>
  <si>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</si>
  <si>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</si>
  <si>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</si>
  <si>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</si>
  <si>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</si>
  <si>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</si>
  <si>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</si>
  <si>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</si>
  <si>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</si>
  <si>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</si>
  <si>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</si>
  <si>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</si>
  <si>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</si>
  <si>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</si>
  <si>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</si>
  <si>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</si>
  <si>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</si>
  <si>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</si>
  <si>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</si>
  <si>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</si>
  <si>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</si>
  <si>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</si>
  <si>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</si>
  <si>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</si>
  <si>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</si>
  <si>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</si>
  <si>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</si>
  <si>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</si>
  <si>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</si>
  <si>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</si>
  <si>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</si>
  <si>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</si>
  <si>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</si>
  <si>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</si>
  <si>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</si>
  <si>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</si>
  <si>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</si>
  <si>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</si>
  <si>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</si>
  <si>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</si>
  <si>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</si>
  <si>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</si>
  <si>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</si>
  <si>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</si>
  <si>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</si>
  <si>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</si>
  <si>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</si>
  <si>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</si>
  <si>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</si>
  <si>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</si>
  <si>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</si>
  <si>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</si>
  <si>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</si>
  <si>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</si>
  <si>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</si>
  <si>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</si>
  <si>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</si>
  <si>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</si>
  <si>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</si>
  <si>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</si>
  <si>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</si>
  <si>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</si>
  <si>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</si>
  <si>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</si>
  <si>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</si>
  <si>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</si>
  <si>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</si>
  <si>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</si>
  <si>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</si>
  <si>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</si>
  <si>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</si>
  <si>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</si>
  <si>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</si>
  <si>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</si>
  <si>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</si>
  <si>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</si>
  <si>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</si>
  <si>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</si>
  <si>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</si>
  <si>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</si>
  <si>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</si>
  <si>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</si>
  <si>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</si>
  <si>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</si>
  <si>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</si>
  <si>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</si>
  <si>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</si>
  <si>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</si>
  <si>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</si>
  <si>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</si>
  <si>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</si>
  <si>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</si>
  <si>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</si>
  <si>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</si>
  <si>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</si>
  <si>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</si>
  <si>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</si>
  <si>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</si>
  <si>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</si>
  <si>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</si>
  <si>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</si>
  <si>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</si>
  <si>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</si>
  <si>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</si>
  <si>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</si>
  <si>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</si>
  <si>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</si>
  <si>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</si>
  <si>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</si>
  <si>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</si>
  <si>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</si>
  <si>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</si>
  <si>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</si>
  <si>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</si>
  <si>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</si>
  <si>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</si>
  <si>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</si>
  <si>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</si>
  <si>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</si>
  <si>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</si>
  <si>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</si>
  <si>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</si>
  <si>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</si>
  <si>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</si>
  <si>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</si>
  <si>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</si>
  <si>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</si>
  <si>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</si>
  <si>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</si>
  <si>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</si>
  <si>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</si>
  <si>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</si>
  <si>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</si>
  <si>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</si>
  <si>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</si>
  <si>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</si>
  <si>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</si>
  <si>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</si>
  <si>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</si>
  <si>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</si>
  <si>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</si>
  <si>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</si>
  <si>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</si>
  <si>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</si>
  <si>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</si>
  <si>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</si>
  <si>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</si>
  <si>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</si>
  <si>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</si>
  <si>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</si>
  <si>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</si>
  <si>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</si>
  <si>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</si>
  <si>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</si>
  <si>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</si>
  <si>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</si>
  <si>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</si>
  <si>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</si>
  <si>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</si>
  <si>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</si>
  <si>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</si>
  <si>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</si>
  <si>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</si>
  <si>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</si>
  <si>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</si>
  <si>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</si>
  <si>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</si>
  <si>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</si>
  <si>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</si>
  <si>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</si>
  <si>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</si>
  <si>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</si>
  <si>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</si>
  <si>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</si>
  <si>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</si>
  <si>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</si>
  <si>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</si>
  <si>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</si>
  <si>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</si>
  <si>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</si>
  <si>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</si>
  <si>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</si>
  <si>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</si>
  <si>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</si>
  <si>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</si>
  <si>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</si>
  <si>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</si>
  <si>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</si>
  <si>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</si>
  <si>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</si>
  <si>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</si>
  <si>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</si>
  <si>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</si>
  <si>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</si>
  <si>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</si>
  <si>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</si>
  <si>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</si>
  <si>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</si>
  <si>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</si>
  <si>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</si>
  <si>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</si>
  <si>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</si>
  <si>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</si>
  <si>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</si>
  <si>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</si>
  <si>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</si>
  <si>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</si>
  <si>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</si>
  <si>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</si>
  <si>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</si>
  <si>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</si>
  <si>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</si>
  <si>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</si>
  <si>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</si>
  <si>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</si>
  <si>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</si>
  <si>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</si>
  <si>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</si>
  <si>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</si>
  <si>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</si>
  <si>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</si>
  <si>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</si>
  <si>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</si>
  <si>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</si>
  <si>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</si>
  <si>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</si>
  <si>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</si>
  <si>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</si>
  <si>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</si>
  <si>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</si>
  <si>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</si>
  <si>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</si>
  <si>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</si>
  <si>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</si>
  <si>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</si>
  <si>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</si>
  <si>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</si>
  <si>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</si>
  <si>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</si>
  <si>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</si>
  <si>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</si>
  <si>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</si>
  <si>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</si>
  <si>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</si>
  <si>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</si>
  <si>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</si>
  <si>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</si>
  <si>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</si>
  <si>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</si>
  <si>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</si>
  <si>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</si>
  <si>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</si>
  <si>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</si>
  <si>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</si>
  <si>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</si>
  <si>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</si>
  <si>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</si>
  <si>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</si>
  <si>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</si>
  <si>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</si>
  <si>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</si>
  <si>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</si>
  <si>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</si>
  <si>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</si>
  <si>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</si>
  <si>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</si>
  <si>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</si>
  <si>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</si>
  <si>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</si>
  <si>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</si>
  <si>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</si>
  <si>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</si>
  <si>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</si>
  <si>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</si>
  <si>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</si>
  <si>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</si>
  <si>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</si>
  <si>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</si>
  <si>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</si>
  <si>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</si>
  <si>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</si>
  <si>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</si>
  <si>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</si>
  <si>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</si>
  <si>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</si>
  <si>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</si>
  <si>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</si>
  <si>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</si>
  <si>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</si>
  <si>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</si>
  <si>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</si>
  <si>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</si>
  <si>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</si>
  <si>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</si>
  <si>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</si>
  <si>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</si>
  <si>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</si>
  <si>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</si>
  <si>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</si>
  <si>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</si>
  <si>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</si>
  <si>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</si>
  <si>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</si>
  <si>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</si>
  <si>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</si>
  <si>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</si>
  <si>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</si>
  <si>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</si>
  <si>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</si>
  <si>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</si>
  <si>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</si>
  <si>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</si>
  <si>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</si>
  <si>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</si>
  <si>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</si>
  <si>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</si>
  <si>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</si>
  <si>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</si>
  <si>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</si>
  <si>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</si>
  <si>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</si>
  <si>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</si>
  <si>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</si>
  <si>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</si>
  <si>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</si>
  <si>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</si>
  <si>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</si>
  <si>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</si>
  <si>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</si>
  <si>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</si>
  <si>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</si>
  <si>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</si>
  <si>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</si>
  <si>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</si>
  <si>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</si>
  <si>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</si>
  <si>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</si>
  <si>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</si>
  <si>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</si>
  <si>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</si>
  <si>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</si>
  <si>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</si>
  <si>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</si>
  <si>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</si>
  <si>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</si>
  <si>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</si>
  <si>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</si>
  <si>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</si>
  <si>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</si>
  <si>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</si>
  <si>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</si>
  <si>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</si>
  <si>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</si>
  <si>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</si>
  <si>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</si>
  <si>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</si>
  <si>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</si>
  <si>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</si>
  <si>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</si>
  <si>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</si>
  <si>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</si>
  <si>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</si>
  <si>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</si>
  <si>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</si>
  <si>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</si>
  <si>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</si>
  <si>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</si>
  <si>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</si>
  <si>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</si>
  <si>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</si>
  <si>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</si>
  <si>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</si>
  <si>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</si>
  <si>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</si>
  <si>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</si>
  <si>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</si>
  <si>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</si>
  <si>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</si>
  <si>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</si>
  <si>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</si>
  <si>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</si>
  <si>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</si>
  <si>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</si>
  <si>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</si>
  <si>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</si>
  <si>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</si>
  <si>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</si>
  <si>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</si>
  <si>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</si>
  <si>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</si>
  <si>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</si>
  <si>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</si>
  <si>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</si>
  <si>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</si>
  <si>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</si>
  <si>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</si>
  <si>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</si>
  <si>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</si>
  <si>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</si>
  <si>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</si>
  <si>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</si>
  <si>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</si>
  <si>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</si>
  <si>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</si>
  <si>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</si>
  <si>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</si>
  <si>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</si>
  <si>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</si>
  <si>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</si>
  <si>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</si>
  <si>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</si>
  <si>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</si>
  <si>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</si>
  <si>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</si>
  <si>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</si>
  <si>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</si>
  <si>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</si>
  <si>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</si>
  <si>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</si>
  <si>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</si>
  <si>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</si>
  <si>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</si>
  <si>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</si>
  <si>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</si>
  <si>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</si>
  <si>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</si>
  <si>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</si>
  <si>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</si>
  <si>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</si>
  <si>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</si>
  <si>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</si>
  <si>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</si>
  <si>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</si>
  <si>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</si>
  <si>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</si>
  <si>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</si>
  <si>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</si>
  <si>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</si>
  <si>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</si>
  <si>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</si>
  <si>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</si>
  <si>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</si>
  <si>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</si>
  <si>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</si>
  <si>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</si>
  <si>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</si>
  <si>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</si>
  <si>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</si>
  <si>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</si>
  <si>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</si>
  <si>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</si>
  <si>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</si>
  <si>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</si>
  <si>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</si>
  <si>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</si>
  <si>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</si>
  <si>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</si>
  <si>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</si>
  <si>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</si>
  <si>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</si>
  <si>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</si>
  <si>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</si>
  <si>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</si>
  <si>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</si>
  <si>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</si>
  <si>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</si>
  <si>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</si>
  <si>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</si>
  <si>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</si>
  <si>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</si>
  <si>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</si>
  <si>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</si>
  <si>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</si>
  <si>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</si>
  <si>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</si>
  <si>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</si>
  <si>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</si>
  <si>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</si>
  <si>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</si>
  <si>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</si>
  <si>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</si>
  <si>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</si>
  <si>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</si>
  <si>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</si>
  <si>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</si>
  <si>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</si>
  <si>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</si>
  <si>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</si>
  <si>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</si>
  <si>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</si>
  <si>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</si>
  <si>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</si>
  <si>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</si>
  <si>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</si>
  <si>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</si>
  <si>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</si>
  <si>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</si>
  <si>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</si>
  <si>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</si>
  <si>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</si>
  <si>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</si>
  <si>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</si>
  <si>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</si>
  <si>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</si>
  <si>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</si>
  <si>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</si>
  <si>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</si>
  <si>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</si>
  <si>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</si>
  <si>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</si>
  <si>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</si>
  <si>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</si>
  <si>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</si>
  <si>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</si>
  <si>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</si>
  <si>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</si>
  <si>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</si>
  <si>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</si>
  <si>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</si>
  <si>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</si>
  <si>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</si>
  <si>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</si>
  <si>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</si>
  <si>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</si>
  <si>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</si>
  <si>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</si>
  <si>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</si>
  <si>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</si>
  <si>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</si>
  <si>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</si>
  <si>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</si>
  <si>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</si>
  <si>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</si>
  <si>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</si>
  <si>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</si>
  <si>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</si>
  <si>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</si>
  <si>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</si>
  <si>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</si>
  <si>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</si>
  <si>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</si>
  <si>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</si>
  <si>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</si>
  <si>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</si>
  <si>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</si>
  <si>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</si>
  <si>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</si>
  <si>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</si>
  <si>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</si>
  <si>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</si>
  <si>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</si>
  <si>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</si>
  <si>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</si>
  <si>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</si>
  <si>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</si>
  <si>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</si>
  <si>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</si>
  <si>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</si>
  <si>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</si>
  <si>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</si>
  <si>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</si>
  <si>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</si>
  <si>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</si>
  <si>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</si>
  <si>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</si>
  <si>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</si>
  <si>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</si>
  <si>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</si>
  <si>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</si>
  <si>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</si>
  <si>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</si>
  <si>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</si>
  <si>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</si>
  <si>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</si>
  <si>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</si>
  <si>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</si>
  <si>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</si>
  <si>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</si>
  <si>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</si>
  <si>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</si>
  <si>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</si>
  <si>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</si>
  <si>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</si>
  <si>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</si>
  <si>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</si>
  <si>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</si>
  <si>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</si>
  <si>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</si>
  <si>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</si>
  <si>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</si>
  <si>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</si>
  <si>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</si>
  <si>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</si>
  <si>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</si>
  <si>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</si>
  <si>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</si>
  <si>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</si>
  <si>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</si>
  <si>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</si>
  <si>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</si>
  <si>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</si>
  <si>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</si>
  <si>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</si>
  <si>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</si>
  <si>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</si>
  <si>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</si>
  <si>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</si>
  <si>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</si>
  <si>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</si>
  <si>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</si>
  <si>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</si>
  <si>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</si>
  <si>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</si>
  <si>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</si>
  <si>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</si>
  <si>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</si>
  <si>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</si>
  <si>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</si>
  <si>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</si>
  <si>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</si>
  <si>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</si>
  <si>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</si>
  <si>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</si>
  <si>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</si>
  <si>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</si>
  <si>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</si>
  <si>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</si>
  <si>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</si>
  <si>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</si>
  <si>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</si>
  <si>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</si>
  <si>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</si>
  <si>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</si>
  <si>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</si>
  <si>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</si>
  <si>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</si>
  <si>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</si>
  <si>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</si>
  <si>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</si>
  <si>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</si>
  <si>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</si>
  <si>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</si>
  <si>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</si>
  <si>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</si>
  <si>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</si>
  <si>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</si>
  <si>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</si>
  <si>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</si>
  <si>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</si>
  <si>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</si>
  <si>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</si>
  <si>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</si>
  <si>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</si>
  <si>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</si>
  <si>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</si>
  <si>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</si>
  <si>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</si>
  <si>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</si>
  <si>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</si>
  <si>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</si>
  <si>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</si>
  <si>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</si>
  <si>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</si>
  <si>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</si>
  <si>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</si>
  <si>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</si>
  <si>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</si>
  <si>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</si>
  <si>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</si>
  <si>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</si>
  <si>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</si>
  <si>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</si>
  <si>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</si>
  <si>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</si>
  <si>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</si>
  <si>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</si>
  <si>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</si>
  <si>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</si>
  <si>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</si>
  <si>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</si>
  <si>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</si>
  <si>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</si>
  <si>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</si>
  <si>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</si>
  <si>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</si>
  <si>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</si>
  <si>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</si>
  <si>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</si>
  <si>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</si>
  <si>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</si>
  <si>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</si>
  <si>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</si>
  <si>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</si>
  <si>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</si>
  <si>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</si>
  <si>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</si>
  <si>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</si>
  <si>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</si>
  <si>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</si>
  <si>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</si>
  <si>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</si>
  <si>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</si>
  <si>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</si>
  <si>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</si>
  <si>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</si>
  <si>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</si>
  <si>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</si>
  <si>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</si>
  <si>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</si>
  <si>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</si>
  <si>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</si>
  <si>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</si>
  <si>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</si>
  <si>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</si>
  <si>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</si>
  <si>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</si>
  <si>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</si>
  <si>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</si>
  <si>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</si>
  <si>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</si>
  <si>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</si>
  <si>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</si>
  <si>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</si>
  <si>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</si>
  <si>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</si>
  <si>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</si>
  <si>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</si>
  <si>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</si>
  <si>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</si>
  <si>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</si>
  <si>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</si>
  <si>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</si>
  <si>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</si>
  <si>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</si>
  <si>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</si>
  <si>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</si>
  <si>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</si>
  <si>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</si>
  <si>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</si>
  <si>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</si>
  <si>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</si>
  <si>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</si>
  <si>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</si>
  <si>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</si>
  <si>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</si>
  <si>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</si>
  <si>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</si>
  <si>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</si>
  <si>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</si>
  <si>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</si>
  <si>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</si>
  <si>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</si>
  <si>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</si>
  <si>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</si>
  <si>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</si>
  <si>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</si>
  <si>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</si>
  <si>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</si>
  <si>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</si>
  <si>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</si>
  <si>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</si>
  <si>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</si>
  <si>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</si>
  <si>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</si>
  <si>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</si>
  <si>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</si>
  <si>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</si>
  <si>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</si>
  <si>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</si>
  <si>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</si>
  <si>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</si>
  <si>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</si>
  <si>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</si>
  <si>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</si>
  <si>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</si>
  <si>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</si>
  <si>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</si>
  <si>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</si>
  <si>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</si>
  <si>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</si>
  <si>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</si>
  <si>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</si>
  <si>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</si>
  <si>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</si>
  <si>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</si>
  <si>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</si>
  <si>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</si>
  <si>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</si>
  <si>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</si>
  <si>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</si>
  <si>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</si>
  <si>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</si>
  <si>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</si>
  <si>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</si>
  <si>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</si>
  <si>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</si>
  <si>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</si>
  <si>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</si>
  <si>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</si>
  <si>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</si>
  <si>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</si>
  <si>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</si>
  <si>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</si>
  <si>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</si>
  <si>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</si>
  <si>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</si>
  <si>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</si>
  <si>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</si>
  <si>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</si>
  <si>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</si>
  <si>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</si>
  <si>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</si>
  <si>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</si>
  <si>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</si>
  <si>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</si>
  <si>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</si>
  <si>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</si>
  <si>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</si>
  <si>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</si>
  <si>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</si>
  <si>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</si>
  <si>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</si>
  <si>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</si>
  <si>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</si>
  <si>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</si>
  <si>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</si>
  <si>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</si>
  <si>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</si>
  <si>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</si>
  <si>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</si>
  <si>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</si>
  <si>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</si>
  <si>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</si>
  <si>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</si>
  <si>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</si>
  <si>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</si>
  <si>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</si>
  <si>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</si>
  <si>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</si>
  <si>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</si>
  <si>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</si>
  <si>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</si>
  <si>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</si>
  <si>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</si>
  <si>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</si>
  <si>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</si>
  <si>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</si>
  <si>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</si>
  <si>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</si>
  <si>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</si>
  <si>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</si>
  <si>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</si>
  <si>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</si>
  <si>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</si>
  <si>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</si>
  <si>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</si>
  <si>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</si>
  <si>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</si>
  <si>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</si>
  <si>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</si>
  <si>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</si>
  <si>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</si>
  <si>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</si>
  <si>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</si>
  <si>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</si>
  <si>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</si>
  <si>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</si>
  <si>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</si>
  <si>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</si>
  <si>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</si>
  <si>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</si>
  <si>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</si>
  <si>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</si>
  <si>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</si>
  <si>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</si>
  <si>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</si>
  <si>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</si>
  <si>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</si>
  <si>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</si>
  <si>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</si>
  <si>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</si>
  <si>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</si>
  <si>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</si>
  <si>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</si>
  <si>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</si>
  <si>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</si>
  <si>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</si>
  <si>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</si>
  <si>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</si>
  <si>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</si>
  <si>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</si>
  <si>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</si>
  <si>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</si>
  <si>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</si>
  <si>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</si>
  <si>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</si>
  <si>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</si>
  <si>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</si>
  <si>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</si>
  <si>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</si>
  <si>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</si>
  <si>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</si>
  <si>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</si>
  <si>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</si>
  <si>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</si>
  <si>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</si>
  <si>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</si>
  <si>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</si>
  <si>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</si>
  <si>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</si>
  <si>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</si>
  <si>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</si>
  <si>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</si>
  <si>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</si>
  <si>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</si>
  <si>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</si>
  <si>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</si>
  <si>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</si>
  <si>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</si>
  <si>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</si>
  <si>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</si>
  <si>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</si>
  <si>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</si>
  <si>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</si>
  <si>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</si>
  <si>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</si>
  <si>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</si>
  <si>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</si>
  <si>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</si>
  <si>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</si>
  <si>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</si>
  <si>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</si>
  <si>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</si>
  <si>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</si>
  <si>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</si>
  <si>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</si>
  <si>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</si>
  <si>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</si>
  <si>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</si>
  <si>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</si>
  <si>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</si>
  <si>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</si>
  <si>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</si>
  <si>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</si>
  <si>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</si>
  <si>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</si>
  <si>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</si>
  <si>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</si>
  <si>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</si>
  <si>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</si>
  <si>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</si>
  <si>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</si>
  <si>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</si>
  <si>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</si>
  <si>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</si>
  <si>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</si>
  <si>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</si>
  <si>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</si>
  <si>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</si>
  <si>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</si>
  <si>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</si>
  <si>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</si>
  <si>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</si>
  <si>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</si>
  <si>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</si>
  <si>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</si>
  <si>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</si>
  <si>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</si>
  <si>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</si>
  <si>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</si>
  <si>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</si>
  <si>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</si>
  <si>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</si>
  <si>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</si>
  <si>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</si>
  <si>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</si>
  <si>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</si>
  <si>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</si>
  <si>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</si>
  <si>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</si>
  <si>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</si>
  <si>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</si>
  <si>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</si>
  <si>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</si>
  <si>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</si>
  <si>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</si>
  <si>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</si>
  <si>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</si>
  <si>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</si>
  <si>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</si>
  <si>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</si>
  <si>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</si>
  <si>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</si>
  <si>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</si>
  <si>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</si>
  <si>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</si>
  <si>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</si>
  <si>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</si>
  <si>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</si>
  <si>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</si>
  <si>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</si>
  <si>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</si>
  <si>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</si>
  <si>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</si>
  <si>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</si>
  <si>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</si>
  <si>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</si>
  <si>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</si>
  <si>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</si>
  <si>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</si>
  <si>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</si>
  <si>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</si>
  <si>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</si>
  <si>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</si>
  <si>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</si>
  <si>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</si>
  <si>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</si>
  <si>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</si>
  <si>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</si>
  <si>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</si>
  <si>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</si>
  <si>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</si>
  <si>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</si>
  <si>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</si>
  <si>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</si>
  <si>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</si>
  <si>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</si>
  <si>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</si>
  <si>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</si>
  <si>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</si>
  <si>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</si>
  <si>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</si>
  <si>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</si>
  <si>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</si>
  <si>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</si>
  <si>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</si>
  <si>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</si>
  <si>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</si>
  <si>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</si>
  <si>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</si>
  <si>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</si>
  <si>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</si>
  <si>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</si>
  <si>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</si>
  <si>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</si>
  <si>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</si>
  <si>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</si>
  <si>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</si>
  <si>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</si>
  <si>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</si>
  <si>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</si>
  <si>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</si>
  <si>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</si>
  <si>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</si>
  <si>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</si>
  <si>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</si>
  <si>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</si>
  <si>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</si>
  <si>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</si>
  <si>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</si>
  <si>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</si>
  <si>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</si>
  <si>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</si>
  <si>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</si>
  <si>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</si>
  <si>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</si>
  <si>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</si>
  <si>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</si>
  <si>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</si>
  <si>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</si>
  <si>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</si>
  <si>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</si>
  <si>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</si>
  <si>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</si>
  <si>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</si>
  <si>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</si>
  <si>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</si>
  <si>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</si>
  <si>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</si>
  <si>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</si>
  <si>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</si>
  <si>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</si>
  <si>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</si>
  <si>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</si>
  <si>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</si>
  <si>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</si>
  <si>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</si>
  <si>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</si>
  <si>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</si>
  <si>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</si>
  <si>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</si>
  <si>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</si>
  <si>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</si>
  <si>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</si>
  <si>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</si>
  <si>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</si>
  <si>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</si>
  <si>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</si>
  <si>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</si>
  <si>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</si>
  <si>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</si>
  <si>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</si>
  <si>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</si>
  <si>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</si>
  <si>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</si>
  <si>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</si>
  <si>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</si>
  <si>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</si>
  <si>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</si>
  <si>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</si>
  <si>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</si>
  <si>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</si>
  <si>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</si>
  <si>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</si>
  <si>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</si>
  <si>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</si>
  <si>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</si>
  <si>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</si>
  <si>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</si>
  <si>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</si>
  <si>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</si>
  <si>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</si>
  <si>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</si>
  <si>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</si>
  <si>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</si>
  <si>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</si>
  <si>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</si>
  <si>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</si>
  <si>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</si>
  <si>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</si>
  <si>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</si>
  <si>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</si>
  <si>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</si>
  <si>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</si>
  <si>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</si>
  <si>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</si>
  <si>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</si>
  <si>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</si>
  <si>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</si>
  <si>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</si>
  <si>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</si>
  <si>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</si>
  <si>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</si>
  <si>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</si>
  <si>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</si>
  <si>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</si>
  <si>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</si>
  <si>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</si>
  <si>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</si>
  <si>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</si>
  <si>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</si>
  <si>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</si>
  <si>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</si>
  <si>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</si>
  <si>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</si>
  <si>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</si>
  <si>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</si>
  <si>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</si>
  <si>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</si>
  <si>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</si>
  <si>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</si>
  <si>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</si>
  <si>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</si>
  <si>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</si>
  <si>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</si>
  <si>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</si>
  <si>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</si>
  <si>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</si>
  <si>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</si>
  <si>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</si>
  <si>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</si>
  <si>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</si>
  <si>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</si>
  <si>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</si>
  <si>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</si>
  <si>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</si>
  <si>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</si>
  <si>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</si>
  <si>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</si>
  <si>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</si>
  <si>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</si>
  <si>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</si>
  <si>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</si>
  <si>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</si>
  <si>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</si>
  <si>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</si>
  <si>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</si>
  <si>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</si>
  <si>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</si>
  <si>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</si>
  <si>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</si>
  <si>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</si>
  <si>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</si>
  <si>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</si>
  <si>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</si>
  <si>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</si>
  <si>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</si>
  <si>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</si>
  <si>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</si>
  <si>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</si>
  <si>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</si>
  <si>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</si>
  <si>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</si>
  <si>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</si>
  <si>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</si>
  <si>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</si>
  <si>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</si>
  <si>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</si>
  <si>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</si>
  <si>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</si>
  <si>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</si>
  <si>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</si>
  <si>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</si>
  <si>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</si>
  <si>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</si>
  <si>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</si>
  <si>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</si>
  <si>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</si>
  <si>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</si>
  <si>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</si>
  <si>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</si>
  <si>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</si>
  <si>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</si>
  <si>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</si>
  <si>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</si>
  <si>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</si>
  <si>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</si>
  <si>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</si>
  <si>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</si>
  <si>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</si>
  <si>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</si>
  <si>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</si>
  <si>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</si>
  <si>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</si>
  <si>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</si>
  <si>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</si>
  <si>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</si>
  <si>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</si>
  <si>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</si>
  <si>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</si>
  <si>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</si>
  <si>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</si>
  <si>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</si>
  <si>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</si>
  <si>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</si>
  <si>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</si>
  <si>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</si>
  <si>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</si>
  <si>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</si>
  <si>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</si>
  <si>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</si>
  <si>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</si>
  <si>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</si>
  <si>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</si>
  <si>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</si>
  <si>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</si>
  <si>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</si>
  <si>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</si>
  <si>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</si>
  <si>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</si>
  <si>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</si>
  <si>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</si>
  <si>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</si>
  <si>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</si>
  <si>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</si>
  <si>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</si>
  <si>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</si>
  <si>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</si>
  <si>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</si>
  <si>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</si>
  <si>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</si>
  <si>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</si>
  <si>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</si>
  <si>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</si>
  <si>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</si>
  <si>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</si>
  <si>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</si>
  <si>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</si>
  <si>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</si>
  <si>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</si>
  <si>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</si>
  <si>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</si>
  <si>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</si>
  <si>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</si>
  <si>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</si>
  <si>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</si>
  <si>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</si>
  <si>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</si>
  <si>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</si>
  <si>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</si>
  <si>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</si>
  <si>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</si>
  <si>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</si>
  <si>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</si>
  <si>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</si>
  <si>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</si>
  <si>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</si>
  <si>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</si>
  <si>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</si>
  <si>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</si>
  <si>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</si>
  <si>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</si>
  <si>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</si>
  <si>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</si>
  <si>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</si>
  <si>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</si>
  <si>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</si>
  <si>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</si>
  <si>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</si>
  <si>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</si>
  <si>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</si>
  <si>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</si>
  <si>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</si>
  <si>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</si>
  <si>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</si>
  <si>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</si>
  <si>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</si>
  <si>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</si>
  <si>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</si>
  <si>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</si>
  <si>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</si>
  <si>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</si>
  <si>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</si>
  <si>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</si>
  <si>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</si>
  <si>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</si>
  <si>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</si>
  <si>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</si>
  <si>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</si>
  <si>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</si>
  <si>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</si>
  <si>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</si>
  <si>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</si>
  <si>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</si>
  <si>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</si>
  <si>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</si>
  <si>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</si>
  <si>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</si>
  <si>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</si>
  <si>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</si>
  <si>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</si>
  <si>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</si>
  <si>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</si>
  <si>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</si>
  <si>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</si>
  <si>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</si>
  <si>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</si>
  <si>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</si>
  <si>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</si>
  <si>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</si>
  <si>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</si>
  <si>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</si>
  <si>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</si>
  <si>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</si>
  <si>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</si>
  <si>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</si>
  <si>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</si>
  <si>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</si>
  <si>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</si>
  <si>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</si>
  <si>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</si>
  <si>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</si>
  <si>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</si>
  <si>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</si>
  <si>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</si>
  <si>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</si>
  <si>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</si>
  <si>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</si>
  <si>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</si>
  <si>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</si>
  <si>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</si>
  <si>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</si>
  <si>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</si>
  <si>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</si>
  <si>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</si>
  <si>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</si>
  <si>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</si>
  <si>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</si>
  <si>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</si>
  <si>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</si>
  <si>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</si>
  <si>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</si>
  <si>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</si>
  <si>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</si>
  <si>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</si>
  <si>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</si>
  <si>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</si>
  <si>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</si>
  <si>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</si>
  <si>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</si>
  <si>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</si>
  <si>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</si>
  <si>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</si>
  <si>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</si>
  <si>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</si>
  <si>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</si>
  <si>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</si>
  <si>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</si>
  <si>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</si>
  <si>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</si>
  <si>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</si>
  <si>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</si>
  <si>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</si>
  <si>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</si>
  <si>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</si>
  <si>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</si>
  <si>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</si>
  <si>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</si>
  <si>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</si>
  <si>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</si>
  <si>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</si>
  <si>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</si>
  <si>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</si>
  <si>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</si>
  <si>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</si>
  <si>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</si>
  <si>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</si>
  <si>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</si>
  <si>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</si>
  <si>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</si>
  <si>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</si>
  <si>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</si>
  <si>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</si>
  <si>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</si>
  <si>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</si>
  <si>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</si>
  <si>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</si>
  <si>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</si>
  <si>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</si>
  <si>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</si>
  <si>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</si>
  <si>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</si>
  <si>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</si>
  <si>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</si>
  <si>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</si>
  <si>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</si>
  <si>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</si>
  <si>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</si>
  <si>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</si>
  <si>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</si>
  <si>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</si>
  <si>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</si>
  <si>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</si>
  <si>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</si>
  <si>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</si>
  <si>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</si>
  <si>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</si>
  <si>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</si>
  <si>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</si>
  <si>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</si>
  <si>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</si>
  <si>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</si>
  <si>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</si>
  <si>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</si>
  <si>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</si>
  <si>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</si>
  <si>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</si>
  <si>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</si>
  <si>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</si>
  <si>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</si>
  <si>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</si>
  <si>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</si>
  <si>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</si>
  <si>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</si>
  <si>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</si>
  <si>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</si>
  <si>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</si>
  <si>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</si>
  <si>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</si>
  <si>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</si>
  <si>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</si>
  <si>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</si>
  <si>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</si>
  <si>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</si>
  <si>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</si>
  <si>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</si>
  <si>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</si>
  <si>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</si>
  <si>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</si>
  <si>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</si>
  <si>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</si>
  <si>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</si>
  <si>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</si>
  <si>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</si>
  <si>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</si>
  <si>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</si>
  <si>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</si>
  <si>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</si>
  <si>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</si>
  <si>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</si>
  <si>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</si>
  <si>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</si>
  <si>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</si>
  <si>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</si>
  <si>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</si>
  <si>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</si>
  <si>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</si>
  <si>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</si>
  <si>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</si>
  <si>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</si>
  <si>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</si>
  <si>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</si>
  <si>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</si>
  <si>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</si>
  <si>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</si>
  <si>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</si>
  <si>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</si>
  <si>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</si>
  <si>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</si>
  <si>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</si>
  <si>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</si>
  <si>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</si>
  <si>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</si>
  <si>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</si>
  <si>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</si>
  <si>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</si>
  <si>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</si>
  <si>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</si>
  <si>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</si>
  <si>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</si>
  <si>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</si>
  <si>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</si>
  <si>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</si>
  <si>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</si>
  <si>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</si>
  <si>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</si>
  <si>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</si>
  <si>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</si>
  <si>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</si>
  <si>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</si>
  <si>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</si>
  <si>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</si>
  <si>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</si>
  <si>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</si>
  <si>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</si>
  <si>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</si>
  <si>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</si>
  <si>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</si>
  <si>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</si>
  <si>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</si>
  <si>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</si>
  <si>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</si>
  <si>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</si>
  <si>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</si>
  <si>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</si>
  <si>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</si>
  <si>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</si>
  <si>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</si>
  <si>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</si>
  <si>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</si>
  <si>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</si>
  <si>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</si>
  <si>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</si>
  <si>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</si>
  <si>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</si>
  <si>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</si>
  <si>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</si>
  <si>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</si>
  <si>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</si>
  <si>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</si>
  <si>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</si>
  <si>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</si>
  <si>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</si>
  <si>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</si>
  <si>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</si>
  <si>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</si>
  <si>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</si>
  <si>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</si>
  <si>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</si>
  <si>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</si>
  <si>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</si>
  <si>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</si>
  <si>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</si>
  <si>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</si>
  <si>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</si>
  <si>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</si>
  <si>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</si>
  <si>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</si>
  <si>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</si>
  <si>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</si>
  <si>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</si>
  <si>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</si>
  <si>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</si>
  <si>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</si>
  <si>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</si>
  <si>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</si>
  <si>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</si>
  <si>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</si>
  <si>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</si>
  <si>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</si>
  <si>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</si>
  <si>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</si>
  <si>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</si>
  <si>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</si>
  <si>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</si>
  <si>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</si>
  <si>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</si>
  <si>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</si>
  <si>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</si>
  <si>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</si>
  <si>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</si>
  <si>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</si>
  <si>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</si>
  <si>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</si>
  <si>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</si>
  <si>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</si>
  <si>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</si>
  <si>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</si>
  <si>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</si>
  <si>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</si>
  <si>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</si>
  <si>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</si>
  <si>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</si>
  <si>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</si>
  <si>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</si>
  <si>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</si>
  <si>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</si>
  <si>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</si>
  <si>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</si>
  <si>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</si>
  <si>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</si>
  <si>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</si>
  <si>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</si>
  <si>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</si>
  <si>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</si>
  <si>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</si>
  <si>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</si>
  <si>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</si>
  <si>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</si>
  <si>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</si>
  <si>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</si>
  <si>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</si>
  <si>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</si>
  <si>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</si>
  <si>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</si>
  <si>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</si>
  <si>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</si>
  <si>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</si>
  <si>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</si>
  <si>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</si>
  <si>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</si>
  <si>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</si>
  <si>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</si>
  <si>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</si>
  <si>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</si>
  <si>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</si>
  <si>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</si>
  <si>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</si>
  <si>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</si>
  <si>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</si>
  <si>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</si>
  <si>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</si>
  <si>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</si>
  <si>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</si>
  <si>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</si>
  <si>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</si>
  <si>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</si>
  <si>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</si>
  <si>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</si>
  <si>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</si>
  <si>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</si>
  <si>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</si>
  <si>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</si>
  <si>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</si>
  <si>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</si>
  <si>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</si>
  <si>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</si>
  <si>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</si>
  <si>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</si>
  <si>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</si>
  <si>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</si>
  <si>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</si>
  <si>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</si>
  <si>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</si>
  <si>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</si>
  <si>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</si>
  <si>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</si>
  <si>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</si>
  <si>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</si>
  <si>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</si>
  <si>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</si>
  <si>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</si>
  <si>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</si>
  <si>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</si>
  <si>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</si>
  <si>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</si>
  <si>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</si>
  <si>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</si>
  <si>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</si>
  <si>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</si>
  <si>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</si>
  <si>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</si>
  <si>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</si>
  <si>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</si>
  <si>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</si>
  <si>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</si>
  <si>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</si>
  <si>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</si>
  <si>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</si>
  <si>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</si>
  <si>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</si>
  <si>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</si>
  <si>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</si>
  <si>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</si>
  <si>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</si>
  <si>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</si>
  <si>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</si>
  <si>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</si>
  <si>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</si>
  <si>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</si>
  <si>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</si>
  <si>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</si>
  <si>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</si>
  <si>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</si>
  <si>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</si>
  <si>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</si>
  <si>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</si>
  <si>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</si>
  <si>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</si>
  <si>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</si>
  <si>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</si>
  <si>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</si>
  <si>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</si>
  <si>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</si>
  <si>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</si>
  <si>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</si>
  <si>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</si>
  <si>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</si>
  <si>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</si>
  <si>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</si>
  <si>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</si>
  <si>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</si>
  <si>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</si>
  <si>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</si>
  <si>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</si>
  <si>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</si>
  <si>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</si>
  <si>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</si>
  <si>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</si>
  <si>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</si>
  <si>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</si>
  <si>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</si>
  <si>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</si>
  <si>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</si>
  <si>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</si>
  <si>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</si>
  <si>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</si>
  <si>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</si>
  <si>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</si>
  <si>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</si>
  <si>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</si>
  <si>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</si>
  <si>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</si>
  <si>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</si>
  <si>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</si>
  <si>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</si>
  <si>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</si>
  <si>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</si>
  <si>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</si>
  <si>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</si>
  <si>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</si>
  <si>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</si>
  <si>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</si>
  <si>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</si>
  <si>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</si>
  <si>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</si>
  <si>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</si>
  <si>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</si>
  <si>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</si>
  <si>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</si>
  <si>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</si>
  <si>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</si>
  <si>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</si>
  <si>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</si>
  <si>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</si>
  <si>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</si>
  <si>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</si>
  <si>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</si>
  <si>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</si>
  <si>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</si>
  <si>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</si>
  <si>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</si>
  <si>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</si>
  <si>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</si>
  <si>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</si>
  <si>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</si>
  <si>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</si>
  <si>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</si>
  <si>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</si>
  <si>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</si>
  <si>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</si>
  <si>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</si>
  <si>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</si>
  <si>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</si>
  <si>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</si>
  <si>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</si>
  <si>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</si>
  <si>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</si>
  <si>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</si>
  <si>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</si>
  <si>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</si>
  <si>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</si>
  <si>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</si>
  <si>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</si>
  <si>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</si>
  <si>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</si>
  <si>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</si>
  <si>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</si>
  <si>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</si>
  <si>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</si>
  <si>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</si>
  <si>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</si>
  <si>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</si>
  <si>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</si>
  <si>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</si>
  <si>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</si>
  <si>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</si>
  <si>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</si>
  <si>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</si>
  <si>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</si>
  <si>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</si>
  <si>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</si>
  <si>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</si>
  <si>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</si>
  <si>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</si>
  <si>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</si>
  <si>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</si>
  <si>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</si>
  <si>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</si>
  <si>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</si>
  <si>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</si>
  <si>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</si>
  <si>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</si>
  <si>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</si>
  <si>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</si>
  <si>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</si>
  <si>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</si>
  <si>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</si>
  <si>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</si>
  <si>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</si>
  <si>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</si>
  <si>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</si>
  <si>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</si>
  <si>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</si>
  <si>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</si>
  <si>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</si>
  <si>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</si>
  <si>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</si>
  <si>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</si>
  <si>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</si>
  <si>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</si>
  <si>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</si>
  <si>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</si>
  <si>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</si>
  <si>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</si>
  <si>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</si>
  <si>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</si>
  <si>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</si>
  <si>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</si>
  <si>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</si>
  <si>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</si>
  <si>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</si>
  <si>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</si>
  <si>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</si>
  <si>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</si>
  <si>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</si>
  <si>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</si>
  <si>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</si>
  <si>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</si>
  <si>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</si>
  <si>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</si>
  <si>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</si>
  <si>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</si>
  <si>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</si>
  <si>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</si>
  <si>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</si>
  <si>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</si>
  <si>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</si>
  <si>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</si>
  <si>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</si>
  <si>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</si>
  <si>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</si>
  <si>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</si>
  <si>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</si>
  <si>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</si>
  <si>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</si>
  <si>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</si>
  <si>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</si>
  <si>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</si>
  <si>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</si>
  <si>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</si>
  <si>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</si>
  <si>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</si>
  <si>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</si>
  <si>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</si>
  <si>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</si>
  <si>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</si>
  <si>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</si>
  <si>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</si>
  <si>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</si>
  <si>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</si>
  <si>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</si>
  <si>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</si>
  <si>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</si>
  <si>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</si>
  <si>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</si>
  <si>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</si>
  <si>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</si>
  <si>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</si>
  <si>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</si>
  <si>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</si>
  <si>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</si>
  <si>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</si>
  <si>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</si>
  <si>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</si>
  <si>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</si>
  <si>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</si>
  <si>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</si>
  <si>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</si>
  <si>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</si>
  <si>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</si>
  <si>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</si>
  <si>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</si>
  <si>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</si>
  <si>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</si>
  <si>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</si>
  <si>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</si>
  <si>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</si>
  <si>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</si>
  <si>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</si>
  <si>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</si>
  <si>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</si>
  <si>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</si>
  <si>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</si>
  <si>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</si>
  <si>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</si>
  <si>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</si>
  <si>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</si>
  <si>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</si>
  <si>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</si>
  <si>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</si>
  <si>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</si>
  <si>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</si>
  <si>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</si>
  <si>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</si>
  <si>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</si>
  <si>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</si>
  <si>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</si>
  <si>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</si>
  <si>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</si>
  <si>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</si>
  <si>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</si>
  <si>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</si>
  <si>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</si>
  <si>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</si>
  <si>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</si>
  <si>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</si>
  <si>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</si>
  <si>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</si>
  <si>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</si>
  <si>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</si>
  <si>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</si>
  <si>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</si>
  <si>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</si>
  <si>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</si>
  <si>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</si>
  <si>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</si>
  <si>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</si>
  <si>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</si>
  <si>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</si>
  <si>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</si>
  <si>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</si>
  <si>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</si>
  <si>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</si>
  <si>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</si>
  <si>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</si>
  <si>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</si>
  <si>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</si>
  <si>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</si>
  <si>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</si>
  <si>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</si>
  <si>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</si>
  <si>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</si>
  <si>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</si>
  <si>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</si>
  <si>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</si>
  <si>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</si>
  <si>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</si>
  <si>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</si>
  <si>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</si>
  <si>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</si>
  <si>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</si>
  <si>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</si>
  <si>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</si>
  <si>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</si>
  <si>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</si>
  <si>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</si>
  <si>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</si>
  <si>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</si>
  <si>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</si>
  <si>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</si>
  <si>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</si>
  <si>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</si>
  <si>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</si>
  <si>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</si>
  <si>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</si>
  <si>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</si>
  <si>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</si>
  <si>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</si>
  <si>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</si>
  <si>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</si>
  <si>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</si>
  <si>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</si>
  <si>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</si>
  <si>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</si>
  <si>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</si>
  <si>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</si>
  <si>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</si>
  <si>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</si>
  <si>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</si>
  <si>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</si>
  <si>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</si>
  <si>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</si>
  <si>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</si>
  <si>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</si>
  <si>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</si>
  <si>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</si>
  <si>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</si>
  <si>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</si>
  <si>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</si>
  <si>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</si>
  <si>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</si>
  <si>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</si>
  <si>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</si>
  <si>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</si>
  <si>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</si>
  <si>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</si>
  <si>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</si>
  <si>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</si>
  <si>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</si>
  <si>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</si>
  <si>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</si>
  <si>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</si>
  <si>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</si>
  <si>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</si>
  <si>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</si>
  <si>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</si>
  <si>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</si>
  <si>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</si>
  <si>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</si>
  <si>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</si>
  <si>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</si>
  <si>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</si>
  <si>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</si>
  <si>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</si>
  <si>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</si>
  <si>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</si>
  <si>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</si>
  <si>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</si>
  <si>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</si>
  <si>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</si>
  <si>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</si>
  <si>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</si>
  <si>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</si>
  <si>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</si>
  <si>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</si>
  <si>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</si>
  <si>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</si>
  <si>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</si>
  <si>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</si>
  <si>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</si>
  <si>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</si>
  <si>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</si>
  <si>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</si>
  <si>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</si>
  <si>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</si>
  <si>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</si>
  <si>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</si>
  <si>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</si>
  <si>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</si>
  <si>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</si>
  <si>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</si>
  <si>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</si>
  <si>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</si>
  <si>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</si>
  <si>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</si>
  <si>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</si>
  <si>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</si>
  <si>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</si>
  <si>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</si>
  <si>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</si>
  <si>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</si>
  <si>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</si>
  <si>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</si>
  <si>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</si>
  <si>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</si>
  <si>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</si>
  <si>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</si>
  <si>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</si>
  <si>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</si>
  <si>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</si>
  <si>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</si>
  <si>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</si>
  <si>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</si>
  <si>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</si>
  <si>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</si>
  <si>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</si>
  <si>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</si>
  <si>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</si>
  <si>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</si>
  <si>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</si>
  <si>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</si>
  <si>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</si>
  <si>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</si>
  <si>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</si>
  <si>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</si>
  <si>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</si>
  <si>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</si>
  <si>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</si>
  <si>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</si>
  <si>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</si>
  <si>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</si>
  <si>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</si>
  <si>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</si>
  <si>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</si>
  <si>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</si>
  <si>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</si>
  <si>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</si>
  <si>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</si>
  <si>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</si>
  <si>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</si>
  <si>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</si>
  <si>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</si>
  <si>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</si>
  <si>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</si>
  <si>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</si>
  <si>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</si>
  <si>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</si>
  <si>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</si>
  <si>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</si>
  <si>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</si>
  <si>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</si>
  <si>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</si>
  <si>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</si>
  <si>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</si>
  <si>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</si>
  <si>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</si>
  <si>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</si>
  <si>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</si>
  <si>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</si>
  <si>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</si>
  <si>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</si>
  <si>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</si>
  <si>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</si>
  <si>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</si>
  <si>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</si>
  <si>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</si>
  <si>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</si>
  <si>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</si>
  <si>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</si>
  <si>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</si>
  <si>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</si>
  <si>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</si>
  <si>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</si>
  <si>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</si>
  <si>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</si>
  <si>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</si>
  <si>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</si>
  <si>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</si>
  <si>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</si>
  <si>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</si>
  <si>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</si>
  <si>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</si>
  <si>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</si>
  <si>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</si>
  <si>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</si>
  <si>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</si>
  <si>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</si>
  <si>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</si>
  <si>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</si>
  <si>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</si>
  <si>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</si>
  <si>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</si>
  <si>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</si>
  <si>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</si>
  <si>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</si>
  <si>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</si>
  <si>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</si>
  <si>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</si>
  <si>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</si>
  <si>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</si>
  <si>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</si>
  <si>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</si>
  <si>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</si>
  <si>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</si>
  <si>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</si>
  <si>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</si>
  <si>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</si>
  <si>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</si>
  <si>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</si>
  <si>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</si>
  <si>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</si>
  <si>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</si>
  <si>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</si>
  <si>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</si>
  <si>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</si>
  <si>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</si>
  <si>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</si>
  <si>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</si>
  <si>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</si>
  <si>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</si>
  <si>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</si>
  <si>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</si>
  <si>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</si>
  <si>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</si>
  <si>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</si>
  <si>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</si>
  <si>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</si>
  <si>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</si>
  <si>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</si>
  <si>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</si>
  <si>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</si>
  <si>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</si>
  <si>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</si>
  <si>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</si>
  <si>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</si>
  <si>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</si>
  <si>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</si>
  <si>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</si>
  <si>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</si>
  <si>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</si>
  <si>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</si>
  <si>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</si>
  <si>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</si>
  <si>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</si>
  <si>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</si>
  <si>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</si>
  <si>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</si>
  <si>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</si>
  <si>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</si>
  <si>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</si>
  <si>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</si>
  <si>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</si>
  <si>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</si>
  <si>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</si>
  <si>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</si>
  <si>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</si>
  <si>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</si>
  <si>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</si>
  <si>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</si>
  <si>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</si>
  <si>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</si>
  <si>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</si>
  <si>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</si>
  <si>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</si>
  <si>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</si>
  <si>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</si>
  <si>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</si>
  <si>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</si>
  <si>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</si>
  <si>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</si>
  <si>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</si>
  <si>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</si>
  <si>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</si>
  <si>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</si>
  <si>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</si>
  <si>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</si>
  <si>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</si>
  <si>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</si>
  <si>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</si>
  <si>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</si>
  <si>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</si>
  <si>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</si>
  <si>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</si>
  <si>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</si>
  <si>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</si>
  <si>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</si>
  <si>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</si>
  <si>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</si>
  <si>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</si>
  <si>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</si>
  <si>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</si>
  <si>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</si>
  <si>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</si>
  <si>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</si>
  <si>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</si>
  <si>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</si>
  <si>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</si>
  <si>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</si>
  <si>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</si>
  <si>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</si>
  <si>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</si>
  <si>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</si>
  <si>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</si>
  <si>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</si>
  <si>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</si>
  <si>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</si>
  <si>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</si>
  <si>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</si>
  <si>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</si>
  <si>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</si>
  <si>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</si>
  <si>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</si>
  <si>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</si>
  <si>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</si>
  <si>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</si>
  <si>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</si>
  <si>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</si>
  <si>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</si>
  <si>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</si>
  <si>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</si>
  <si>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</si>
  <si>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</si>
  <si>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</si>
  <si>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</si>
  <si>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</si>
  <si>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</si>
  <si>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</si>
  <si>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</si>
  <si>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</si>
  <si>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</si>
  <si>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</si>
  <si>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</si>
  <si>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</si>
  <si>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</si>
  <si>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</si>
  <si>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</si>
  <si>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</si>
  <si>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</si>
  <si>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</si>
  <si>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</si>
  <si>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</si>
  <si>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</si>
  <si>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</si>
  <si>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</si>
  <si>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</si>
  <si>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</si>
  <si>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</si>
  <si>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</si>
  <si>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</si>
  <si>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</si>
  <si>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</si>
  <si>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</si>
  <si>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</si>
  <si>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</si>
  <si>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</si>
  <si>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</si>
  <si>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</si>
  <si>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</si>
  <si>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</si>
  <si>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</si>
  <si>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</si>
  <si>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</si>
  <si>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</si>
  <si>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</si>
  <si>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</si>
  <si>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</si>
  <si>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</si>
  <si>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</si>
  <si>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</si>
  <si>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</si>
  <si>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</si>
  <si>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</si>
  <si>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</si>
  <si>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</si>
  <si>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</si>
  <si>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</si>
  <si>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</si>
  <si>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</si>
  <si>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</si>
  <si>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</si>
  <si>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</si>
  <si>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</si>
  <si>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</si>
  <si>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</si>
  <si>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</si>
  <si>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</si>
  <si>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</si>
  <si>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</si>
  <si>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</si>
  <si>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</si>
  <si>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</si>
  <si>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</si>
  <si>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</si>
  <si>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</si>
  <si>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</si>
  <si>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</si>
  <si>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</si>
  <si>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</si>
  <si>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</si>
  <si>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</si>
  <si>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</si>
  <si>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</si>
  <si>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</si>
  <si>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</si>
  <si>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</si>
  <si>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</si>
  <si>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</si>
  <si>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</si>
  <si>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</si>
  <si>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</si>
  <si>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</si>
  <si>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</si>
  <si>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</si>
  <si>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</si>
  <si>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</si>
  <si>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</si>
  <si>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</si>
  <si>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</si>
  <si>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</si>
  <si>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</si>
  <si>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</si>
  <si>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</si>
  <si>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</si>
  <si>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</si>
  <si>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</si>
  <si>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</si>
  <si>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</si>
  <si>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</si>
  <si>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</si>
  <si>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</si>
  <si>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</si>
  <si>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</si>
  <si>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</si>
  <si>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</si>
  <si>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</si>
  <si>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</si>
  <si>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</si>
  <si>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</si>
  <si>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</si>
  <si>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</si>
  <si>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</si>
  <si>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</si>
  <si>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</si>
  <si>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</si>
  <si>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</si>
  <si>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</si>
  <si>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</si>
  <si>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</si>
  <si>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</si>
  <si>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</si>
  <si>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</si>
  <si>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</si>
  <si>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</si>
  <si>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</si>
  <si>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</si>
  <si>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</si>
  <si>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</si>
  <si>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</si>
  <si>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</si>
  <si>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</si>
  <si>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</si>
  <si>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</si>
  <si>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</si>
  <si>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</si>
  <si>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</si>
  <si>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</si>
  <si>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</si>
  <si>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</si>
  <si>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</si>
  <si>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</si>
  <si>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</si>
  <si>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</si>
  <si>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</si>
  <si>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</si>
  <si>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</si>
  <si>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</si>
  <si>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</si>
  <si>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</si>
  <si>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</si>
  <si>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</si>
  <si>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</si>
  <si>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</si>
  <si>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</si>
  <si>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</si>
  <si>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</si>
  <si>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</si>
  <si>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</si>
  <si>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</si>
  <si>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</si>
  <si>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</si>
  <si>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</si>
  <si>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</si>
  <si>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</si>
  <si>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</si>
  <si>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</si>
  <si>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</si>
  <si>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</si>
  <si>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</si>
  <si>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</si>
  <si>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</si>
  <si>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</si>
  <si>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</si>
  <si>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</si>
  <si>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</si>
  <si>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</si>
  <si>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</si>
  <si>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</si>
  <si>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</si>
  <si>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</si>
  <si>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</si>
  <si>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</si>
  <si>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</si>
  <si>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</si>
  <si>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</si>
  <si>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</si>
  <si>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</si>
  <si>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</si>
  <si>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</si>
  <si>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</si>
  <si>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</si>
  <si>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</si>
  <si>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</si>
  <si>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</si>
  <si>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</si>
  <si>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</si>
  <si>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</si>
  <si>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</si>
  <si>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</si>
  <si>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</si>
  <si>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</si>
  <si>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</si>
  <si>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</si>
  <si>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</si>
  <si>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</si>
  <si>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</si>
  <si>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</si>
  <si>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</si>
  <si>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</si>
  <si>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</si>
  <si>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</si>
  <si>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</si>
  <si>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</si>
  <si>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</si>
  <si>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</si>
  <si>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</si>
  <si>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</si>
  <si>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</si>
  <si>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</si>
  <si>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</si>
  <si>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</si>
  <si>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</si>
  <si>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</si>
  <si>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</si>
  <si>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</si>
  <si>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</si>
  <si>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</si>
  <si>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</si>
  <si>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</si>
  <si>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</si>
  <si>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</si>
  <si>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</si>
  <si>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</si>
  <si>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</si>
  <si>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</si>
  <si>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</si>
  <si>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</si>
  <si>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</si>
  <si>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</si>
  <si>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</si>
  <si>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</si>
  <si>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</si>
  <si>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</si>
  <si>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</si>
  <si>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</si>
  <si>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</si>
  <si>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</si>
  <si>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</si>
  <si>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</si>
  <si>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</si>
  <si>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</si>
  <si>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</si>
  <si>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</si>
  <si>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</si>
  <si>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</si>
  <si>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</si>
  <si>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</si>
  <si>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</si>
  <si>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</si>
  <si>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</si>
  <si>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</si>
  <si>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</si>
  <si>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</si>
  <si>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</si>
  <si>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</si>
  <si>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</si>
  <si>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</si>
  <si>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</si>
  <si>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</si>
  <si>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</si>
  <si>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</si>
  <si>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</si>
  <si>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</si>
  <si>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</si>
  <si>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</si>
  <si>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</si>
  <si>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</si>
  <si>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</si>
  <si>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</si>
  <si>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</si>
  <si>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</si>
  <si>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</si>
  <si>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</si>
  <si>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</si>
  <si>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</si>
  <si>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</si>
  <si>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</si>
  <si>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</si>
  <si>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</si>
  <si>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</si>
  <si>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</si>
  <si>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</si>
  <si>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</si>
  <si>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</si>
  <si>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</si>
  <si>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</si>
  <si>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</si>
  <si>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</si>
  <si>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</si>
  <si>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</si>
  <si>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</si>
  <si>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</si>
  <si>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</si>
  <si>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</si>
  <si>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</si>
  <si>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</si>
  <si>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</si>
  <si>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</si>
  <si>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</si>
  <si>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</si>
  <si>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</si>
  <si>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</si>
  <si>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</si>
  <si>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</si>
  <si>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</si>
  <si>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</si>
  <si>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</si>
  <si>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</si>
  <si>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</si>
  <si>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</si>
  <si>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</si>
  <si>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</si>
  <si>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</si>
  <si>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</si>
  <si>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</si>
  <si>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</si>
  <si>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</si>
  <si>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</si>
  <si>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</si>
  <si>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</si>
  <si>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</si>
  <si>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</si>
  <si>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</si>
  <si>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</si>
  <si>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</si>
  <si>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</si>
  <si>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</si>
  <si>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</si>
  <si>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</si>
  <si>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</si>
  <si>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</si>
  <si>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</si>
  <si>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</si>
  <si>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</si>
  <si>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</si>
  <si>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</si>
  <si>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</si>
  <si>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</si>
  <si>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</si>
  <si>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</si>
  <si>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</si>
  <si>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</si>
  <si>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</si>
  <si>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</si>
  <si>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</si>
  <si>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</si>
  <si>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</si>
  <si>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</si>
  <si>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</si>
  <si>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</si>
  <si>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</si>
  <si>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</si>
  <si>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</si>
  <si>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</si>
  <si>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</si>
  <si>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</si>
  <si>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</si>
  <si>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</si>
  <si>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</si>
  <si>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</si>
  <si>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</si>
  <si>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</si>
  <si>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</si>
  <si>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</si>
  <si>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</si>
  <si>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</si>
  <si>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</si>
  <si>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</si>
  <si>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</si>
  <si>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</si>
  <si>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</si>
  <si>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</si>
  <si>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</si>
  <si>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</si>
  <si>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</si>
  <si>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</si>
  <si>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</si>
  <si>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</si>
  <si>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</si>
  <si>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</si>
  <si>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</si>
  <si>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</si>
  <si>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</si>
  <si>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</si>
  <si>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</si>
  <si>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</si>
  <si>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</si>
  <si>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</si>
  <si>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</si>
  <si>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</si>
  <si>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</si>
  <si>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</si>
  <si>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</si>
  <si>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</si>
  <si>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</si>
  <si>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</si>
  <si>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</si>
  <si>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</si>
  <si>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</si>
  <si>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</si>
  <si>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</si>
  <si>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</si>
  <si>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</si>
  <si>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</si>
  <si>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</si>
  <si>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</si>
  <si>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</si>
  <si>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</si>
  <si>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</si>
  <si>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</si>
  <si>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</si>
  <si>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</si>
  <si>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</si>
  <si>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</si>
  <si>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</si>
  <si>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</si>
  <si>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</si>
  <si>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</si>
  <si>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</si>
  <si>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</si>
  <si>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</si>
  <si>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</si>
  <si>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</si>
  <si>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</si>
  <si>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</si>
  <si>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</si>
  <si>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</si>
  <si>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</si>
  <si>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</si>
  <si>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</si>
  <si>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</si>
  <si>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</si>
  <si>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</si>
  <si>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</si>
  <si>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</si>
  <si>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</si>
  <si>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</si>
  <si>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</si>
  <si>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</si>
  <si>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</si>
  <si>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</si>
  <si>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</si>
  <si>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</si>
  <si>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</si>
  <si>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</si>
  <si>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</si>
  <si>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</si>
  <si>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</si>
  <si>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</si>
  <si>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</si>
  <si>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</si>
  <si>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</si>
  <si>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</si>
  <si>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</si>
  <si>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</si>
  <si>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</si>
  <si>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</si>
  <si>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</si>
  <si>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</si>
  <si>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</si>
  <si>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</si>
  <si>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</si>
  <si>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</si>
  <si>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</si>
  <si>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</si>
  <si>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</si>
  <si>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</si>
  <si>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</si>
  <si>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</si>
  <si>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</si>
  <si>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</si>
  <si>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</si>
  <si>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</si>
  <si>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</si>
  <si>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</si>
  <si>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</si>
  <si>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</si>
  <si>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</si>
  <si>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</si>
  <si>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</si>
  <si>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</si>
  <si>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</si>
  <si>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</si>
  <si>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</si>
  <si>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</si>
  <si>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</si>
  <si>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</si>
  <si>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</si>
  <si>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</si>
  <si>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</si>
  <si>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</si>
  <si>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</si>
  <si>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</si>
  <si>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</si>
  <si>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</si>
  <si>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</si>
  <si>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</si>
  <si>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</si>
  <si>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</si>
  <si>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</si>
  <si>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</si>
  <si>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</si>
  <si>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</si>
  <si>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</si>
  <si>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</si>
  <si>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</si>
  <si>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</si>
  <si>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</si>
  <si>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</si>
  <si>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</si>
  <si>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</si>
  <si>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</si>
  <si>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</si>
  <si>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</si>
  <si>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</si>
  <si>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</si>
  <si>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</si>
  <si>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</si>
  <si>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</si>
  <si>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</si>
  <si>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</si>
  <si>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</si>
  <si>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</si>
  <si>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</si>
  <si>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</si>
  <si>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</si>
  <si>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</si>
  <si>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</si>
  <si>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</si>
  <si>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</si>
  <si>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</si>
  <si>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</si>
  <si>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</si>
  <si>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</si>
  <si>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</si>
  <si>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</si>
  <si>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</si>
  <si>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</si>
  <si>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</si>
  <si>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</si>
  <si>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</si>
  <si>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</si>
  <si>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</si>
  <si>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</si>
  <si>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</si>
  <si>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</si>
  <si>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</si>
  <si>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</si>
  <si>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</si>
  <si>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</si>
  <si>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</si>
  <si>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</si>
  <si>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</si>
  <si>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</si>
  <si>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</si>
  <si>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</si>
  <si>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</si>
  <si>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</si>
  <si>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</si>
  <si>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</si>
  <si>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</si>
  <si>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</si>
  <si>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</si>
  <si>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</si>
  <si>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</si>
  <si>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</si>
  <si>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</si>
  <si>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</si>
  <si>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</si>
  <si>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</si>
  <si>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</si>
  <si>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</si>
  <si>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</si>
  <si>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</si>
  <si>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</si>
  <si>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</si>
  <si>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</si>
  <si>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</si>
  <si>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</si>
  <si>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</si>
  <si>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</si>
  <si>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</si>
  <si>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</si>
  <si>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</si>
  <si>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</si>
  <si>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</si>
  <si>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</si>
  <si>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</si>
  <si>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</si>
  <si>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</si>
  <si>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</si>
  <si>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</si>
  <si>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</si>
  <si>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</si>
  <si>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</si>
  <si>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</si>
  <si>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</si>
  <si>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</si>
  <si>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</si>
  <si>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</si>
  <si>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</si>
  <si>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</si>
  <si>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</si>
  <si>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</si>
  <si>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</si>
  <si>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</si>
  <si>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</si>
  <si>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</si>
  <si>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</si>
  <si>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</si>
  <si>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</si>
  <si>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</si>
  <si>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</si>
  <si>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</si>
  <si>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</si>
  <si>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</si>
  <si>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</si>
  <si>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</si>
  <si>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</si>
  <si>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</si>
  <si>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</si>
  <si>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</si>
  <si>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</si>
  <si>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</si>
  <si>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</si>
  <si>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</si>
  <si>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</si>
  <si>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</si>
  <si>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</si>
  <si>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</si>
  <si>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</si>
  <si>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</si>
  <si>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</si>
  <si>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</si>
  <si>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</si>
  <si>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</si>
  <si>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</si>
  <si>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</si>
  <si>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</si>
  <si>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</si>
  <si>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</si>
  <si>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</si>
  <si>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</si>
  <si>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</si>
  <si>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</si>
  <si>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</si>
  <si>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</si>
  <si>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</si>
  <si>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</si>
  <si>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</si>
  <si>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</si>
  <si>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</si>
  <si>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</si>
  <si>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</si>
  <si>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</si>
  <si>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</si>
  <si>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</si>
  <si>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</si>
  <si>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</si>
  <si>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</si>
  <si>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</si>
  <si>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</si>
  <si>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</si>
  <si>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</si>
  <si>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</si>
  <si>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</si>
  <si>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</si>
  <si>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</si>
  <si>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</si>
  <si>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</si>
  <si>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</si>
  <si>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</si>
  <si>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</si>
  <si>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</si>
  <si>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</si>
  <si>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</si>
  <si>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</si>
  <si>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</si>
  <si>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</si>
  <si>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</si>
  <si>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</si>
  <si>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</si>
  <si>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</si>
  <si>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</si>
  <si>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</si>
  <si>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</si>
  <si>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</si>
  <si>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</si>
  <si>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</si>
  <si>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</si>
  <si>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</si>
  <si>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</si>
  <si>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</si>
  <si>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</si>
  <si>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</si>
  <si>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</si>
  <si>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</si>
  <si>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</si>
  <si>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</si>
  <si>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</si>
  <si>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</si>
  <si>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</si>
  <si>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</si>
  <si>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</si>
  <si>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</si>
  <si>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</si>
  <si>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</si>
  <si>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</si>
  <si>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</si>
  <si>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</si>
  <si>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</si>
  <si>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</si>
  <si>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</si>
  <si>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</si>
  <si>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</si>
  <si>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</si>
  <si>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</si>
  <si>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</si>
  <si>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</si>
  <si>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</si>
  <si>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</si>
  <si>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</si>
  <si>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</si>
  <si>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</si>
  <si>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</si>
  <si>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</si>
  <si>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</si>
  <si>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</si>
  <si>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</si>
  <si>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</si>
  <si>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</si>
  <si>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</si>
  <si>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</si>
  <si>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</si>
  <si>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</si>
  <si>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</si>
  <si>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</si>
  <si>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</si>
  <si>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</si>
  <si>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</si>
  <si>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</si>
  <si>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</si>
  <si>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</si>
  <si>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</si>
  <si>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</si>
  <si>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</si>
  <si>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</si>
  <si>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</si>
  <si>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</si>
  <si>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</si>
  <si>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</si>
  <si>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</si>
  <si>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</si>
  <si>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</si>
  <si>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</si>
  <si>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</si>
  <si>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</si>
  <si>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</si>
  <si>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</si>
  <si>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</si>
  <si>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</si>
  <si>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</si>
  <si>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</si>
  <si>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</si>
  <si>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</si>
  <si>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</si>
  <si>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</si>
  <si>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</si>
  <si>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</si>
  <si>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</si>
  <si>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</si>
  <si>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</si>
  <si>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</si>
  <si>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</si>
  <si>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</si>
  <si>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</si>
  <si>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</si>
  <si>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</si>
  <si>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</si>
  <si>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</si>
  <si>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</si>
  <si>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</si>
  <si>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</si>
  <si>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</si>
  <si>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</si>
  <si>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</si>
  <si>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</si>
  <si>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</si>
  <si>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</si>
  <si>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</si>
  <si>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</si>
  <si>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</si>
  <si>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</si>
  <si>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</si>
  <si>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</si>
  <si>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</si>
  <si>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</si>
  <si>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</si>
  <si>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</si>
  <si>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</si>
  <si>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</si>
  <si>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</si>
  <si>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</si>
  <si>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</si>
  <si>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</si>
  <si>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</si>
  <si>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</si>
  <si>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</si>
  <si>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</si>
  <si>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</si>
  <si>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</si>
  <si>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</si>
  <si>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</si>
  <si>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</si>
  <si>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</si>
  <si>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</si>
  <si>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</si>
  <si>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</si>
  <si>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</si>
  <si>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</si>
  <si>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</si>
  <si>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</si>
  <si>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</si>
  <si>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</si>
  <si>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</si>
  <si>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</si>
  <si>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</si>
  <si>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</si>
  <si>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</si>
  <si>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</si>
  <si>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</si>
  <si>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</si>
  <si>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</si>
  <si>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</si>
  <si>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</si>
  <si>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</si>
  <si>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</si>
  <si>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</si>
  <si>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</si>
  <si>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</si>
  <si>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</si>
  <si>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</si>
  <si>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</si>
  <si>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</si>
  <si>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</si>
  <si>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</si>
  <si>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</si>
  <si>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</si>
  <si>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</si>
  <si>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</si>
  <si>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</si>
  <si>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</si>
  <si>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</si>
  <si>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</si>
  <si>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</si>
  <si>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</si>
  <si>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</si>
  <si>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</si>
  <si>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</si>
  <si>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</si>
  <si>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</si>
  <si>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</si>
  <si>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</si>
  <si>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</si>
  <si>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</si>
  <si>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</si>
  <si>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</si>
  <si>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</si>
  <si>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</si>
  <si>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</si>
  <si>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</si>
  <si>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</si>
  <si>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</si>
  <si>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</si>
  <si>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</si>
  <si>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</si>
  <si>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</si>
  <si>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</si>
  <si>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</si>
  <si>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</si>
  <si>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</si>
  <si>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</si>
  <si>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</si>
  <si>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</si>
  <si>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</si>
  <si>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</si>
  <si>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</si>
  <si>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</si>
  <si>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</si>
  <si>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</si>
  <si>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</si>
  <si>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</si>
  <si>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</si>
  <si>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</si>
  <si>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</si>
  <si>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</si>
  <si>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</si>
  <si>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</si>
  <si>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</si>
  <si>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</si>
  <si>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</si>
  <si>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</si>
  <si>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</si>
  <si>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</si>
  <si>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</si>
  <si>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</si>
  <si>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</si>
  <si>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</si>
  <si>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</si>
  <si>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</si>
  <si>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</si>
  <si>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</si>
  <si>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</si>
  <si>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</si>
  <si>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</si>
  <si>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</si>
  <si>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</si>
  <si>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</si>
  <si>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</si>
  <si>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</si>
  <si>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</si>
  <si>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</si>
  <si>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</si>
  <si>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</si>
  <si>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</si>
  <si>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</si>
  <si>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</si>
  <si>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</si>
  <si>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</si>
  <si>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</si>
  <si>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</si>
  <si>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</si>
  <si>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</si>
  <si>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</si>
  <si>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</si>
  <si>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</si>
  <si>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</si>
  <si>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</si>
  <si>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</si>
  <si>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</si>
  <si>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</si>
  <si>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</si>
  <si>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</si>
  <si>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</si>
  <si>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</si>
  <si>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</si>
  <si>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</si>
  <si>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</si>
  <si>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</si>
  <si>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</si>
  <si>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</si>
  <si>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</si>
  <si>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</si>
  <si>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</si>
  <si>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</si>
  <si>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</si>
  <si>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</si>
  <si>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</si>
  <si>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</si>
  <si>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</si>
  <si>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</si>
  <si>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</si>
  <si>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</si>
  <si>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</si>
  <si>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</si>
  <si>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</si>
  <si>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</si>
  <si>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</si>
  <si>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</si>
  <si>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</si>
  <si>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</si>
  <si>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</si>
  <si>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</si>
  <si>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</si>
  <si>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</si>
  <si>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</si>
  <si>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</si>
  <si>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</si>
  <si>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</si>
  <si>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</si>
  <si>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</si>
  <si>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</si>
  <si>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</si>
  <si>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</si>
  <si>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</si>
  <si>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</si>
  <si>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</si>
  <si>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</si>
  <si>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</si>
  <si>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</si>
  <si>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</si>
  <si>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</si>
  <si>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</si>
  <si>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</si>
  <si>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</si>
  <si>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</si>
  <si>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</si>
  <si>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</si>
  <si>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</si>
  <si>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</si>
  <si>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</si>
  <si>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</si>
  <si>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</si>
  <si>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</si>
  <si>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</si>
  <si>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</si>
  <si>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</si>
  <si>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</si>
  <si>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</si>
  <si>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</si>
  <si>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</si>
  <si>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</si>
  <si>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</si>
  <si>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</si>
  <si>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</si>
  <si>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</si>
  <si>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</si>
  <si>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</si>
  <si>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</si>
  <si>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</si>
  <si>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</si>
  <si>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</si>
  <si>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</si>
  <si>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</si>
  <si>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</si>
  <si>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</si>
  <si>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</si>
  <si>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</si>
  <si>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</si>
  <si>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</si>
  <si>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</si>
  <si>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</si>
  <si>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</si>
  <si>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</si>
  <si>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</si>
  <si>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</si>
  <si>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</si>
  <si>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</si>
  <si>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</si>
  <si>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</si>
  <si>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</si>
  <si>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</si>
  <si>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</si>
  <si>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</si>
  <si>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</si>
  <si>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</si>
  <si>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</si>
  <si>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</si>
  <si>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</si>
  <si>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</si>
  <si>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</si>
  <si>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</si>
  <si>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</si>
  <si>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</si>
  <si>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</si>
  <si>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</si>
  <si>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</si>
  <si>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</si>
  <si>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</si>
  <si>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</si>
  <si>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</si>
  <si>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</si>
  <si>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</si>
  <si>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</si>
  <si>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</si>
  <si>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</si>
  <si>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</si>
  <si>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</si>
  <si>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</si>
  <si>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</si>
  <si>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</si>
  <si>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</si>
  <si>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</si>
  <si>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</si>
  <si>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</si>
  <si>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</si>
  <si>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</si>
  <si>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</si>
  <si>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</si>
  <si>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</si>
  <si>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</si>
  <si>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</si>
  <si>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</si>
  <si>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</si>
  <si>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</si>
  <si>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</si>
  <si>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</si>
  <si>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</si>
  <si>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</si>
  <si>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</si>
  <si>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</si>
  <si>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</si>
  <si>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</si>
  <si>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</si>
  <si>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</si>
  <si>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</si>
  <si>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</si>
  <si>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</si>
  <si>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</si>
  <si>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</si>
  <si>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</si>
  <si>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</si>
  <si>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</si>
  <si>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</si>
  <si>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</si>
  <si>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</si>
  <si>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</si>
  <si>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</si>
  <si>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</si>
  <si>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</si>
  <si>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</si>
  <si>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</si>
  <si>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</si>
  <si>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</si>
  <si>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</si>
  <si>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</si>
  <si>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</si>
  <si>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</si>
  <si>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</si>
  <si>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</si>
  <si>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</si>
  <si>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</si>
  <si>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</si>
  <si>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</si>
  <si>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</si>
  <si>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</si>
  <si>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</si>
  <si>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</si>
  <si>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</si>
  <si>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</si>
  <si>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</si>
  <si>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</si>
  <si>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</si>
  <si>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</si>
  <si>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</si>
  <si>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</si>
  <si>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</si>
  <si>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</si>
  <si>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</si>
  <si>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</si>
  <si>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</si>
  <si>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</si>
  <si>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</si>
  <si>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</si>
  <si>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</si>
  <si>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</si>
  <si>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</si>
  <si>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</si>
  <si>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</si>
  <si>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</si>
  <si>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</si>
  <si>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</si>
  <si>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</si>
  <si>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</si>
  <si>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</si>
  <si>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</si>
  <si>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</si>
  <si>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</si>
  <si>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</si>
  <si>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</si>
  <si>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</si>
  <si>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</si>
  <si>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</si>
  <si>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</si>
  <si>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</si>
  <si>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</si>
  <si>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</si>
  <si>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</si>
  <si>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</si>
  <si>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</si>
  <si>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</si>
  <si>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</si>
  <si>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</si>
  <si>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</si>
  <si>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</si>
  <si>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</si>
  <si>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</si>
  <si>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</si>
  <si>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</si>
  <si>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</si>
  <si>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</si>
  <si>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</si>
  <si>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</si>
  <si>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</si>
  <si>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</si>
  <si>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</si>
  <si>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</si>
  <si>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</si>
  <si>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</si>
  <si>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</si>
  <si>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</si>
  <si>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</si>
  <si>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</si>
  <si>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</si>
  <si>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</si>
  <si>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</si>
  <si>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</si>
  <si>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</si>
  <si>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</si>
  <si>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</si>
  <si>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</si>
  <si>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</si>
  <si>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</si>
  <si>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</si>
  <si>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</si>
  <si>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</si>
  <si>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</si>
  <si>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</si>
  <si>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</si>
  <si>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</si>
  <si>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</si>
  <si>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</si>
  <si>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</si>
  <si>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</si>
  <si>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</si>
  <si>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</si>
  <si>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</si>
  <si>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</si>
  <si>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</si>
  <si>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</si>
  <si>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</si>
  <si>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</si>
  <si>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</si>
  <si>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</si>
  <si>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</si>
  <si>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</si>
  <si>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</si>
  <si>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</si>
  <si>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</si>
  <si>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</si>
  <si>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</si>
  <si>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</si>
  <si>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</si>
  <si>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</si>
  <si>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</si>
  <si>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</si>
  <si>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</si>
  <si>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</si>
  <si>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</si>
  <si>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</si>
  <si>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</si>
  <si>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</si>
  <si>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</si>
  <si>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</si>
  <si>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</si>
  <si>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</si>
  <si>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</si>
  <si>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</si>
  <si>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</si>
  <si>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</si>
  <si>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</si>
  <si>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</si>
  <si>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</si>
  <si>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</si>
  <si>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</si>
  <si>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</si>
  <si>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</si>
  <si>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</si>
  <si>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</si>
  <si>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</si>
  <si>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</si>
  <si>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</si>
  <si>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</si>
  <si>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</si>
  <si>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</si>
  <si>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</si>
  <si>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</si>
  <si>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</si>
  <si>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</si>
  <si>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</si>
  <si>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</si>
  <si>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</si>
  <si>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</si>
  <si>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</si>
  <si>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</si>
  <si>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</si>
  <si>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</si>
  <si>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</si>
  <si>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</si>
  <si>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</si>
  <si>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</si>
  <si>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</si>
  <si>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</si>
  <si>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</si>
  <si>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</si>
  <si>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</si>
  <si>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</si>
  <si>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</si>
  <si>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</si>
  <si>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</si>
  <si>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</si>
  <si>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</si>
  <si>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</si>
  <si>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</si>
  <si>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</si>
  <si>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</si>
  <si>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</si>
  <si>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</si>
  <si>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</si>
  <si>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</si>
  <si>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</si>
  <si>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</si>
  <si>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</si>
  <si>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</si>
  <si>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</si>
  <si>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</si>
  <si>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</si>
  <si>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</si>
  <si>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</si>
  <si>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</si>
  <si>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</si>
  <si>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</si>
  <si>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</si>
  <si>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</si>
  <si>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</si>
  <si>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</si>
  <si>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</si>
  <si>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</si>
  <si>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</si>
  <si>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</si>
  <si>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</si>
  <si>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</si>
  <si>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</si>
  <si>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</si>
  <si>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</si>
  <si>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</si>
  <si>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</si>
  <si>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</si>
  <si>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</si>
  <si>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</si>
  <si>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</si>
  <si>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</si>
  <si>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</si>
  <si>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</si>
  <si>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</si>
  <si>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</si>
  <si>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</si>
  <si>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</si>
  <si>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</si>
  <si>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</si>
  <si>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</si>
  <si>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</si>
  <si>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</si>
  <si>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</si>
  <si>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</si>
  <si>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</si>
  <si>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</si>
  <si>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</si>
  <si>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</si>
  <si>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</si>
  <si>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</si>
  <si>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</si>
  <si>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</si>
  <si>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</si>
  <si>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</si>
  <si>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</si>
  <si>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</si>
  <si>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</si>
  <si>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</si>
  <si>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</si>
  <si>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</si>
  <si>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</si>
  <si>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</si>
  <si>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</si>
  <si>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</si>
  <si>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</si>
  <si>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</si>
  <si>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</si>
  <si>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</si>
  <si>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</si>
  <si>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</si>
  <si>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</si>
  <si>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</si>
  <si>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</si>
  <si>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</si>
  <si>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</si>
  <si>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</si>
  <si>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</si>
  <si>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</si>
  <si>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</si>
  <si>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</si>
  <si>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</si>
  <si>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</si>
  <si>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</si>
  <si>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</si>
  <si>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</si>
  <si>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</si>
  <si>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</si>
  <si>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</si>
  <si>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</si>
  <si>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</si>
  <si>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</si>
  <si>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</si>
  <si>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</si>
  <si>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</si>
  <si>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</si>
  <si>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</si>
  <si>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</si>
  <si>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</si>
  <si>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</si>
  <si>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</si>
  <si>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</si>
  <si>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</si>
  <si>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</si>
  <si>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</si>
  <si>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</si>
  <si>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</si>
  <si>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</si>
  <si>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</si>
  <si>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</si>
  <si>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</si>
  <si>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</si>
  <si>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</si>
  <si>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</si>
  <si>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</si>
  <si>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</si>
  <si>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</si>
  <si>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</si>
  <si>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</si>
  <si>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</si>
  <si>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</si>
  <si>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</si>
  <si>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</si>
  <si>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</si>
  <si>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</si>
  <si>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</si>
  <si>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</si>
  <si>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</si>
  <si>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</si>
  <si>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</si>
  <si>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</si>
  <si>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</si>
  <si>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</si>
  <si>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</si>
  <si>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</si>
  <si>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</si>
  <si>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</si>
  <si>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</si>
  <si>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</si>
  <si>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</si>
  <si>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</si>
  <si>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</si>
  <si>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</si>
  <si>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</si>
  <si>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</si>
  <si>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</si>
  <si>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</si>
  <si>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</si>
  <si>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</si>
  <si>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</si>
  <si>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</si>
  <si>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</si>
  <si>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</si>
  <si>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</si>
  <si>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</si>
  <si>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</si>
  <si>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</si>
  <si>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</si>
  <si>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</si>
  <si>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</si>
  <si>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</si>
  <si>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</si>
  <si>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</si>
  <si>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</si>
  <si>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</si>
  <si>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</si>
  <si>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</si>
  <si>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</si>
  <si>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</si>
  <si>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</si>
  <si>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</si>
  <si>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</si>
  <si>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</si>
  <si>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</si>
  <si>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</si>
  <si>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</si>
  <si>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</si>
  <si>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</si>
  <si>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</si>
  <si>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</si>
  <si>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</si>
  <si>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</si>
  <si>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</si>
  <si>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</si>
  <si>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</si>
  <si>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</si>
  <si>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</si>
  <si>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</si>
  <si>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</si>
  <si>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</si>
  <si>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</si>
  <si>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</si>
  <si>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</si>
  <si>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</si>
  <si>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</si>
  <si>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</si>
  <si>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</si>
  <si>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</si>
  <si>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</si>
  <si>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</si>
  <si>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</si>
  <si>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</si>
  <si>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</si>
  <si>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</si>
  <si>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</si>
  <si>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</si>
  <si>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</si>
  <si>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</si>
  <si>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</si>
  <si>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</si>
  <si>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</si>
  <si>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</si>
  <si>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</si>
  <si>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</si>
  <si>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</si>
  <si>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</si>
  <si>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</si>
  <si>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</si>
  <si>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</si>
  <si>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</si>
  <si>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</si>
  <si>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</si>
  <si>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</si>
  <si>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</si>
  <si>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</si>
  <si>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</si>
  <si>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</si>
  <si>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</si>
  <si>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</si>
  <si>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</si>
  <si>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</si>
  <si>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</si>
  <si>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</si>
  <si>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</si>
  <si>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</si>
  <si>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</si>
  <si>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</si>
  <si>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</si>
  <si>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</si>
  <si>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</si>
  <si>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</si>
  <si>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</si>
  <si>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</si>
  <si>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</si>
  <si>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</si>
  <si>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</si>
  <si>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</si>
  <si>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</si>
  <si>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</si>
  <si>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</si>
  <si>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</si>
  <si>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</si>
  <si>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</si>
  <si>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</si>
  <si>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</si>
  <si>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</si>
  <si>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</si>
  <si>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</si>
  <si>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</si>
  <si>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</si>
  <si>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</si>
  <si>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</si>
  <si>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</si>
  <si>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</si>
  <si>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</si>
  <si>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</si>
  <si>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</si>
  <si>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</si>
  <si>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</si>
  <si>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</si>
  <si>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</si>
  <si>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</si>
  <si>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</si>
  <si>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</si>
  <si>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</si>
  <si>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</si>
  <si>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</si>
  <si>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</si>
  <si>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</si>
  <si>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</si>
  <si>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</si>
  <si>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</si>
  <si>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</si>
  <si>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</si>
  <si>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</si>
  <si>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</si>
  <si>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</si>
  <si>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</si>
  <si>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</si>
  <si>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</si>
  <si>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</si>
  <si>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</si>
  <si>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</si>
  <si>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</si>
  <si>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</si>
  <si>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</si>
  <si>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</si>
  <si>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</si>
  <si>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</si>
  <si>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</si>
  <si>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</si>
  <si>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</si>
  <si>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</si>
  <si>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</si>
  <si>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</si>
  <si>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</si>
  <si>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</si>
  <si>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</si>
  <si>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</si>
  <si>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</si>
  <si>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</si>
  <si>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</si>
  <si>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</si>
  <si>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</si>
  <si>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</si>
  <si>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</si>
  <si>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</si>
  <si>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</si>
  <si>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</si>
  <si>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</si>
  <si>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</si>
  <si>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</si>
  <si>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</si>
  <si>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</si>
  <si>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</si>
  <si>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</si>
  <si>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</si>
  <si>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</si>
  <si>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</si>
  <si>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</si>
  <si>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</si>
  <si>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</si>
  <si>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</si>
  <si>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</si>
  <si>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</si>
  <si>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</si>
  <si>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</si>
  <si>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</si>
  <si>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</si>
  <si>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</si>
  <si>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</si>
  <si>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</si>
  <si>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</si>
  <si>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</si>
  <si>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</si>
  <si>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</si>
  <si>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</si>
  <si>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</si>
  <si>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</si>
  <si>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</si>
  <si>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</si>
  <si>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</si>
  <si>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</si>
  <si>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</si>
  <si>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</si>
  <si>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</si>
  <si>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</si>
  <si>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</si>
  <si>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</si>
  <si>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</si>
  <si>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</si>
  <si>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</si>
  <si>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</si>
  <si>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</si>
  <si>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</si>
  <si>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</si>
  <si>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</si>
  <si>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</si>
  <si>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</si>
  <si>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</si>
  <si>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</si>
  <si>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</si>
  <si>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</si>
  <si>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</si>
  <si>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</si>
  <si>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</si>
  <si>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</si>
  <si>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</si>
  <si>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</si>
  <si>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</si>
  <si>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</si>
  <si>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</si>
  <si>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</si>
  <si>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</si>
  <si>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</si>
  <si>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</si>
  <si>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</si>
  <si>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</si>
  <si>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</si>
  <si>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</si>
  <si>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</si>
  <si>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</si>
  <si>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</si>
  <si>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</si>
  <si>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</si>
  <si>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</si>
  <si>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</si>
  <si>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</si>
  <si>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</si>
  <si>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</si>
  <si>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</si>
  <si>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</si>
  <si>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</si>
  <si>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</si>
  <si>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</si>
  <si>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</si>
  <si>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</si>
  <si>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</si>
  <si>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</si>
  <si>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</si>
  <si>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</si>
  <si>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</si>
  <si>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</si>
  <si>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</si>
  <si>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</si>
  <si>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</si>
  <si>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</si>
  <si>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</si>
  <si>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</si>
  <si>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</si>
  <si>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</si>
  <si>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</si>
  <si>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</si>
  <si>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</si>
  <si>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</si>
  <si>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</si>
  <si>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</si>
  <si>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</si>
  <si>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</si>
  <si>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</si>
  <si>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</si>
  <si>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</si>
  <si>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</si>
  <si>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</si>
  <si>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</si>
  <si>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</si>
  <si>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</si>
  <si>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</si>
  <si>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</si>
  <si>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</si>
  <si>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</si>
  <si>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</si>
  <si>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</si>
  <si>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</si>
  <si>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</si>
  <si>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</si>
  <si>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</si>
  <si>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</si>
  <si>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</si>
  <si>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</si>
  <si>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</si>
  <si>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</si>
  <si>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</si>
  <si>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</si>
  <si>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</si>
  <si>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</si>
  <si>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</si>
  <si>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</si>
  <si>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</si>
  <si>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</si>
  <si>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</si>
  <si>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</si>
  <si>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</si>
  <si>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</si>
  <si>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</si>
  <si>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</si>
  <si>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</si>
  <si>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</si>
  <si>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</si>
  <si>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</si>
  <si>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</si>
  <si>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</si>
  <si>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</si>
  <si>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</si>
  <si>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</si>
  <si>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</si>
  <si>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</si>
  <si>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</si>
  <si>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</si>
  <si>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</si>
  <si>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</si>
  <si>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</si>
  <si>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</si>
  <si>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</si>
  <si>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</si>
  <si>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</si>
  <si>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</si>
  <si>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</si>
  <si>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</si>
  <si>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</si>
  <si>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</si>
  <si>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</si>
  <si>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</si>
  <si>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</si>
  <si>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</si>
  <si>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</si>
  <si>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</si>
  <si>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</si>
  <si>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</si>
  <si>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</si>
  <si>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</si>
  <si>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</si>
  <si>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</si>
  <si>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</si>
  <si>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</si>
  <si>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</si>
  <si>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</si>
  <si>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</si>
  <si>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</si>
  <si>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</si>
  <si>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</si>
  <si>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</si>
  <si>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</si>
  <si>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</si>
  <si>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</si>
  <si>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</si>
  <si>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</si>
  <si>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</si>
  <si>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</si>
  <si>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</si>
  <si>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</si>
  <si>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</si>
  <si>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</si>
  <si>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</si>
  <si>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</si>
  <si>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</si>
  <si>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</si>
  <si>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</si>
  <si>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</si>
  <si>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</si>
  <si>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</si>
  <si>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</si>
  <si>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</si>
  <si>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</si>
  <si>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</si>
  <si>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</si>
  <si>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</si>
  <si>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</si>
  <si>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</si>
  <si>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</si>
  <si>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</si>
  <si>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</si>
  <si>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</si>
  <si>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</si>
  <si>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</si>
  <si>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</si>
  <si>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</si>
  <si>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</si>
  <si>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</si>
  <si>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</si>
  <si>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</si>
  <si>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</si>
  <si>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</si>
  <si>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</si>
  <si>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</si>
  <si>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</si>
  <si>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</si>
  <si>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</si>
  <si>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</si>
  <si>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</si>
  <si>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</si>
  <si>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</si>
  <si>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</si>
  <si>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</si>
  <si>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</si>
  <si>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</si>
  <si>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</si>
  <si>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</si>
  <si>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</si>
  <si>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</si>
  <si>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</si>
  <si>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</si>
  <si>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</si>
  <si>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</si>
  <si>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</si>
  <si>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</si>
  <si>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</si>
  <si>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</si>
  <si>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</si>
  <si>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</si>
  <si>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</si>
  <si>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</si>
  <si>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</si>
  <si>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</si>
  <si>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</si>
  <si>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</si>
  <si>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</si>
  <si>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</si>
  <si>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</si>
  <si>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</si>
  <si>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</si>
  <si>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</si>
  <si>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</si>
  <si>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</si>
  <si>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</si>
  <si>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</si>
  <si>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</si>
  <si>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</si>
  <si>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</si>
  <si>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</si>
  <si>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</si>
  <si>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</si>
  <si>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</si>
  <si>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</si>
  <si>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</si>
  <si>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</si>
  <si>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</si>
  <si>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</si>
  <si>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</si>
  <si>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</si>
  <si>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</si>
  <si>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</si>
  <si>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</si>
  <si>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</si>
  <si>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</si>
  <si>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</si>
  <si>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</si>
  <si>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</si>
  <si>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</si>
  <si>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</si>
  <si>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</si>
  <si>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</si>
  <si>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</si>
  <si>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</si>
  <si>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</si>
  <si>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</si>
  <si>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</si>
  <si>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</si>
  <si>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</si>
  <si>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</si>
  <si>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</si>
  <si>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</si>
  <si>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</si>
  <si>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</si>
  <si>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</si>
  <si>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</si>
  <si>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</si>
  <si>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</si>
  <si>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</si>
  <si>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</si>
  <si>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</si>
  <si>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</si>
  <si>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</si>
  <si>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</si>
  <si>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</si>
  <si>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</si>
  <si>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</si>
  <si>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</si>
  <si>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</si>
  <si>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</si>
  <si>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</si>
  <si>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</si>
  <si>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</si>
  <si>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</si>
  <si>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</si>
  <si>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</si>
  <si>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</si>
  <si>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</si>
  <si>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</si>
  <si>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</si>
  <si>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</si>
  <si>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</si>
  <si>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</si>
  <si>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</si>
  <si>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</si>
  <si>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</si>
  <si>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</si>
  <si>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</si>
  <si>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</si>
  <si>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</si>
  <si>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</si>
  <si>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</si>
  <si>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</si>
  <si>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</si>
  <si>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</si>
  <si>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</si>
  <si>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</si>
  <si>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</si>
  <si>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</si>
  <si>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</si>
  <si>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</si>
  <si>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</si>
  <si>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</si>
  <si>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</si>
  <si>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</si>
  <si>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</si>
  <si>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</si>
  <si>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</si>
  <si>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</si>
  <si>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</si>
  <si>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</si>
  <si>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</si>
  <si>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</si>
  <si>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</si>
  <si>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</si>
  <si>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</si>
  <si>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</si>
  <si>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</si>
  <si>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</si>
  <si>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</si>
  <si>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</si>
  <si>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</si>
  <si>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</si>
  <si>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</si>
  <si>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</si>
  <si>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</si>
  <si>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</si>
  <si>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</si>
  <si>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</si>
  <si>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</si>
  <si>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</si>
  <si>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</si>
  <si>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</si>
  <si>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</si>
  <si>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</si>
  <si>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</si>
  <si>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</si>
  <si>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</si>
  <si>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</si>
  <si>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</si>
  <si>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</si>
  <si>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</si>
  <si>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</si>
  <si>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</si>
  <si>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</si>
  <si>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</si>
  <si>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</si>
  <si>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</si>
  <si>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</si>
  <si>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</si>
  <si>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</si>
  <si>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</si>
  <si>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</si>
  <si>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</si>
  <si>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</si>
  <si>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</si>
  <si>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</si>
  <si>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</si>
  <si>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</si>
  <si>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</si>
  <si>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</si>
  <si>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</si>
  <si>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</si>
  <si>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</si>
  <si>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</si>
  <si>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</si>
  <si>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</si>
  <si>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</si>
  <si>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</si>
  <si>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</si>
  <si>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</si>
  <si>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</si>
  <si>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</si>
  <si>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</si>
  <si>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</si>
  <si>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</si>
  <si>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</si>
  <si>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</si>
  <si>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</si>
  <si>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</si>
  <si>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</si>
  <si>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</si>
  <si>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</si>
  <si>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</si>
  <si>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</si>
  <si>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</si>
  <si>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</si>
  <si>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</si>
  <si>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</si>
  <si>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</si>
  <si>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</si>
  <si>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</si>
  <si>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</si>
  <si>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</si>
  <si>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</si>
  <si>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</si>
  <si>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</si>
  <si>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</si>
  <si>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</si>
  <si>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</si>
  <si>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</si>
  <si>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</si>
  <si>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</si>
  <si>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</si>
  <si>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</si>
  <si>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</si>
  <si>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</si>
  <si>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</si>
  <si>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</si>
  <si>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</si>
  <si>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</si>
  <si>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</si>
  <si>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</si>
  <si>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</si>
  <si>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</si>
  <si>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</si>
  <si>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</si>
  <si>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</si>
  <si>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</si>
  <si>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</si>
  <si>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</si>
  <si>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</si>
  <si>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</si>
  <si>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</si>
  <si>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</si>
  <si>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</si>
  <si>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</si>
  <si>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</si>
  <si>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</si>
  <si>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</si>
  <si>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</si>
  <si>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</si>
  <si>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</si>
  <si>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</si>
  <si>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</si>
  <si>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</si>
  <si>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</si>
  <si>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</si>
  <si>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</si>
  <si>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</si>
  <si>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</si>
  <si>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</si>
  <si>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</si>
  <si>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</si>
  <si>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</si>
  <si>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</si>
  <si>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</si>
  <si>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</si>
  <si>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</si>
  <si>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</si>
  <si>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</si>
  <si>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</si>
  <si>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</si>
  <si>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</si>
  <si>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</si>
  <si>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</si>
  <si>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</si>
  <si>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</si>
  <si>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</si>
  <si>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</si>
  <si>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</si>
  <si>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</si>
  <si>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</si>
  <si>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</si>
  <si>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</si>
  <si>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</si>
  <si>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</si>
  <si>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</si>
  <si>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</si>
  <si>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</si>
  <si>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</si>
  <si>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</si>
  <si>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</si>
  <si>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</si>
  <si>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</si>
  <si>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</si>
  <si>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</si>
  <si>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</si>
  <si>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</si>
  <si>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</si>
  <si>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</si>
  <si>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</si>
  <si>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</si>
  <si>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</si>
  <si>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</si>
  <si>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</si>
  <si>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</si>
  <si>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</si>
  <si>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</si>
  <si>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</si>
  <si>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</si>
  <si>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</si>
  <si>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</si>
  <si>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</si>
  <si>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</si>
  <si>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</si>
  <si>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</si>
  <si>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</si>
  <si>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</si>
  <si>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</si>
  <si>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</si>
  <si>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</si>
  <si>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</si>
  <si>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</si>
  <si>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</si>
  <si>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</si>
  <si>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</si>
  <si>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</si>
  <si>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</si>
  <si>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</si>
  <si>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</si>
  <si>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</si>
  <si>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</si>
  <si>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</si>
  <si>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</si>
  <si>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</si>
  <si>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</si>
  <si>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</si>
  <si>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</si>
  <si>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</si>
  <si>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</si>
  <si>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</si>
  <si>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</si>
  <si>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</si>
  <si>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</si>
  <si>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</si>
  <si>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</si>
  <si>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</si>
  <si>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</si>
  <si>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</si>
  <si>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</si>
  <si>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</si>
  <si>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</si>
  <si>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</si>
  <si>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</si>
  <si>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</si>
  <si>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</si>
  <si>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</si>
  <si>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</si>
  <si>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</si>
  <si>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</si>
  <si>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</si>
  <si>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</si>
  <si>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</si>
  <si>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</si>
  <si>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</si>
  <si>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</si>
  <si>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</si>
  <si>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</si>
  <si>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</si>
  <si>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</si>
  <si>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</si>
  <si>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</si>
  <si>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</si>
  <si>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</si>
  <si>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</si>
  <si>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</si>
  <si>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</si>
  <si>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</si>
  <si>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</si>
  <si>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</si>
  <si>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</si>
  <si>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</si>
  <si>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</si>
  <si>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</si>
  <si>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</si>
  <si>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</si>
  <si>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</si>
  <si>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</si>
  <si>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</si>
  <si>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</si>
  <si>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</si>
  <si>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</si>
  <si>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</si>
  <si>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</si>
  <si>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</si>
  <si>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</si>
  <si>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</si>
  <si>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</si>
  <si>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</si>
  <si>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</si>
  <si>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</si>
  <si>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</si>
  <si>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</si>
  <si>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</si>
  <si>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</si>
  <si>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</si>
  <si>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</si>
  <si>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</si>
  <si>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</si>
  <si>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</si>
  <si>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</si>
  <si>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</si>
  <si>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</si>
  <si>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</si>
  <si>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</si>
  <si>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</si>
  <si>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</si>
  <si>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</si>
  <si>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</si>
  <si>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</si>
  <si>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</si>
  <si>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</si>
  <si>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</si>
  <si>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</si>
  <si>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</si>
  <si>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</si>
  <si>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</si>
  <si>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</si>
  <si>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</si>
  <si>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</si>
  <si>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</si>
  <si>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</si>
  <si>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</si>
  <si>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</si>
  <si>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</si>
  <si>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</si>
  <si>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</si>
  <si>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</si>
  <si>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</si>
  <si>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</si>
  <si>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</si>
  <si>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</si>
  <si>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</si>
  <si>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</si>
  <si>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</si>
  <si>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</si>
  <si>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</si>
  <si>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</si>
  <si>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</si>
  <si>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</si>
  <si>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</si>
  <si>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</si>
  <si>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</si>
  <si>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</si>
  <si>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</si>
  <si>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</si>
  <si>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</si>
  <si>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</si>
  <si>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</si>
  <si>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</si>
  <si>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</si>
  <si>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</si>
  <si>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</si>
  <si>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</si>
  <si>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</si>
  <si>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</si>
  <si>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</si>
  <si>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</si>
  <si>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</si>
  <si>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</si>
  <si>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</si>
  <si>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</si>
  <si>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</si>
  <si>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</si>
  <si>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</si>
  <si>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</si>
  <si>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</si>
  <si>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</si>
  <si>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</si>
  <si>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</si>
  <si>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</si>
  <si>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</si>
  <si>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</si>
  <si>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</si>
  <si>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</si>
  <si>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</si>
  <si>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</si>
  <si>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</si>
  <si>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</si>
  <si>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</si>
  <si>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</si>
  <si>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</si>
  <si>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</si>
  <si>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</si>
  <si>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</si>
  <si>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</si>
  <si>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</si>
  <si>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</si>
  <si>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</si>
  <si>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</si>
  <si>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</si>
  <si>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</si>
  <si>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</si>
  <si>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</si>
  <si>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</si>
  <si>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</si>
  <si>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</si>
  <si>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</si>
  <si>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</si>
  <si>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</si>
  <si>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</si>
  <si>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</si>
  <si>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</si>
  <si>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</si>
  <si>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</si>
  <si>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</si>
  <si>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</si>
  <si>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</si>
  <si>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</si>
  <si>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</si>
  <si>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</si>
  <si>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</si>
  <si>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</si>
  <si>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</si>
  <si>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</si>
  <si>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</si>
  <si>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</si>
  <si>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</si>
  <si>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</si>
  <si>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</si>
  <si>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</si>
  <si>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</si>
  <si>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</si>
  <si>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</si>
  <si>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</si>
  <si>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</si>
  <si>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</si>
  <si>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</si>
  <si>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</si>
  <si>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</si>
  <si>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</si>
  <si>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</si>
  <si>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</si>
  <si>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</si>
  <si>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</si>
  <si>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</si>
  <si>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</si>
  <si>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</si>
  <si>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</si>
  <si>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</si>
  <si>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</si>
  <si>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</si>
  <si>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</si>
  <si>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</si>
  <si>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</si>
  <si>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</si>
  <si>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</si>
  <si>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</si>
  <si>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</si>
  <si>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</si>
  <si>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</si>
  <si>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</si>
  <si>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</si>
  <si>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</si>
  <si>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</si>
  <si>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</si>
  <si>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</si>
  <si>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</si>
  <si>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</si>
  <si>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</si>
  <si>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</si>
  <si>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</si>
  <si>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</si>
  <si>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</si>
  <si>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</si>
  <si>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</si>
  <si>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</si>
  <si>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</si>
  <si>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</si>
  <si>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</si>
  <si>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</si>
  <si>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</si>
  <si>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</si>
  <si>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</si>
  <si>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</si>
  <si>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</si>
  <si>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</si>
  <si>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</si>
  <si>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</si>
  <si>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</si>
  <si>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</si>
  <si>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</si>
  <si>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</si>
  <si>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</si>
  <si>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</si>
  <si>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</si>
  <si>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</si>
  <si>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</si>
  <si>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</si>
  <si>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</si>
  <si>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</si>
  <si>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</si>
  <si>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</si>
  <si>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</si>
  <si>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</si>
  <si>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</si>
  <si>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</si>
  <si>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</si>
  <si>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</si>
  <si>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</si>
  <si>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</si>
  <si>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</si>
  <si>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</si>
  <si>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</si>
  <si>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</si>
  <si>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</si>
  <si>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</si>
  <si>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</si>
  <si>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</si>
  <si>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</si>
  <si>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</si>
  <si>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</si>
  <si>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</si>
  <si>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</si>
  <si>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</si>
  <si>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</si>
  <si>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</si>
  <si>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</si>
  <si>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</si>
  <si>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</si>
  <si>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</si>
  <si>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</si>
  <si>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</si>
  <si>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</si>
  <si>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</si>
  <si>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</si>
  <si>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</si>
  <si>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</si>
  <si>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</si>
  <si>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</si>
  <si>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</si>
  <si>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</si>
  <si>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</si>
  <si>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</si>
  <si>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</si>
  <si>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</si>
  <si>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</si>
  <si>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</si>
  <si>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</si>
  <si>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</si>
  <si>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</si>
  <si>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</si>
  <si>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</si>
  <si>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</si>
  <si>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</si>
  <si>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</si>
  <si>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</si>
  <si>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</si>
  <si>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</si>
  <si>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</si>
  <si>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</si>
  <si>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</si>
  <si>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</si>
  <si>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</si>
  <si>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</si>
  <si>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</si>
  <si>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</si>
  <si>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</si>
  <si>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</si>
  <si>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</si>
  <si>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</si>
  <si>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</si>
  <si>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</si>
  <si>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</si>
  <si>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</si>
  <si>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</si>
  <si>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</si>
  <si>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</si>
  <si>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</si>
  <si>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</si>
  <si>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</si>
  <si>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</si>
  <si>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</si>
  <si>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</si>
  <si>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</si>
  <si>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</si>
  <si>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</si>
  <si>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</si>
  <si>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</si>
  <si>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</si>
  <si>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</si>
  <si>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</si>
  <si>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</si>
  <si>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</si>
  <si>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</si>
  <si>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</si>
  <si>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</si>
  <si>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</si>
  <si>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</si>
  <si>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</si>
  <si>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</si>
  <si>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</si>
  <si>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</si>
  <si>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</si>
  <si>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</si>
  <si>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</si>
  <si>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</si>
  <si>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</si>
  <si>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</si>
  <si>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</si>
  <si>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</si>
  <si>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</si>
  <si>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</si>
  <si>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</si>
  <si>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</si>
  <si>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</si>
  <si>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</si>
  <si>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</si>
  <si>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</si>
  <si>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</si>
  <si>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</si>
  <si>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</si>
  <si>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</si>
  <si>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</si>
  <si>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</si>
  <si>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</si>
  <si>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</si>
  <si>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</si>
  <si>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</si>
  <si>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</si>
  <si>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</si>
  <si>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</si>
  <si>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</si>
  <si>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</si>
  <si>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</si>
  <si>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</si>
  <si>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</si>
  <si>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</si>
  <si>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</si>
  <si>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</si>
  <si>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</si>
  <si>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</si>
  <si>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</si>
  <si>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</si>
  <si>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</si>
  <si>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</si>
  <si>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</si>
  <si>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</si>
  <si>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</si>
  <si>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</si>
  <si>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</si>
  <si>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</si>
  <si>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</si>
  <si>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</si>
  <si>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</si>
  <si>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</si>
  <si>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</si>
  <si>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</si>
  <si>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</si>
  <si>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</si>
  <si>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</si>
  <si>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</si>
  <si>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</si>
  <si>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</si>
  <si>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</si>
  <si>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</si>
  <si>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</si>
  <si>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</si>
  <si>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</si>
  <si>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</si>
  <si>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</si>
  <si>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</si>
  <si>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</si>
  <si>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</si>
  <si>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</si>
  <si>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</si>
  <si>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</si>
  <si>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</si>
  <si>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</si>
  <si>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</si>
  <si>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</si>
  <si>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</si>
  <si>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</si>
  <si>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</si>
  <si>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</si>
  <si>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</si>
  <si>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</si>
  <si>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</si>
  <si>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</si>
  <si>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</si>
  <si>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</si>
  <si>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</si>
  <si>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</si>
  <si>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</si>
  <si>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</si>
  <si>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</si>
  <si>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</si>
  <si>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</si>
  <si>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</si>
  <si>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</si>
  <si>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</si>
  <si>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</si>
  <si>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</si>
  <si>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</si>
  <si>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</si>
  <si>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</si>
  <si>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</si>
  <si>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</si>
  <si>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</si>
  <si>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</si>
  <si>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</si>
  <si>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</si>
  <si>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</si>
  <si>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</si>
  <si>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</si>
  <si>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</si>
  <si>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</si>
  <si>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</si>
  <si>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</si>
  <si>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</si>
  <si>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</si>
  <si>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</si>
  <si>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</si>
  <si>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</si>
  <si>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</si>
  <si>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</si>
  <si>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</si>
  <si>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</si>
  <si>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</si>
  <si>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</si>
  <si>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</si>
  <si>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</si>
  <si>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</si>
  <si>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</si>
  <si>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</si>
  <si>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</si>
  <si>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</si>
  <si>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</si>
  <si>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</si>
  <si>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</si>
  <si>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</si>
  <si>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</si>
  <si>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</si>
  <si>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</si>
  <si>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</si>
  <si>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</si>
  <si>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</si>
  <si>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</si>
  <si>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</si>
  <si>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</si>
  <si>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</si>
  <si>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</si>
  <si>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</si>
  <si>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</si>
  <si>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</si>
  <si>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</si>
  <si>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</si>
  <si>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</si>
  <si>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</si>
  <si>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</si>
  <si>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</si>
  <si>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</si>
  <si>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</si>
  <si>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</si>
  <si>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</si>
  <si>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</si>
  <si>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</si>
  <si>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</si>
  <si>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</si>
  <si>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</si>
  <si>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</si>
  <si>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</si>
  <si>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</si>
  <si>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</si>
  <si>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</si>
  <si>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</si>
  <si>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</si>
  <si>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</si>
  <si>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</si>
  <si>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</si>
  <si>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</si>
  <si>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</si>
  <si>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</si>
  <si>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</si>
  <si>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</si>
  <si>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</si>
  <si>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</si>
  <si>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</si>
  <si>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</si>
  <si>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</si>
  <si>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</si>
  <si>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</si>
  <si>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</si>
  <si>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</si>
  <si>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</si>
  <si>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</si>
  <si>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</si>
  <si>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</si>
  <si>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</si>
  <si>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</si>
  <si>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</si>
  <si>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</si>
  <si>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</si>
  <si>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</si>
  <si>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</si>
  <si>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</si>
  <si>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</si>
  <si>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</si>
  <si>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</si>
  <si>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</si>
  <si>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</si>
  <si>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</si>
  <si>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</si>
  <si>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</si>
  <si>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</si>
  <si>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</si>
  <si>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</si>
  <si>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</si>
  <si>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</si>
  <si>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</si>
  <si>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</si>
  <si>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</si>
  <si>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</si>
  <si>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</si>
  <si>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</si>
  <si>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</si>
  <si>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</si>
  <si>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</si>
  <si>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</si>
  <si>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</si>
  <si>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</si>
  <si>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</si>
  <si>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</si>
  <si>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</si>
  <si>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</si>
  <si>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</si>
  <si>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</si>
  <si>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</si>
  <si>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</si>
  <si>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</si>
  <si>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</si>
  <si>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</si>
  <si>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</si>
  <si>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</si>
  <si>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</si>
  <si>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</si>
  <si>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</si>
  <si>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</si>
  <si>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</si>
  <si>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</si>
  <si>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</si>
  <si>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</si>
  <si>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</si>
  <si>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</si>
  <si>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</si>
  <si>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</si>
  <si>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</si>
  <si>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</si>
  <si>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</si>
  <si>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</si>
  <si>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</si>
  <si>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</si>
  <si>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</si>
  <si>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</si>
  <si>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</si>
  <si>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</si>
  <si>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</si>
  <si>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</si>
  <si>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</si>
  <si>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</si>
  <si>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</si>
  <si>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</si>
  <si>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</si>
  <si>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</si>
  <si>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</si>
  <si>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</si>
  <si>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</si>
  <si>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</si>
  <si>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</si>
  <si>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</si>
  <si>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</si>
  <si>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</si>
  <si>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</si>
  <si>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</si>
  <si>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</si>
  <si>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</si>
  <si>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</si>
  <si>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</si>
  <si>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</si>
  <si>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</si>
  <si>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</si>
  <si>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</si>
  <si>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</si>
  <si>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</si>
  <si>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</si>
  <si>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</si>
  <si>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</si>
  <si>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</si>
  <si>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</si>
  <si>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</si>
  <si>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</si>
  <si>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</si>
  <si>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</si>
  <si>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</si>
  <si>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</si>
  <si>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</si>
  <si>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</si>
  <si>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</si>
  <si>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</si>
  <si>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</si>
  <si>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</si>
  <si>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</si>
  <si>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</si>
  <si>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</si>
  <si>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</si>
  <si>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</si>
  <si>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</si>
  <si>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</si>
  <si>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</si>
  <si>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</si>
  <si>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</si>
  <si>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</si>
  <si>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</si>
  <si>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</si>
  <si>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</si>
  <si>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</si>
  <si>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</si>
  <si>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</si>
  <si>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</si>
  <si>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</si>
  <si>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</si>
  <si>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</si>
  <si>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</si>
  <si>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</si>
  <si>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</si>
  <si>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</si>
  <si>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</si>
  <si>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</si>
  <si>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</si>
  <si>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</si>
  <si>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</si>
  <si>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</si>
  <si>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</si>
  <si>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</si>
  <si>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</si>
  <si>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</si>
  <si>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</si>
  <si>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</si>
  <si>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</si>
  <si>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</si>
  <si>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</si>
  <si>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</si>
  <si>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</si>
  <si>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</si>
  <si>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</si>
  <si>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</si>
  <si>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</si>
  <si>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</si>
  <si>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</si>
  <si>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</si>
  <si>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</si>
  <si>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</si>
  <si>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</si>
  <si>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</si>
  <si>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</si>
  <si>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</si>
  <si>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</si>
  <si>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</si>
  <si>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</si>
  <si>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</si>
  <si>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</si>
  <si>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</si>
  <si>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</si>
  <si>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</si>
  <si>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</si>
  <si>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</si>
  <si>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</si>
  <si>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</si>
  <si>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</si>
  <si>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</si>
  <si>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</si>
  <si>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</si>
  <si>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</si>
  <si>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</si>
  <si>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</si>
  <si>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</si>
  <si>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</si>
  <si>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</si>
  <si>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</si>
  <si>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</si>
  <si>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</si>
  <si>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</si>
  <si>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</si>
  <si>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</si>
  <si>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</si>
  <si>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</si>
  <si>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</si>
  <si>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</si>
  <si>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</si>
  <si>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</si>
  <si>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</si>
  <si>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</si>
  <si>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</si>
  <si>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</si>
  <si>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</si>
  <si>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</si>
  <si>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</si>
  <si>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</si>
  <si>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</si>
  <si>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</si>
  <si>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</si>
  <si>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</si>
  <si>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</si>
  <si>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</si>
  <si>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</si>
  <si>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</si>
  <si>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</si>
  <si>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</si>
  <si>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</si>
  <si>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</si>
  <si>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</si>
  <si>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</si>
  <si>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</si>
  <si>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</si>
  <si>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</si>
  <si>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</si>
  <si>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</si>
  <si>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</si>
  <si>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</si>
  <si>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</si>
  <si>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</si>
  <si>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</si>
  <si>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</si>
  <si>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</si>
  <si>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</si>
  <si>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</si>
  <si>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</si>
  <si>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</si>
  <si>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</si>
  <si>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</si>
  <si>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</si>
  <si>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</si>
  <si>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</si>
  <si>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</si>
  <si>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</si>
  <si>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</si>
  <si>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</si>
  <si>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</si>
  <si>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</si>
  <si>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</si>
  <si>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</si>
  <si>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</si>
  <si>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</si>
  <si>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</si>
  <si>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</si>
  <si>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</si>
  <si>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</si>
  <si>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</si>
  <si>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</si>
  <si>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</si>
  <si>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</si>
  <si>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</si>
  <si>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</si>
  <si>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</si>
  <si>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</si>
  <si>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</si>
  <si>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</si>
  <si>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</si>
  <si>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</si>
  <si>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</si>
  <si>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</si>
  <si>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</si>
  <si>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</si>
  <si>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</si>
  <si>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</si>
  <si>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</si>
  <si>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</si>
  <si>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</si>
  <si>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</si>
  <si>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</si>
  <si>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</si>
  <si>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</si>
  <si>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</si>
  <si>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</si>
  <si>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</si>
  <si>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</si>
  <si>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</si>
  <si>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</si>
  <si>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</si>
  <si>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</si>
  <si>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</si>
  <si>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</si>
  <si>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</si>
  <si>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</si>
  <si>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</si>
  <si>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</si>
  <si>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</si>
  <si>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</si>
  <si>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</si>
  <si>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</si>
  <si>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</si>
  <si>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</si>
  <si>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</si>
  <si>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</si>
  <si>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</si>
  <si>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</si>
  <si>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</si>
  <si>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</si>
  <si>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</si>
  <si>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</si>
  <si>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</si>
  <si>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</si>
  <si>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</si>
  <si>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</si>
  <si>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</si>
  <si>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</si>
  <si>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</si>
  <si>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</si>
  <si>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</si>
  <si>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</si>
  <si>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</si>
  <si>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</si>
  <si>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</si>
  <si>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</si>
  <si>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</si>
  <si>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</si>
  <si>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</si>
  <si>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</si>
  <si>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</si>
  <si>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</si>
  <si>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</si>
  <si>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</si>
  <si>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</si>
  <si>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</si>
  <si>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</si>
  <si>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</si>
  <si>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</si>
  <si>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</si>
  <si>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</si>
  <si>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</si>
  <si>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</si>
  <si>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</si>
  <si>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</si>
  <si>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</si>
  <si>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</si>
  <si>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</si>
  <si>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</si>
  <si>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</si>
  <si>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</si>
  <si>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</si>
  <si>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</si>
  <si>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</si>
  <si>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</si>
  <si>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</si>
  <si>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</si>
  <si>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</si>
  <si>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</si>
  <si>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</si>
  <si>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</si>
  <si>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</si>
  <si>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</si>
  <si>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</si>
  <si>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</si>
  <si>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</si>
  <si>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</si>
  <si>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</si>
  <si>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</si>
  <si>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</si>
  <si>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</si>
  <si>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</si>
  <si>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</si>
  <si>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</si>
  <si>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</si>
  <si>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</si>
  <si>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</si>
  <si>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</si>
  <si>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</si>
  <si>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</si>
  <si>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</si>
  <si>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</si>
  <si>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</si>
  <si>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</si>
  <si>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</si>
  <si>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</si>
  <si>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</si>
  <si>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</si>
  <si>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</si>
  <si>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</si>
  <si>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</si>
  <si>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</si>
  <si>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</si>
  <si>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</si>
  <si>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</si>
  <si>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</si>
  <si>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</si>
  <si>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</si>
  <si>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</si>
  <si>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</si>
  <si>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</si>
  <si>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</si>
  <si>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</si>
  <si>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</si>
  <si>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</si>
  <si>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</si>
  <si>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</si>
  <si>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</si>
  <si>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</si>
  <si>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</si>
  <si>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</si>
  <si>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</si>
  <si>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</si>
  <si>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</si>
  <si>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</si>
  <si>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</si>
  <si>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</si>
  <si>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</si>
  <si>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</si>
  <si>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</si>
  <si>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</si>
  <si>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</si>
  <si>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</si>
  <si>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</si>
  <si>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</si>
  <si>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</si>
  <si>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</si>
  <si>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</si>
  <si>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</si>
  <si>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</si>
  <si>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</si>
  <si>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</si>
  <si>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</si>
  <si>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</si>
  <si>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</si>
  <si>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</si>
  <si>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</si>
  <si>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</si>
  <si>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</si>
  <si>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</si>
  <si>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</si>
  <si>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</si>
  <si>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</si>
  <si>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</si>
  <si>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</si>
  <si>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</si>
  <si>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</si>
  <si>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</si>
  <si>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</si>
  <si>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</si>
  <si>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</si>
  <si>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</si>
  <si>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</si>
  <si>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</si>
  <si>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</si>
  <si>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</si>
  <si>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</si>
  <si>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</si>
  <si>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</si>
  <si>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</si>
  <si>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</si>
  <si>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</si>
  <si>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</si>
  <si>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</si>
  <si>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</si>
  <si>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</si>
  <si>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</si>
  <si>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</si>
  <si>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</si>
  <si>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</si>
  <si>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</si>
  <si>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</si>
  <si>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</si>
  <si>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</si>
  <si>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</si>
  <si>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</si>
  <si>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</si>
  <si>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</si>
  <si>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</si>
  <si>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</si>
  <si>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</si>
  <si>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</si>
  <si>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</si>
  <si>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</si>
  <si>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</si>
  <si>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</si>
  <si>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</si>
  <si>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</si>
  <si>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</si>
  <si>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</si>
  <si>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</si>
  <si>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</si>
  <si>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</si>
  <si>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</si>
  <si>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</si>
  <si>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</si>
  <si>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</si>
  <si>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</si>
  <si>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</si>
  <si>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</si>
  <si>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</si>
  <si>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</si>
  <si>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</si>
  <si>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</si>
  <si>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</si>
  <si>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</si>
  <si>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</si>
  <si>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</si>
  <si>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</si>
  <si>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</si>
  <si>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</si>
  <si>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</si>
  <si>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</si>
  <si>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</si>
  <si>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</si>
  <si>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</si>
  <si>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</si>
  <si>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</si>
  <si>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</si>
  <si>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</si>
  <si>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</si>
  <si>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</si>
  <si>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</si>
  <si>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</si>
  <si>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</si>
  <si>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</si>
  <si>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</si>
  <si>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</si>
  <si>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</si>
  <si>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</si>
  <si>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</si>
  <si>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</si>
  <si>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</si>
  <si>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</si>
  <si>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</si>
  <si>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</si>
  <si>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</si>
  <si>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</si>
  <si>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</si>
  <si>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</si>
  <si>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</si>
  <si>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</si>
  <si>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</si>
  <si>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</si>
  <si>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</si>
  <si>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</si>
  <si>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</si>
  <si>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</si>
  <si>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</si>
  <si>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</si>
  <si>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</si>
  <si>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</si>
  <si>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</si>
  <si>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</si>
  <si>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</si>
  <si>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</si>
  <si>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</si>
  <si>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</si>
  <si>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</si>
  <si>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</si>
  <si>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</si>
  <si>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</si>
  <si>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</si>
  <si>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</si>
  <si>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</si>
  <si>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</si>
  <si>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</si>
  <si>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</si>
  <si>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</si>
  <si>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</si>
  <si>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</si>
  <si>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</si>
  <si>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</si>
  <si>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</si>
  <si>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</si>
  <si>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</si>
  <si>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</si>
  <si>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</si>
  <si>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</si>
  <si>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</si>
  <si>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</si>
  <si>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</si>
  <si>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</si>
  <si>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</si>
  <si>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</si>
  <si>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</si>
  <si>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</si>
  <si>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</si>
  <si>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</si>
  <si>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</si>
  <si>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</si>
  <si>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</si>
  <si>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</si>
  <si>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</si>
  <si>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</si>
  <si>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</si>
  <si>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</si>
  <si>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</si>
  <si>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</si>
  <si>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</si>
  <si>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</si>
  <si>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</si>
  <si>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</si>
  <si>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</si>
  <si>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</si>
  <si>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</si>
  <si>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</si>
  <si>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</si>
  <si>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</si>
  <si>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</si>
  <si>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</si>
  <si>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</si>
  <si>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</si>
  <si>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</si>
  <si>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</si>
  <si>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</si>
  <si>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</si>
  <si>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</si>
  <si>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</si>
  <si>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</si>
  <si>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</si>
  <si>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</si>
  <si>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</si>
  <si>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</si>
  <si>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</si>
  <si>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</si>
  <si>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</si>
  <si>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</si>
  <si>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</si>
  <si>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</si>
  <si>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</si>
  <si>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</si>
  <si>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</si>
  <si>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</si>
  <si>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</si>
  <si>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</si>
  <si>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</si>
  <si>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</si>
  <si>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</si>
  <si>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</si>
  <si>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</si>
  <si>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</si>
  <si>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</si>
  <si>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</si>
  <si>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</si>
  <si>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</si>
  <si>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</si>
  <si>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</si>
  <si>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</si>
  <si>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</si>
  <si>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</si>
  <si>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</si>
  <si>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</si>
  <si>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</si>
  <si>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</si>
  <si>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</si>
  <si>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</si>
  <si>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</si>
  <si>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</si>
  <si>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</si>
  <si>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</si>
  <si>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</si>
  <si>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</si>
  <si>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</si>
  <si>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</si>
  <si>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</si>
  <si>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</si>
  <si>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</si>
  <si>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</si>
  <si>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</si>
  <si>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</si>
  <si>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</si>
  <si>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</si>
  <si>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</si>
  <si>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</si>
  <si>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</si>
  <si>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</si>
  <si>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</si>
  <si>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</si>
  <si>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</si>
  <si>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</si>
  <si>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</si>
  <si>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</si>
  <si>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</si>
  <si>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</si>
  <si>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</si>
  <si>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</si>
  <si>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</si>
  <si>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</si>
  <si>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</si>
  <si>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</si>
  <si>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</si>
  <si>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</si>
  <si>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</si>
  <si>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</si>
  <si>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</si>
  <si>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</si>
  <si>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</si>
  <si>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</si>
  <si>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</si>
  <si>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</si>
  <si>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</si>
  <si>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</si>
  <si>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</si>
  <si>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</si>
  <si>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</si>
  <si>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</si>
  <si>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</si>
  <si>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</si>
  <si>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</si>
  <si>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</si>
  <si>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</si>
  <si>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</si>
  <si>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</si>
  <si>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</si>
  <si>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</si>
  <si>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</si>
  <si>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</si>
  <si>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</si>
  <si>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</si>
  <si>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</si>
  <si>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</si>
  <si>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</si>
  <si>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</si>
  <si>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</si>
  <si>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</si>
  <si>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</si>
  <si>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</si>
  <si>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</si>
  <si>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</si>
  <si>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</si>
  <si>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</si>
  <si>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</si>
  <si>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</si>
  <si>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</si>
  <si>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</si>
  <si>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</si>
  <si>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</si>
  <si>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</si>
  <si>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</si>
  <si>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</si>
  <si>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</si>
  <si>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</si>
  <si>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</si>
  <si>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</si>
  <si>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</si>
  <si>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</si>
  <si>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</si>
  <si>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</si>
  <si>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</si>
  <si>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</si>
  <si>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</si>
  <si>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</si>
  <si>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</si>
  <si>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</si>
  <si>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</si>
  <si>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</si>
  <si>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</si>
  <si>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</si>
  <si>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</si>
  <si>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</si>
  <si>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</si>
  <si>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</si>
  <si>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</si>
  <si>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</si>
  <si>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</si>
  <si>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</si>
  <si>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</si>
  <si>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</si>
  <si>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</si>
  <si>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</si>
  <si>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</si>
  <si>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</si>
  <si>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</si>
  <si>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</si>
  <si>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</si>
  <si>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</si>
  <si>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</si>
  <si>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</si>
  <si>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</si>
  <si>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</si>
  <si>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</si>
  <si>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</si>
  <si>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</si>
  <si>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</si>
  <si>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</si>
  <si>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</si>
  <si>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</si>
  <si>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</si>
  <si>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</si>
  <si>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</si>
  <si>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</si>
  <si>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</si>
  <si>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</si>
  <si>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</si>
  <si>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</si>
  <si>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</si>
  <si>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</si>
  <si>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</si>
  <si>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</si>
  <si>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</si>
  <si>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</si>
  <si>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</si>
  <si>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</si>
  <si>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</si>
  <si>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</si>
  <si>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</si>
  <si>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</si>
  <si>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</si>
  <si>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</si>
  <si>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</si>
  <si>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</si>
  <si>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</si>
  <si>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</si>
  <si>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</si>
  <si>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</si>
  <si>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</si>
  <si>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</si>
  <si>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</si>
  <si>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</si>
  <si>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</si>
  <si>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</si>
  <si>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</si>
  <si>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</si>
  <si>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</si>
  <si>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</si>
  <si>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</si>
  <si>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</si>
  <si>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</si>
  <si>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</si>
  <si>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</si>
  <si>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</si>
  <si>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</si>
  <si>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</si>
  <si>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</si>
  <si>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</si>
  <si>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</si>
  <si>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</si>
  <si>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</si>
  <si>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</si>
  <si>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</si>
  <si>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</si>
  <si>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</si>
  <si>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</si>
  <si>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</si>
  <si>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</si>
  <si>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</si>
  <si>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</si>
  <si>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</si>
  <si>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</si>
  <si>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</si>
  <si>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</si>
  <si>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</si>
  <si>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</si>
  <si>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</si>
  <si>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</si>
  <si>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</si>
  <si>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</si>
  <si>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</si>
  <si>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</si>
  <si>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</si>
  <si>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</si>
  <si>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</si>
  <si>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</si>
  <si>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</si>
  <si>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</si>
  <si>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</si>
  <si>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</si>
  <si>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</si>
  <si>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</si>
  <si>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</si>
  <si>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</si>
  <si>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</si>
  <si>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</si>
  <si>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</si>
  <si>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</si>
  <si>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</si>
  <si>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</si>
  <si>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</si>
  <si>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</si>
  <si>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</si>
  <si>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</si>
  <si>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</si>
  <si>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</si>
  <si>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</si>
  <si>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</si>
  <si>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</si>
  <si>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</si>
  <si>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</si>
  <si>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</si>
  <si>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</si>
  <si>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</si>
  <si>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</si>
  <si>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</si>
  <si>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</si>
  <si>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</si>
  <si>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</si>
  <si>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</si>
  <si>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</si>
  <si>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</si>
  <si>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</si>
  <si>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</si>
  <si>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</si>
  <si>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</si>
  <si>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</si>
  <si>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</si>
  <si>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</si>
  <si>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</si>
  <si>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</si>
  <si>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</si>
  <si>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</si>
  <si>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</si>
  <si>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</si>
  <si>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</si>
  <si>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</si>
  <si>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</si>
  <si>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</si>
  <si>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</si>
  <si>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</si>
  <si>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</si>
  <si>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</si>
  <si>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</si>
  <si>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</si>
  <si>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</si>
  <si>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</si>
  <si>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</si>
  <si>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</si>
  <si>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</si>
  <si>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</si>
  <si>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</si>
  <si>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</si>
  <si>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</si>
  <si>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</si>
  <si>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</si>
  <si>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</si>
  <si>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</si>
  <si>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</si>
  <si>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</si>
  <si>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</si>
  <si>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</si>
  <si>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</si>
  <si>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</si>
  <si>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</si>
  <si>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</si>
  <si>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</si>
  <si>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</si>
  <si>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</si>
  <si>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</si>
  <si>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</si>
  <si>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</si>
  <si>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</si>
  <si>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</si>
  <si>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</si>
  <si>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</si>
  <si>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</si>
  <si>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</si>
  <si>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</si>
  <si>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</si>
  <si>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</si>
  <si>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</si>
  <si>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</si>
  <si>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</si>
  <si>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</si>
  <si>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</si>
  <si>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</si>
  <si>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</si>
  <si>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</si>
  <si>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</si>
  <si>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</si>
  <si>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</si>
  <si>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</si>
  <si>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</si>
  <si>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</si>
  <si>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</si>
  <si>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</si>
  <si>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</si>
  <si>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</si>
  <si>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</si>
  <si>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</si>
  <si>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</si>
  <si>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</si>
  <si>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</si>
  <si>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</si>
  <si>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</si>
  <si>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</si>
  <si>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</si>
  <si>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</si>
  <si>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</si>
  <si>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</si>
  <si>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</si>
  <si>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</si>
  <si>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</si>
  <si>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</si>
  <si>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</si>
  <si>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</si>
  <si>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</si>
  <si>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</si>
  <si>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</si>
  <si>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</si>
  <si>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</si>
  <si>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</si>
  <si>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</si>
  <si>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</si>
  <si>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</si>
  <si>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</si>
  <si>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</si>
  <si>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</si>
  <si>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</si>
  <si>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</si>
  <si>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</si>
  <si>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</si>
  <si>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</si>
  <si>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</si>
  <si>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</si>
  <si>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</si>
  <si>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</si>
  <si>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</si>
  <si>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</si>
  <si>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</si>
  <si>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</si>
  <si>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</si>
  <si>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</si>
  <si>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</si>
  <si>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</si>
  <si>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</si>
  <si>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</si>
  <si>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</si>
  <si>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</si>
  <si>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</si>
  <si>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</si>
  <si>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</si>
  <si>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</si>
  <si>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</si>
  <si>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</si>
  <si>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</si>
  <si>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</si>
  <si>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</si>
  <si>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</si>
  <si>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</si>
  <si>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</si>
  <si>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</si>
  <si>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</si>
  <si>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</si>
  <si>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</si>
  <si>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</si>
  <si>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</si>
  <si>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</si>
  <si>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</si>
  <si>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</si>
  <si>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</si>
  <si>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</si>
  <si>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</si>
  <si>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</si>
  <si>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</si>
  <si>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</si>
  <si>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</si>
  <si>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</si>
  <si>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</si>
  <si>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</si>
  <si>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</si>
  <si>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</si>
  <si>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</si>
  <si>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</si>
  <si>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</si>
  <si>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</si>
  <si>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</si>
  <si>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</si>
  <si>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</si>
  <si>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</si>
  <si>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</si>
  <si>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</si>
  <si>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</si>
  <si>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</si>
  <si>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</si>
  <si>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</si>
  <si>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</si>
  <si>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</si>
  <si>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</si>
  <si>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</si>
  <si>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</si>
  <si>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</si>
  <si>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</si>
  <si>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</si>
  <si>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</si>
  <si>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</si>
  <si>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</si>
  <si>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</si>
  <si>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</si>
  <si>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</si>
  <si>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</si>
  <si>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</si>
  <si>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</si>
  <si>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</si>
  <si>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</si>
  <si>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</si>
  <si>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</si>
  <si>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</si>
  <si>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</si>
  <si>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</si>
  <si>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</si>
  <si>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</si>
  <si>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</si>
  <si>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</si>
  <si>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</si>
  <si>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</si>
  <si>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</si>
  <si>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</si>
  <si>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</si>
  <si>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</si>
  <si>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</si>
  <si>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</si>
  <si>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</si>
  <si>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</si>
  <si>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</si>
  <si>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</si>
  <si>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</si>
  <si>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</si>
  <si>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</si>
  <si>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</si>
  <si>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</si>
  <si>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</si>
  <si>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</si>
  <si>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</si>
  <si>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</si>
  <si>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</si>
  <si>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</si>
  <si>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</si>
  <si>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</si>
  <si>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</si>
  <si>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</si>
  <si>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</si>
  <si>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</si>
  <si>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</si>
  <si>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</si>
  <si>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</si>
  <si>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</si>
  <si>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</si>
  <si>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</si>
  <si>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</si>
  <si>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</si>
  <si>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</si>
  <si>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</si>
  <si>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</si>
  <si>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</si>
  <si>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</si>
  <si>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</si>
  <si>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</si>
  <si>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</si>
  <si>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</si>
  <si>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</si>
  <si>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</si>
  <si>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</si>
  <si>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</si>
  <si>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</si>
  <si>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</si>
  <si>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</si>
  <si>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</si>
  <si>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</si>
  <si>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</si>
  <si>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</si>
  <si>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</si>
  <si>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</si>
  <si>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</si>
  <si>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</si>
  <si>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</si>
  <si>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</si>
  <si>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</si>
  <si>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</si>
  <si>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</si>
  <si>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</si>
  <si>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</si>
  <si>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</si>
  <si>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</si>
  <si>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</si>
  <si>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</si>
  <si>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</si>
  <si>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</si>
  <si>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</si>
  <si>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</si>
  <si>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</si>
  <si>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</si>
  <si>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</si>
  <si>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</si>
  <si>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</si>
  <si>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</si>
  <si>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</si>
  <si>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</si>
  <si>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</si>
  <si>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</si>
  <si>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</si>
  <si>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</si>
  <si>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</si>
  <si>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</si>
  <si>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</si>
  <si>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</si>
  <si>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</si>
  <si>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</si>
  <si>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</si>
  <si>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</si>
  <si>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</si>
  <si>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</si>
  <si>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</si>
  <si>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</si>
  <si>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</si>
  <si>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</si>
  <si>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</si>
  <si>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</si>
  <si>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</si>
  <si>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</si>
  <si>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</si>
  <si>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</si>
  <si>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</si>
  <si>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</si>
  <si>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</si>
  <si>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</si>
  <si>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</si>
  <si>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</si>
  <si>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</si>
  <si>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</si>
  <si>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</si>
  <si>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</si>
  <si>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</si>
  <si>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</si>
  <si>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</si>
  <si>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</si>
  <si>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</si>
  <si>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</si>
  <si>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</si>
  <si>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</si>
  <si>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</si>
  <si>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</si>
  <si>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</si>
  <si>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</si>
  <si>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</si>
  <si>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</si>
  <si>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</si>
  <si>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</si>
  <si>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</si>
  <si>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</si>
  <si>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</si>
  <si>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</si>
  <si>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</si>
  <si>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</si>
  <si>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</si>
  <si>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</si>
  <si>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</si>
  <si>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</si>
  <si>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</si>
  <si>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</si>
  <si>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</si>
  <si>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</si>
  <si>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</si>
  <si>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</si>
  <si>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</si>
  <si>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</si>
  <si>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</si>
  <si>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</si>
  <si>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</si>
  <si>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</si>
  <si>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</si>
  <si>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</si>
  <si>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</si>
  <si>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</si>
  <si>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</si>
  <si>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</si>
  <si>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</si>
  <si>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</si>
  <si>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</si>
  <si>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</si>
  <si>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</si>
  <si>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</si>
  <si>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</si>
  <si>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</si>
  <si>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</si>
  <si>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</si>
  <si>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</si>
  <si>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</si>
  <si>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</si>
  <si>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</si>
  <si>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</si>
  <si>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</si>
  <si>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</si>
  <si>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</si>
  <si>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</si>
  <si>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</si>
  <si>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</si>
  <si>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</si>
  <si>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</si>
  <si>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</si>
  <si>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</si>
  <si>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</si>
  <si>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</si>
  <si>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</si>
  <si>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</si>
  <si>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</si>
  <si>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</si>
  <si>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</si>
  <si>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</si>
  <si>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</si>
  <si>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</si>
  <si>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</si>
  <si>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</si>
  <si>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</si>
  <si>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</si>
  <si>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</si>
  <si>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</si>
  <si>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</si>
  <si>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</si>
  <si>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</si>
  <si>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</si>
  <si>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</si>
  <si>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</si>
  <si>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</si>
  <si>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</si>
  <si>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</si>
  <si>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</si>
  <si>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</si>
  <si>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</si>
  <si>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</si>
  <si>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</si>
  <si>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</si>
  <si>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</si>
  <si>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</si>
  <si>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</si>
  <si>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</si>
  <si>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</si>
  <si>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</si>
  <si>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</si>
  <si>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</si>
  <si>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</si>
  <si>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</si>
  <si>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</si>
  <si>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</si>
  <si>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</si>
  <si>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</si>
  <si>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</si>
  <si>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</si>
  <si>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</si>
  <si>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</si>
  <si>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</si>
  <si>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</si>
  <si>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</si>
  <si>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</si>
  <si>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</si>
  <si>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</si>
  <si>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</si>
  <si>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</si>
  <si>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</si>
  <si>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</si>
  <si>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</si>
  <si>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</si>
  <si>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</si>
  <si>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</si>
  <si>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</si>
  <si>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</si>
  <si>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</si>
  <si>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</si>
  <si>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</si>
  <si>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</si>
  <si>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</si>
  <si>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</si>
  <si>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</si>
  <si>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</si>
  <si>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</si>
  <si>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</si>
  <si>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</si>
  <si>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</si>
  <si>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</si>
  <si>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</si>
  <si>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</si>
  <si>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</si>
  <si>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</si>
  <si>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</si>
  <si>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</si>
  <si>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</si>
  <si>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</si>
  <si>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</si>
  <si>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</si>
  <si>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</si>
  <si>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</si>
  <si>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</si>
  <si>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</si>
  <si>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</si>
  <si>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</si>
  <si>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</si>
  <si>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</si>
  <si>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</si>
  <si>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</si>
  <si>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</si>
  <si>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</si>
  <si>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</si>
  <si>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</si>
  <si>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</si>
  <si>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</si>
  <si>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</si>
  <si>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</si>
  <si>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</si>
  <si>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</si>
  <si>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</si>
  <si>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</si>
  <si>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</si>
  <si>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</si>
  <si>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</si>
  <si>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</si>
  <si>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</si>
  <si>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</si>
  <si>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</si>
  <si>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</si>
  <si>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</si>
  <si>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</si>
  <si>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</si>
  <si>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</si>
  <si>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</si>
  <si>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</si>
  <si>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</si>
  <si>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</si>
  <si>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</si>
  <si>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</si>
  <si>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</si>
  <si>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</si>
  <si>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</si>
  <si>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</si>
  <si>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</si>
  <si>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</si>
  <si>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</si>
  <si>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</si>
  <si>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</si>
  <si>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</si>
  <si>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</si>
  <si>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</si>
  <si>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</si>
  <si>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</si>
  <si>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</si>
  <si>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</si>
  <si>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</si>
  <si>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</si>
  <si>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</si>
  <si>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</si>
  <si>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</si>
  <si>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</si>
  <si>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</si>
  <si>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</si>
  <si>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</si>
  <si>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</si>
  <si>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</si>
  <si>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</si>
  <si>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</si>
  <si>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</si>
  <si>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</si>
  <si>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</si>
  <si>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</si>
  <si>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</si>
  <si>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</si>
  <si>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</si>
  <si>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</si>
  <si>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</si>
  <si>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</si>
  <si>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</si>
  <si>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</si>
  <si>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</si>
  <si>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</si>
  <si>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</si>
  <si>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</si>
  <si>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</si>
  <si>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</si>
  <si>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</si>
  <si>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</si>
  <si>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</si>
  <si>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</si>
  <si>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</si>
  <si>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</si>
  <si>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</si>
  <si>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</si>
  <si>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</si>
  <si>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</si>
  <si>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</si>
  <si>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</si>
  <si>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</si>
  <si>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</si>
  <si>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</si>
  <si>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</si>
  <si>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</si>
  <si>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</si>
  <si>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</si>
  <si>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</si>
  <si>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</si>
  <si>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</si>
  <si>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</si>
  <si>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</si>
  <si>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</si>
  <si>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</si>
  <si>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</si>
  <si>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</si>
  <si>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</si>
  <si>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</si>
  <si>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</si>
  <si>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</si>
  <si>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</si>
  <si>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</si>
  <si>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</si>
  <si>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</si>
  <si>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</si>
  <si>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</si>
  <si>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</si>
  <si>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</si>
  <si>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</si>
  <si>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</si>
  <si>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</si>
  <si>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</si>
  <si>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</si>
  <si>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</si>
  <si>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</si>
  <si>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</si>
  <si>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</si>
  <si>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</si>
  <si>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</si>
  <si>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</si>
  <si>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</si>
  <si>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</si>
  <si>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</si>
  <si>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</si>
  <si>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</si>
  <si>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</si>
  <si>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</si>
  <si>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</si>
  <si>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</si>
  <si>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</si>
  <si>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</si>
  <si>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</si>
  <si>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</si>
  <si>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</si>
  <si>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</si>
  <si>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</si>
  <si>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</si>
  <si>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</si>
  <si>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</si>
  <si>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</si>
  <si>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</si>
  <si>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</si>
  <si>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</si>
  <si>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</si>
  <si>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</si>
  <si>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</si>
  <si>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</si>
  <si>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</si>
  <si>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</si>
  <si>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</si>
  <si>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</si>
  <si>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</si>
  <si>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</si>
  <si>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</si>
  <si>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</si>
  <si>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</si>
  <si>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</si>
  <si>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</si>
  <si>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</si>
  <si>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</si>
  <si>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</si>
  <si>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</si>
  <si>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</si>
  <si>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A0086</t>
  </si>
  <si>
    <t>A0087</t>
  </si>
  <si>
    <t>A0088</t>
  </si>
  <si>
    <t>A0089</t>
  </si>
  <si>
    <t>A0090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</si>
</sst>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6" totalsRowShown="0" headerRowDxfId="75" dataDxfId="73" headerRowBorderDxfId="74" tableBorderDxfId="72" totalsRowBorderDxfId="71">
  <autoFilter ref="A1:Z6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6"/>
  <sheetViews>
    <sheetView tabSelected="1" zoomScale="75" zoomScaleNormal="75" workbookViewId="0">
      <selection activeCell="G4" sqref="G4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7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7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40000005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7" ht="45" x14ac:dyDescent="0.25">
      <c r="A3" s="121">
        <v>2</v>
      </c>
      <c r="B3" s="123" t="s">
        <v>10520</v>
      </c>
      <c r="C3" s="115" t="s">
        <v>7346</v>
      </c>
      <c r="D3" s="123"/>
      <c r="E3" s="123"/>
      <c r="F3" s="123"/>
      <c r="G3" s="124">
        <v>650141</v>
      </c>
      <c r="H3" s="119">
        <v>42125</v>
      </c>
      <c r="I3" s="125">
        <v>2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40000006</v>
      </c>
      <c r="P3" s="115" t="s">
        <v>10501</v>
      </c>
      <c r="Q3" s="119">
        <v>29952</v>
      </c>
      <c r="R3" s="115" t="s">
        <v>7365</v>
      </c>
      <c r="S3" s="115" t="s">
        <v>8668</v>
      </c>
      <c r="T3" s="118">
        <v>20001314</v>
      </c>
      <c r="U3" s="119">
        <v>36794</v>
      </c>
      <c r="V3" s="115">
        <v>6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  <c r="AA3" s="120"/>
    </row>
    <row r="4" spans="1:27" ht="45" x14ac:dyDescent="0.25">
      <c r="A4" s="121">
        <v>3</v>
      </c>
      <c r="B4" s="123" t="s">
        <v>10521</v>
      </c>
      <c r="C4" s="115" t="s">
        <v>7346</v>
      </c>
      <c r="D4" s="123"/>
      <c r="E4" s="123"/>
      <c r="F4" s="123"/>
      <c r="G4" s="124">
        <v>650141</v>
      </c>
      <c r="H4" s="119">
        <v>42125</v>
      </c>
      <c r="I4" s="125">
        <v>2</v>
      </c>
      <c r="J4" s="115" t="s">
        <v>10515</v>
      </c>
      <c r="K4" s="115" t="s">
        <v>10516</v>
      </c>
      <c r="L4" s="115" t="s">
        <v>10517</v>
      </c>
      <c r="M4" s="115" t="s">
        <v>10518</v>
      </c>
      <c r="N4" s="115" t="s">
        <v>10494</v>
      </c>
      <c r="O4" s="115">
        <v>40000007</v>
      </c>
      <c r="P4" s="115" t="s">
        <v>10501</v>
      </c>
      <c r="Q4" s="119">
        <v>29952</v>
      </c>
      <c r="R4" s="115" t="s">
        <v>7365</v>
      </c>
      <c r="S4" s="115" t="s">
        <v>8668</v>
      </c>
      <c r="T4" s="118">
        <v>20001314</v>
      </c>
      <c r="U4" s="119">
        <v>36794</v>
      </c>
      <c r="V4" s="115">
        <v>6</v>
      </c>
      <c r="W4" s="115" t="s">
        <v>7346</v>
      </c>
      <c r="X4" s="122"/>
      <c r="Y4" s="128">
        <f>VLOOKUP(Z4,CHOOSE({2,1},Tabla__192.168.100.130_SQLCOPNIA_COPNIA_ParametrosGenerales[idParametro],Tabla__192.168.100.130_SQLCOPNIA_COPNIA_ParametrosGenerales[Parametro]),2,0)</f>
        <v>1047</v>
      </c>
      <c r="Z4" s="126" t="s">
        <v>10506</v>
      </c>
      <c r="AA4" s="120"/>
    </row>
    <row r="5" spans="1:27" ht="45" x14ac:dyDescent="0.25">
      <c r="A5" s="121">
        <v>4</v>
      </c>
      <c r="B5" s="123" t="s">
        <v>10522</v>
      </c>
      <c r="C5" s="115" t="s">
        <v>7346</v>
      </c>
      <c r="D5" s="123"/>
      <c r="E5" s="123"/>
      <c r="F5" s="123"/>
      <c r="G5" s="124">
        <v>650141</v>
      </c>
      <c r="H5" s="119">
        <v>42125</v>
      </c>
      <c r="I5" s="125">
        <v>2</v>
      </c>
      <c r="J5" s="115" t="s">
        <v>10515</v>
      </c>
      <c r="K5" s="115" t="s">
        <v>10516</v>
      </c>
      <c r="L5" s="115" t="s">
        <v>10517</v>
      </c>
      <c r="M5" s="115" t="s">
        <v>10518</v>
      </c>
      <c r="N5" s="115" t="s">
        <v>10494</v>
      </c>
      <c r="O5" s="115">
        <v>40000008</v>
      </c>
      <c r="P5" s="115" t="s">
        <v>10501</v>
      </c>
      <c r="Q5" s="119">
        <v>29952</v>
      </c>
      <c r="R5" s="115" t="s">
        <v>7365</v>
      </c>
      <c r="S5" s="115" t="s">
        <v>8668</v>
      </c>
      <c r="T5" s="118">
        <v>20001314</v>
      </c>
      <c r="U5" s="119">
        <v>36794</v>
      </c>
      <c r="V5" s="115">
        <v>6</v>
      </c>
      <c r="W5" s="115" t="s">
        <v>7346</v>
      </c>
      <c r="X5" s="122"/>
      <c r="Y5" s="128">
        <f>VLOOKUP(Z5,CHOOSE({2,1},Tabla__192.168.100.130_SQLCOPNIA_COPNIA_ParametrosGenerales[idParametro],Tabla__192.168.100.130_SQLCOPNIA_COPNIA_ParametrosGenerales[Parametro]),2,0)</f>
        <v>1047</v>
      </c>
      <c r="Z5" s="126" t="s">
        <v>10506</v>
      </c>
    </row>
    <row r="6" spans="1:27" ht="45" x14ac:dyDescent="0.25">
      <c r="A6" s="121">
        <v>5</v>
      </c>
      <c r="B6" s="123" t="s">
        <v>10523</v>
      </c>
      <c r="C6" s="115" t="s">
        <v>7346</v>
      </c>
      <c r="D6" s="123"/>
      <c r="E6" s="123"/>
      <c r="F6" s="123"/>
      <c r="G6" s="124">
        <v>650141</v>
      </c>
      <c r="H6" s="119">
        <v>42125</v>
      </c>
      <c r="I6" s="125">
        <v>2</v>
      </c>
      <c r="J6" s="115" t="s">
        <v>10515</v>
      </c>
      <c r="K6" s="115" t="s">
        <v>10516</v>
      </c>
      <c r="L6" s="115" t="s">
        <v>10517</v>
      </c>
      <c r="M6" s="115" t="s">
        <v>10518</v>
      </c>
      <c r="N6" s="115" t="s">
        <v>10494</v>
      </c>
      <c r="O6" s="115">
        <v>40000009</v>
      </c>
      <c r="P6" s="115" t="s">
        <v>10501</v>
      </c>
      <c r="Q6" s="119">
        <v>29952</v>
      </c>
      <c r="R6" s="115" t="s">
        <v>7365</v>
      </c>
      <c r="S6" s="115" t="s">
        <v>8668</v>
      </c>
      <c r="T6" s="118">
        <v>20001314</v>
      </c>
      <c r="U6" s="119">
        <v>36794</v>
      </c>
      <c r="V6" s="115">
        <v>6</v>
      </c>
      <c r="W6" s="115" t="s">
        <v>7346</v>
      </c>
      <c r="X6" s="122"/>
      <c r="Y6" s="128">
        <f>VLOOKUP(Z6,CHOOSE({2,1},Tabla__192.168.100.130_SQLCOPNIA_COPNIA_ParametrosGenerales[idParametro],Tabla__192.168.100.130_SQLCOPNIA_COPNIA_ParametrosGenerales[Parametro]),2,0)</f>
        <v>1047</v>
      </c>
      <c r="Z6" s="126" t="s">
        <v>10506</v>
      </c>
    </row>
  </sheetData>
  <dataValidations count="4">
    <dataValidation type="list" allowBlank="1" showInputMessage="1" showErrorMessage="1" sqref="R2:R6">
      <formula1>PROFESIONES</formula1>
    </dataValidation>
    <dataValidation type="list" allowBlank="1" showInputMessage="1" showErrorMessage="1" sqref="S2:S6">
      <formula1>UNIVERSIDADES</formula1>
    </dataValidation>
    <dataValidation type="list" allowBlank="1" showInputMessage="1" showErrorMessage="1" sqref="Z2:Z6">
      <formula1>HOMOLOGACONSEJO</formula1>
    </dataValidation>
    <dataValidation type="list" allowBlank="1" showInputMessage="1" showErrorMessage="1" sqref="I2:I6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2017-06-08T15:23:04Z</dcterms:modified>
</cp:coreProperties>
</file>