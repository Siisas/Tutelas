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D:\Proyectos\BODEGA COPNIA\Documentos\CargueExcel\"/>
    </mc:Choice>
  </mc:AlternateContent>
  <bookViews>
    <workbookView xWindow="0" yWindow="0" windowWidth="20325" windowHeight="10320"/>
  </bookViews>
  <sheets>
    <sheet name="Cargue" sheetId="2" r:id="rId1"/>
    <sheet name="Tipos" sheetId="9" r:id="rId2"/>
    <sheet name="DimParametrosGenerales" sheetId="8" r:id="rId3"/>
    <sheet name="DimProfesiones" sheetId="6" r:id="rId4"/>
    <sheet name="DimUniverdidades" sheetId="7" r:id="rId5"/>
    <sheet name="Instrucciones de uso" sheetId="10" r:id="rId6"/>
    <sheet name="FUID" sheetId="5" state="hidden" r:id="rId7"/>
    <sheet name="Base de datos" sheetId="4" state="hidden" r:id="rId8"/>
  </sheets>
  <definedNames>
    <definedName name="_192.168.100.120_SQLCOPNIA_DWHCOPNIA_DIMPROFESION" localSheetId="3" hidden="1">DimProfesiones!$A$1:$H$1236</definedName>
    <definedName name="_192.168.100.120_SQLCOPNIA_DWHCOPNIA_DIMUNIVERSIDAD" localSheetId="4" hidden="1">DimUniverdidades!$A$1:$G$1864</definedName>
    <definedName name="_192.168.100.130_SQLCOPNIA_COPNIA_ParametrosGenerales" localSheetId="2" hidden="1">DimParametrosGenerales!$A$1:$B$4</definedName>
    <definedName name="_xlnm._FilterDatabase" localSheetId="7" hidden="1">'Base de datos'!$A$1:$Q$1494</definedName>
    <definedName name="_xlnm._FilterDatabase" localSheetId="0" hidden="1">Cargue!$B$1:$V$2</definedName>
    <definedName name="_xlnm.Print_Area" localSheetId="6">FUID!$A$2:$S$848</definedName>
    <definedName name="HOMOLOGACONSEJO">Tabla__192.168.100.130_SQLCOPNIA_COPNIA_ParametrosGenerales[Parametro]</definedName>
    <definedName name="PROFESIONES" comment="profesiones que registran  COPNIA parra emitir Matricula Profesional en Colombia para ejercer">Tabla__192.168.100.120_SQLCOPNIA_DWHCOPNIA_DIMPROFESION[PFNOMBRE]</definedName>
    <definedName name="TIPO">Tipos!$A$2:$A$5</definedName>
    <definedName name="_xlnm.Print_Titles" localSheetId="7">'Base de datos'!$1:$1</definedName>
    <definedName name="_xlnm.Print_Titles" localSheetId="6">FUID!$8:$8</definedName>
    <definedName name="UNIVERSIDADES" comment="Universidades Que registran profesiones a los cuales COPNIA emite Matricula Profesional">Tabla__192.168.100.120_SQLCOPNIA_DWHCOPNIA_DIMUNIVERSIDAD[UNNOMBRE]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Y2" i="2" l="1"/>
  <c r="Q855" i="5" l="1"/>
  <c r="Q856" i="5" s="1"/>
  <c r="Q857" i="5" s="1"/>
  <c r="Q858" i="5" s="1"/>
  <c r="Q859" i="5" s="1"/>
  <c r="Q860" i="5" s="1"/>
  <c r="Q861" i="5" s="1"/>
  <c r="Q862" i="5" s="1"/>
  <c r="O838" i="5"/>
  <c r="N838" i="5"/>
  <c r="M838" i="5"/>
  <c r="L838" i="5"/>
  <c r="K838" i="5"/>
  <c r="J838" i="5"/>
  <c r="P837" i="5"/>
  <c r="P836" i="5"/>
  <c r="P835" i="5"/>
  <c r="P834" i="5"/>
  <c r="P833" i="5"/>
  <c r="P832" i="5"/>
  <c r="P831" i="5"/>
  <c r="P830" i="5"/>
  <c r="P829" i="5"/>
  <c r="P828" i="5"/>
  <c r="P827" i="5"/>
  <c r="P826" i="5"/>
  <c r="P825" i="5"/>
  <c r="P824" i="5"/>
  <c r="P823" i="5"/>
  <c r="P822" i="5"/>
  <c r="P821" i="5"/>
  <c r="P820" i="5"/>
  <c r="P819" i="5"/>
  <c r="P818" i="5"/>
  <c r="P817" i="5"/>
  <c r="P816" i="5"/>
  <c r="P815" i="5"/>
  <c r="P814" i="5"/>
  <c r="P813" i="5"/>
  <c r="P812" i="5"/>
  <c r="P811" i="5"/>
  <c r="P810" i="5"/>
  <c r="P809" i="5"/>
  <c r="P808" i="5"/>
  <c r="P807" i="5"/>
  <c r="P806" i="5"/>
  <c r="P805" i="5"/>
  <c r="P804" i="5"/>
  <c r="P803" i="5"/>
  <c r="P802" i="5"/>
  <c r="P801" i="5"/>
  <c r="P800" i="5"/>
  <c r="P799" i="5"/>
  <c r="P798" i="5"/>
  <c r="P797" i="5"/>
  <c r="P796" i="5"/>
  <c r="P795" i="5"/>
  <c r="P794" i="5"/>
  <c r="P793" i="5"/>
  <c r="P792" i="5"/>
  <c r="P791" i="5"/>
  <c r="P790" i="5"/>
  <c r="P789" i="5"/>
  <c r="P788" i="5"/>
  <c r="P787" i="5"/>
  <c r="P786" i="5"/>
  <c r="P785" i="5"/>
  <c r="P784" i="5"/>
  <c r="P783" i="5"/>
  <c r="P782" i="5"/>
  <c r="P781" i="5"/>
  <c r="P780" i="5"/>
  <c r="P779" i="5"/>
  <c r="P778" i="5"/>
  <c r="P777" i="5"/>
  <c r="P776" i="5"/>
  <c r="P775" i="5"/>
  <c r="P774" i="5"/>
  <c r="P773" i="5"/>
  <c r="P772" i="5"/>
  <c r="P771" i="5"/>
  <c r="P770" i="5"/>
  <c r="P769" i="5"/>
  <c r="P768" i="5"/>
  <c r="P767" i="5"/>
  <c r="P766" i="5"/>
  <c r="P765" i="5"/>
  <c r="P764" i="5"/>
  <c r="P763" i="5"/>
  <c r="P762" i="5"/>
  <c r="P761" i="5"/>
  <c r="P760" i="5"/>
  <c r="P759" i="5"/>
  <c r="P758" i="5"/>
  <c r="P757" i="5"/>
  <c r="P756" i="5"/>
  <c r="P755" i="5"/>
  <c r="P754" i="5"/>
  <c r="P753" i="5"/>
  <c r="P752" i="5"/>
  <c r="P751" i="5"/>
  <c r="P750" i="5"/>
  <c r="P749" i="5"/>
  <c r="P748" i="5"/>
  <c r="P747" i="5"/>
  <c r="P746" i="5"/>
  <c r="P745" i="5"/>
  <c r="P744" i="5"/>
  <c r="P743" i="5"/>
  <c r="P742" i="5"/>
  <c r="P741" i="5"/>
  <c r="P740" i="5"/>
  <c r="P739" i="5"/>
  <c r="P738" i="5"/>
  <c r="P737" i="5"/>
  <c r="P736" i="5"/>
  <c r="P735" i="5"/>
  <c r="P734" i="5"/>
  <c r="P733" i="5"/>
  <c r="P732" i="5"/>
  <c r="P731" i="5"/>
  <c r="P730" i="5"/>
  <c r="P729" i="5"/>
  <c r="P728" i="5"/>
  <c r="P727" i="5"/>
  <c r="P726" i="5"/>
  <c r="P725" i="5"/>
  <c r="P724" i="5"/>
  <c r="P723" i="5"/>
  <c r="P722" i="5"/>
  <c r="P721" i="5"/>
  <c r="P720" i="5"/>
  <c r="P719" i="5"/>
  <c r="P718" i="5"/>
  <c r="P717" i="5"/>
  <c r="P716" i="5"/>
  <c r="P715" i="5"/>
  <c r="P714" i="5"/>
  <c r="P713" i="5"/>
  <c r="P712" i="5"/>
  <c r="P711" i="5"/>
  <c r="P710" i="5"/>
  <c r="P709" i="5"/>
  <c r="P708" i="5"/>
  <c r="P707" i="5"/>
  <c r="P706" i="5"/>
  <c r="P705" i="5"/>
  <c r="P704" i="5"/>
  <c r="P703" i="5"/>
  <c r="P702" i="5"/>
  <c r="P701" i="5"/>
  <c r="P700" i="5"/>
  <c r="P699" i="5"/>
  <c r="P698" i="5"/>
  <c r="P697" i="5"/>
  <c r="P696" i="5"/>
  <c r="P695" i="5"/>
  <c r="P694" i="5"/>
  <c r="P693" i="5"/>
  <c r="P692" i="5"/>
  <c r="P691" i="5"/>
  <c r="P690" i="5"/>
  <c r="P689" i="5"/>
  <c r="P688" i="5"/>
  <c r="P687" i="5"/>
  <c r="P686" i="5"/>
  <c r="P685" i="5"/>
  <c r="P684" i="5"/>
  <c r="P683" i="5"/>
  <c r="P682" i="5"/>
  <c r="P681" i="5"/>
  <c r="P680" i="5"/>
  <c r="P679" i="5"/>
  <c r="P678" i="5"/>
  <c r="P677" i="5"/>
  <c r="P676" i="5"/>
  <c r="P675" i="5"/>
  <c r="P674" i="5"/>
  <c r="P673" i="5"/>
  <c r="P672" i="5"/>
  <c r="P671" i="5"/>
  <c r="P670" i="5"/>
  <c r="P669" i="5"/>
  <c r="P668" i="5"/>
  <c r="P667" i="5"/>
  <c r="P666" i="5"/>
  <c r="P665" i="5"/>
  <c r="P664" i="5"/>
  <c r="P663" i="5"/>
  <c r="P662" i="5"/>
  <c r="P661" i="5"/>
  <c r="P660" i="5"/>
  <c r="P659" i="5"/>
  <c r="P658" i="5"/>
  <c r="P657" i="5"/>
  <c r="P656" i="5"/>
  <c r="P655" i="5"/>
  <c r="P654" i="5"/>
  <c r="P653" i="5"/>
  <c r="P652" i="5"/>
  <c r="P651" i="5"/>
  <c r="P650" i="5"/>
  <c r="P649" i="5"/>
  <c r="P648" i="5"/>
  <c r="P647" i="5"/>
  <c r="P646" i="5"/>
  <c r="P645" i="5"/>
  <c r="P644" i="5"/>
  <c r="P643" i="5"/>
  <c r="P642" i="5"/>
  <c r="P641" i="5"/>
  <c r="P640" i="5"/>
  <c r="P639" i="5"/>
  <c r="P638" i="5"/>
  <c r="P637" i="5"/>
  <c r="P636" i="5"/>
  <c r="P635" i="5"/>
  <c r="P634" i="5"/>
  <c r="P633" i="5"/>
  <c r="P632" i="5"/>
  <c r="P631" i="5"/>
  <c r="P630" i="5"/>
  <c r="P629" i="5"/>
  <c r="P628" i="5"/>
  <c r="P627" i="5"/>
  <c r="P626" i="5"/>
  <c r="P625" i="5"/>
  <c r="P624" i="5"/>
  <c r="P623" i="5"/>
  <c r="P622" i="5"/>
  <c r="P621" i="5"/>
  <c r="P620" i="5"/>
  <c r="P619" i="5"/>
  <c r="P618" i="5"/>
  <c r="P617" i="5"/>
  <c r="P616" i="5"/>
  <c r="P615" i="5"/>
  <c r="P614" i="5"/>
  <c r="P613" i="5"/>
  <c r="P612" i="5"/>
  <c r="P611" i="5"/>
  <c r="P610" i="5"/>
  <c r="P609" i="5"/>
  <c r="P608" i="5"/>
  <c r="P607" i="5"/>
  <c r="P606" i="5"/>
  <c r="P605" i="5"/>
  <c r="P604" i="5"/>
  <c r="P603" i="5"/>
  <c r="P602" i="5"/>
  <c r="P601" i="5"/>
  <c r="P600" i="5"/>
  <c r="P599" i="5"/>
  <c r="P598" i="5"/>
  <c r="P597" i="5"/>
  <c r="P596" i="5"/>
  <c r="P595" i="5"/>
  <c r="P594" i="5"/>
  <c r="P593" i="5"/>
  <c r="P592" i="5"/>
  <c r="P591" i="5"/>
  <c r="P590" i="5"/>
  <c r="P589" i="5"/>
  <c r="P588" i="5"/>
  <c r="P587" i="5"/>
  <c r="P586" i="5"/>
  <c r="P585" i="5"/>
  <c r="P584" i="5"/>
  <c r="P583" i="5"/>
  <c r="P582" i="5"/>
  <c r="P581" i="5"/>
  <c r="P580" i="5"/>
  <c r="P579" i="5"/>
  <c r="P578" i="5"/>
  <c r="P577" i="5"/>
  <c r="P576" i="5"/>
  <c r="P575" i="5"/>
  <c r="P574" i="5"/>
  <c r="P573" i="5"/>
  <c r="P572" i="5"/>
  <c r="P571" i="5"/>
  <c r="P570" i="5"/>
  <c r="P569" i="5"/>
  <c r="P568" i="5"/>
  <c r="P567" i="5"/>
  <c r="P566" i="5"/>
  <c r="P565" i="5"/>
  <c r="P564" i="5"/>
  <c r="P563" i="5"/>
  <c r="P562" i="5"/>
  <c r="P561" i="5"/>
  <c r="P560" i="5"/>
  <c r="P559" i="5"/>
  <c r="P558" i="5"/>
  <c r="P557" i="5"/>
  <c r="P556" i="5"/>
  <c r="P555" i="5"/>
  <c r="P554" i="5"/>
  <c r="P553" i="5"/>
  <c r="P552" i="5"/>
  <c r="P551" i="5"/>
  <c r="P550" i="5"/>
  <c r="P549" i="5"/>
  <c r="P548" i="5"/>
  <c r="P547" i="5"/>
  <c r="P546" i="5"/>
  <c r="P545" i="5"/>
  <c r="P544" i="5"/>
  <c r="P543" i="5"/>
  <c r="P542" i="5"/>
  <c r="P541" i="5"/>
  <c r="P540" i="5"/>
  <c r="P539" i="5"/>
  <c r="P538" i="5"/>
  <c r="P537" i="5"/>
  <c r="P536" i="5"/>
  <c r="P535" i="5"/>
  <c r="P534" i="5"/>
  <c r="P533" i="5"/>
  <c r="P532" i="5"/>
  <c r="P531" i="5"/>
  <c r="P530" i="5"/>
  <c r="P529" i="5"/>
  <c r="P528" i="5"/>
  <c r="P527" i="5"/>
  <c r="P526" i="5"/>
  <c r="P525" i="5"/>
  <c r="P524" i="5"/>
  <c r="P523" i="5"/>
  <c r="P522" i="5"/>
  <c r="P521" i="5"/>
  <c r="P520" i="5"/>
  <c r="P519" i="5"/>
  <c r="P518" i="5"/>
  <c r="P517" i="5"/>
  <c r="P516" i="5"/>
  <c r="P515" i="5"/>
  <c r="P514" i="5"/>
  <c r="P513" i="5"/>
  <c r="P512" i="5"/>
  <c r="P511" i="5"/>
  <c r="P510" i="5"/>
  <c r="P509" i="5"/>
  <c r="P508" i="5"/>
  <c r="P507" i="5"/>
  <c r="P506" i="5"/>
  <c r="P505" i="5"/>
  <c r="P504" i="5"/>
  <c r="P503" i="5"/>
  <c r="P502" i="5"/>
  <c r="P501" i="5"/>
  <c r="P500" i="5"/>
  <c r="P499" i="5"/>
  <c r="P498" i="5"/>
  <c r="P497" i="5"/>
  <c r="P496" i="5"/>
  <c r="P495" i="5"/>
  <c r="P494" i="5"/>
  <c r="P493" i="5"/>
  <c r="P492" i="5"/>
  <c r="P491" i="5"/>
  <c r="P490" i="5"/>
  <c r="P489" i="5"/>
  <c r="P488" i="5"/>
  <c r="P487" i="5"/>
  <c r="P486" i="5"/>
  <c r="P485" i="5"/>
  <c r="P484" i="5"/>
  <c r="P483" i="5"/>
  <c r="P482" i="5"/>
  <c r="P481" i="5"/>
  <c r="P480" i="5"/>
  <c r="P479" i="5"/>
  <c r="P478" i="5"/>
  <c r="P477" i="5"/>
  <c r="P476" i="5"/>
  <c r="P475" i="5"/>
  <c r="P474" i="5"/>
  <c r="P473" i="5"/>
  <c r="P472" i="5"/>
  <c r="P471" i="5"/>
  <c r="P470" i="5"/>
  <c r="P469" i="5"/>
  <c r="P468" i="5"/>
  <c r="P467" i="5"/>
  <c r="P466" i="5"/>
  <c r="P465" i="5"/>
  <c r="P464" i="5"/>
  <c r="P463" i="5"/>
  <c r="P462" i="5"/>
  <c r="P461" i="5"/>
  <c r="P460" i="5"/>
  <c r="P459" i="5"/>
  <c r="P458" i="5"/>
  <c r="P457" i="5"/>
  <c r="P456" i="5"/>
  <c r="P455" i="5"/>
  <c r="P454" i="5"/>
  <c r="P453" i="5"/>
  <c r="P452" i="5"/>
  <c r="P451" i="5"/>
  <c r="P450" i="5"/>
  <c r="P449" i="5"/>
  <c r="P448" i="5"/>
  <c r="P447" i="5"/>
  <c r="P446" i="5"/>
  <c r="P445" i="5"/>
  <c r="P444" i="5"/>
  <c r="P443" i="5"/>
  <c r="P442" i="5"/>
  <c r="P441" i="5"/>
  <c r="P440" i="5"/>
  <c r="P439" i="5"/>
  <c r="P438" i="5"/>
  <c r="P437" i="5"/>
  <c r="P436" i="5"/>
  <c r="P435" i="5"/>
  <c r="P434" i="5"/>
  <c r="P433" i="5"/>
  <c r="P432" i="5"/>
  <c r="P431" i="5"/>
  <c r="P430" i="5"/>
  <c r="P429" i="5"/>
  <c r="P428" i="5"/>
  <c r="P427" i="5"/>
  <c r="P426" i="5"/>
  <c r="P425" i="5"/>
  <c r="P424" i="5"/>
  <c r="P423" i="5"/>
  <c r="P422" i="5"/>
  <c r="P421" i="5"/>
  <c r="P420" i="5"/>
  <c r="P419" i="5"/>
  <c r="P418" i="5"/>
  <c r="P417" i="5"/>
  <c r="P416" i="5"/>
  <c r="P415" i="5"/>
  <c r="P414" i="5"/>
  <c r="P413" i="5"/>
  <c r="P412" i="5"/>
  <c r="P411" i="5"/>
  <c r="P410" i="5"/>
  <c r="P409" i="5"/>
  <c r="P408" i="5"/>
  <c r="P407" i="5"/>
  <c r="P406" i="5"/>
  <c r="P405" i="5"/>
  <c r="P404" i="5"/>
  <c r="P403" i="5"/>
  <c r="P402" i="5"/>
  <c r="P401" i="5"/>
  <c r="P400" i="5"/>
  <c r="P399" i="5"/>
  <c r="P398" i="5"/>
  <c r="P397" i="5"/>
  <c r="P396" i="5"/>
  <c r="P395" i="5"/>
  <c r="P394" i="5"/>
  <c r="P393" i="5"/>
  <c r="P392" i="5"/>
  <c r="P391" i="5"/>
  <c r="P390" i="5"/>
  <c r="P389" i="5"/>
  <c r="P388" i="5"/>
  <c r="P387" i="5"/>
  <c r="P386" i="5"/>
  <c r="P385" i="5"/>
  <c r="P384" i="5"/>
  <c r="P383" i="5"/>
  <c r="P382" i="5"/>
  <c r="P381" i="5"/>
  <c r="P380" i="5"/>
  <c r="P379" i="5"/>
  <c r="P378" i="5"/>
  <c r="P377" i="5"/>
  <c r="P376" i="5"/>
  <c r="P375" i="5"/>
  <c r="P374" i="5"/>
  <c r="P373" i="5"/>
  <c r="P372" i="5"/>
  <c r="P371" i="5"/>
  <c r="P370" i="5"/>
  <c r="P369" i="5"/>
  <c r="P368" i="5"/>
  <c r="P367" i="5"/>
  <c r="P366" i="5"/>
  <c r="P365" i="5"/>
  <c r="P364" i="5"/>
  <c r="P363" i="5"/>
  <c r="P362" i="5"/>
  <c r="P361" i="5"/>
  <c r="P360" i="5"/>
  <c r="P359" i="5"/>
  <c r="P358" i="5"/>
  <c r="P357" i="5"/>
  <c r="P356" i="5"/>
  <c r="P355" i="5"/>
  <c r="P354" i="5"/>
  <c r="P353" i="5"/>
  <c r="P352" i="5"/>
  <c r="P351" i="5"/>
  <c r="P350" i="5"/>
  <c r="P349" i="5"/>
  <c r="P348" i="5"/>
  <c r="P347" i="5"/>
  <c r="P346" i="5"/>
  <c r="P345" i="5"/>
  <c r="P344" i="5"/>
  <c r="P343" i="5"/>
  <c r="P342" i="5"/>
  <c r="P341" i="5"/>
  <c r="P340" i="5"/>
  <c r="P339" i="5"/>
  <c r="P338" i="5"/>
  <c r="P337" i="5"/>
  <c r="P336" i="5"/>
  <c r="P335" i="5"/>
  <c r="P334" i="5"/>
  <c r="P333" i="5"/>
  <c r="P332" i="5"/>
  <c r="P331" i="5"/>
  <c r="P330" i="5"/>
  <c r="P329" i="5"/>
  <c r="P328" i="5"/>
  <c r="P327" i="5"/>
  <c r="P326" i="5"/>
  <c r="P325" i="5"/>
  <c r="P324" i="5"/>
  <c r="P323" i="5"/>
  <c r="P322" i="5"/>
  <c r="P321" i="5"/>
  <c r="P320" i="5"/>
  <c r="P319" i="5"/>
  <c r="P318" i="5"/>
  <c r="P317" i="5"/>
  <c r="P316" i="5"/>
  <c r="P315" i="5"/>
  <c r="P314" i="5"/>
  <c r="P313" i="5"/>
  <c r="P312" i="5"/>
  <c r="P311" i="5"/>
  <c r="P310" i="5"/>
  <c r="P309" i="5"/>
  <c r="P308" i="5"/>
  <c r="P307" i="5"/>
  <c r="P306" i="5"/>
  <c r="P305" i="5"/>
  <c r="P304" i="5"/>
  <c r="P303" i="5"/>
  <c r="P302" i="5"/>
  <c r="P301" i="5"/>
  <c r="P300" i="5"/>
  <c r="P299" i="5"/>
  <c r="P298" i="5"/>
  <c r="P297" i="5"/>
  <c r="P296" i="5"/>
  <c r="P295" i="5"/>
  <c r="P294" i="5"/>
  <c r="P293" i="5"/>
  <c r="P292" i="5"/>
  <c r="P291" i="5"/>
  <c r="P290" i="5"/>
  <c r="P289" i="5"/>
  <c r="P288" i="5"/>
  <c r="P287" i="5"/>
  <c r="P286" i="5"/>
  <c r="P285" i="5"/>
  <c r="P284" i="5"/>
  <c r="P283" i="5"/>
  <c r="P282" i="5"/>
  <c r="P281" i="5"/>
  <c r="P280" i="5"/>
  <c r="P279" i="5"/>
  <c r="P278" i="5"/>
  <c r="P277" i="5"/>
  <c r="P276" i="5"/>
  <c r="P275" i="5"/>
  <c r="P274" i="5"/>
  <c r="P273" i="5"/>
  <c r="P272" i="5"/>
  <c r="P271" i="5"/>
  <c r="P270" i="5"/>
  <c r="P269" i="5"/>
  <c r="P268" i="5"/>
  <c r="P267" i="5"/>
  <c r="P266" i="5"/>
  <c r="P265" i="5"/>
  <c r="P264" i="5"/>
  <c r="P263" i="5"/>
  <c r="P262" i="5"/>
  <c r="P261" i="5"/>
  <c r="P260" i="5"/>
  <c r="P259" i="5"/>
  <c r="P258" i="5"/>
  <c r="P257" i="5"/>
  <c r="P256" i="5"/>
  <c r="P255" i="5"/>
  <c r="P254" i="5"/>
  <c r="P253" i="5"/>
  <c r="P252" i="5"/>
  <c r="P251" i="5"/>
  <c r="P250" i="5"/>
  <c r="P249" i="5"/>
  <c r="P248" i="5"/>
  <c r="P247" i="5"/>
  <c r="P246" i="5"/>
  <c r="P245" i="5"/>
  <c r="P244" i="5"/>
  <c r="P243" i="5"/>
  <c r="P242" i="5"/>
  <c r="P241" i="5"/>
  <c r="P240" i="5"/>
  <c r="P239" i="5"/>
  <c r="P238" i="5"/>
  <c r="P237" i="5"/>
  <c r="P236" i="5"/>
  <c r="P235" i="5"/>
  <c r="P234" i="5"/>
  <c r="P233" i="5"/>
  <c r="P232" i="5"/>
  <c r="P231" i="5"/>
  <c r="P230" i="5"/>
  <c r="P229" i="5"/>
  <c r="P228" i="5"/>
  <c r="P227" i="5"/>
  <c r="P226" i="5"/>
  <c r="P225" i="5"/>
  <c r="P224" i="5"/>
  <c r="P223" i="5"/>
  <c r="P222" i="5"/>
  <c r="P221" i="5"/>
  <c r="P220" i="5"/>
  <c r="P219" i="5"/>
  <c r="P218" i="5"/>
  <c r="P217" i="5"/>
  <c r="P216" i="5"/>
  <c r="P215" i="5"/>
  <c r="P214" i="5"/>
  <c r="P213" i="5"/>
  <c r="P212" i="5"/>
  <c r="P211" i="5"/>
  <c r="P210" i="5"/>
  <c r="P209" i="5"/>
  <c r="P208" i="5"/>
  <c r="P207" i="5"/>
  <c r="P206" i="5"/>
  <c r="P205" i="5"/>
  <c r="P204" i="5"/>
  <c r="P203" i="5"/>
  <c r="P202" i="5"/>
  <c r="P201" i="5"/>
  <c r="P200" i="5"/>
  <c r="P199" i="5"/>
  <c r="P198" i="5"/>
  <c r="P197" i="5"/>
  <c r="P196" i="5"/>
  <c r="P195" i="5"/>
  <c r="P194" i="5"/>
  <c r="P193" i="5"/>
  <c r="P192" i="5"/>
  <c r="P191" i="5"/>
  <c r="P190" i="5"/>
  <c r="P189" i="5"/>
  <c r="P188" i="5"/>
  <c r="P187" i="5"/>
  <c r="P186" i="5"/>
  <c r="P185" i="5"/>
  <c r="P184" i="5"/>
  <c r="P183" i="5"/>
  <c r="P182" i="5"/>
  <c r="P181" i="5"/>
  <c r="P180" i="5"/>
  <c r="P179" i="5"/>
  <c r="P178" i="5"/>
  <c r="P177" i="5"/>
  <c r="P176" i="5"/>
  <c r="P175" i="5"/>
  <c r="P174" i="5"/>
  <c r="P173" i="5"/>
  <c r="P172" i="5"/>
  <c r="P171" i="5"/>
  <c r="P170" i="5"/>
  <c r="P169" i="5"/>
  <c r="P168" i="5"/>
  <c r="P167" i="5"/>
  <c r="P166" i="5"/>
  <c r="P165" i="5"/>
  <c r="P164" i="5"/>
  <c r="P163" i="5"/>
  <c r="P162" i="5"/>
  <c r="P161" i="5"/>
  <c r="P160" i="5"/>
  <c r="P159" i="5"/>
  <c r="P158" i="5"/>
  <c r="P157" i="5"/>
  <c r="P156" i="5"/>
  <c r="P155" i="5"/>
  <c r="P154" i="5"/>
  <c r="P153" i="5"/>
  <c r="P152" i="5"/>
  <c r="P151" i="5"/>
  <c r="P150" i="5"/>
  <c r="P149" i="5"/>
  <c r="P148" i="5"/>
  <c r="P147" i="5"/>
  <c r="P146" i="5"/>
  <c r="P145" i="5"/>
  <c r="P144" i="5"/>
  <c r="P143" i="5"/>
  <c r="P142" i="5"/>
  <c r="P141" i="5"/>
  <c r="P140" i="5"/>
  <c r="P139" i="5"/>
  <c r="P138" i="5"/>
  <c r="P137" i="5"/>
  <c r="P136" i="5"/>
  <c r="P135" i="5"/>
  <c r="P134" i="5"/>
  <c r="P133" i="5"/>
  <c r="P132" i="5"/>
  <c r="P131" i="5"/>
  <c r="P130" i="5"/>
  <c r="P129" i="5"/>
  <c r="P128" i="5"/>
  <c r="P127" i="5"/>
  <c r="P126" i="5"/>
  <c r="P125" i="5"/>
  <c r="P124" i="5"/>
  <c r="P123" i="5"/>
  <c r="P122" i="5"/>
  <c r="P121" i="5"/>
  <c r="P120" i="5"/>
  <c r="P119" i="5"/>
  <c r="P118" i="5"/>
  <c r="P117" i="5"/>
  <c r="P116" i="5"/>
  <c r="P115" i="5"/>
  <c r="P114" i="5"/>
  <c r="P113" i="5"/>
  <c r="P112" i="5"/>
  <c r="P111" i="5"/>
  <c r="P110" i="5"/>
  <c r="P109" i="5"/>
  <c r="P108" i="5"/>
  <c r="P107" i="5"/>
  <c r="P106" i="5"/>
  <c r="P105" i="5"/>
  <c r="P104" i="5"/>
  <c r="P103" i="5"/>
  <c r="P102" i="5"/>
  <c r="P101" i="5"/>
  <c r="P100" i="5"/>
  <c r="P99" i="5"/>
  <c r="P98" i="5"/>
  <c r="P97" i="5"/>
  <c r="P96" i="5"/>
  <c r="P95" i="5"/>
  <c r="P94" i="5"/>
  <c r="P93" i="5"/>
  <c r="P92" i="5"/>
  <c r="P91" i="5"/>
  <c r="P90" i="5"/>
  <c r="P89" i="5"/>
  <c r="P88" i="5"/>
  <c r="P87" i="5"/>
  <c r="P86" i="5"/>
  <c r="P85" i="5"/>
  <c r="P84" i="5"/>
  <c r="P83" i="5"/>
  <c r="P82" i="5"/>
  <c r="P81" i="5"/>
  <c r="P80" i="5"/>
  <c r="P79" i="5"/>
  <c r="P78" i="5"/>
  <c r="P77" i="5"/>
  <c r="P76" i="5"/>
  <c r="P75" i="5"/>
  <c r="P74" i="5"/>
  <c r="P73" i="5"/>
  <c r="P72" i="5"/>
  <c r="P71" i="5"/>
  <c r="P70" i="5"/>
  <c r="P69" i="5"/>
  <c r="P68" i="5"/>
  <c r="P67" i="5"/>
  <c r="P66" i="5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P44" i="5"/>
  <c r="P43" i="5"/>
  <c r="P42" i="5"/>
  <c r="P41" i="5"/>
  <c r="P40" i="5"/>
  <c r="P39" i="5"/>
  <c r="P38" i="5"/>
  <c r="P37" i="5"/>
  <c r="P36" i="5"/>
  <c r="P35" i="5"/>
  <c r="P34" i="5"/>
  <c r="P33" i="5"/>
  <c r="P32" i="5"/>
  <c r="P31" i="5"/>
  <c r="P30" i="5"/>
  <c r="P29" i="5"/>
  <c r="P28" i="5"/>
  <c r="P27" i="5"/>
  <c r="P26" i="5"/>
  <c r="P25" i="5"/>
  <c r="P24" i="5"/>
  <c r="P23" i="5"/>
  <c r="P22" i="5"/>
  <c r="P21" i="5"/>
  <c r="P20" i="5"/>
  <c r="P19" i="5"/>
  <c r="P18" i="5"/>
  <c r="P17" i="5"/>
  <c r="P16" i="5"/>
  <c r="P15" i="5"/>
  <c r="P14" i="5"/>
  <c r="P13" i="5"/>
  <c r="P12" i="5"/>
  <c r="P11" i="5"/>
  <c r="P10" i="5"/>
  <c r="P9" i="5"/>
  <c r="C4" i="5"/>
  <c r="L1513" i="4"/>
  <c r="I1504" i="4"/>
  <c r="P838" i="5" l="1"/>
</calcChain>
</file>

<file path=xl/comments1.xml><?xml version="1.0" encoding="utf-8"?>
<comments xmlns="http://schemas.openxmlformats.org/spreadsheetml/2006/main">
  <authors>
    <author>Andres</author>
    <author>Andres C</author>
  </authors>
  <commentList>
    <comment ref="J8" authorId="0" shapeId="0">
      <text>
        <r>
          <rPr>
            <b/>
            <sz val="10"/>
            <color indexed="81"/>
            <rFont val="Tahoma"/>
            <family val="2"/>
          </rPr>
          <t>Carpeta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K8" authorId="0" shapeId="0">
      <text>
        <r>
          <rPr>
            <b/>
            <sz val="10"/>
            <color indexed="81"/>
            <rFont val="Tahoma"/>
            <family val="2"/>
          </rPr>
          <t>Carpeta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L8" authorId="0" shapeId="0">
      <text>
        <r>
          <rPr>
            <b/>
            <sz val="10"/>
            <color indexed="81"/>
            <rFont val="Tahoma"/>
            <family val="2"/>
          </rPr>
          <t>Folder AZ</t>
        </r>
      </text>
    </comment>
    <comment ref="M8" authorId="0" shapeId="0">
      <text>
        <r>
          <rPr>
            <b/>
            <sz val="10"/>
            <color indexed="81"/>
            <rFont val="Tahoma"/>
            <family val="2"/>
          </rPr>
          <t>Empastado o Tapas Azules</t>
        </r>
      </text>
    </comment>
    <comment ref="N8" authorId="0" shapeId="0">
      <text>
        <r>
          <rPr>
            <b/>
            <sz val="10"/>
            <color indexed="81"/>
            <rFont val="Tahoma"/>
            <family val="2"/>
          </rPr>
          <t>Caja o Documentos Sueltos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O8" authorId="0" shapeId="0">
      <text>
        <r>
          <rPr>
            <b/>
            <sz val="10"/>
            <color indexed="81"/>
            <rFont val="Tahoma"/>
            <family val="2"/>
          </rPr>
          <t>Medio Técnico (CD / DVD /Bluray /Memoria / Microfilm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F845" authorId="1" shapeId="0">
      <text>
        <r>
          <rPr>
            <b/>
            <sz val="9"/>
            <color indexed="81"/>
            <rFont val="Tahoma"/>
            <family val="2"/>
          </rPr>
          <t>Andres C:</t>
        </r>
        <r>
          <rPr>
            <sz val="9"/>
            <color indexed="81"/>
            <rFont val="Tahoma"/>
            <family val="2"/>
          </rPr>
          <t xml:space="preserve">
FAVOR BORRAR ESTE TEXTO SI NO SE CONOCE QUIEN VA A REALIZAR LA RECEPCIÓN</t>
        </r>
      </text>
    </comment>
  </commentList>
</comments>
</file>

<file path=xl/connections.xml><?xml version="1.0" encoding="utf-8"?>
<connections xmlns="http://schemas.openxmlformats.org/spreadsheetml/2006/main">
  <connection id="1" odcFile="C:\Users\FREDYAST\Documents\Mis archivos de origen de datos\192.168.100.120_SQLCOPNIA DWHCOPNIA DIMPROFESION.odc" keepAlive="1" name="192.168.100.120_SQLCOPNIA DWHCOPNIA DIMPROFESION" description="Dimension Profesion" type="5" refreshedVersion="5" background="1" saveData="1">
    <dbPr connection="Provider=SQLOLEDB.1;Persist Security Info=True;User ID=sa;Initial Catalog=DWHCOPNIA;Data Source=192.168.100.120\SQLCOPNIA;Use Procedure for Prepare=1;Auto Translate=True;Packet Size=4096;Workstation ID=DESKTOP-14RGKV7;Use Encryption for Data=False;Tag with column collation when possible=False" command="&quot;DWHCOPNIA&quot;.&quot;dwh&quot;.&quot;DIMPROFESION&quot;" commandType="3"/>
  </connection>
  <connection id="2" odcFile="C:\Users\FREDYAST\Documents\Mis archivos de origen de datos\192.168.100.120_SQLCOPNIA DWHCOPNIA DIMUNIVERSIDAD.odc" keepAlive="1" name="192.168.100.120_SQLCOPNIA DWHCOPNIA DIMUNIVERSIDAD" description="Dimension Universidades" type="5" refreshedVersion="5" background="1" saveData="1">
    <dbPr connection="Provider=SQLOLEDB.1;Persist Security Info=True;User ID=sa;Initial Catalog=DWHCOPNIA;Data Source=192.168.100.120\SQLCOPNIA;Use Procedure for Prepare=1;Auto Translate=True;Packet Size=4096;Workstation ID=DESKTOP-14RGKV7;Use Encryption for Data=False;Tag with column collation when possible=False" command="&quot;DWHCOPNIA&quot;.&quot;dwh&quot;.&quot;DIMUNIVERSIDAD&quot;" commandType="3"/>
  </connection>
  <connection id="3" keepAlive="1" name="192.168.100.130_SQLCOPNIA COPNIA ParametrosGenerales" type="5" refreshedVersion="5" savePassword="1" background="1" saveData="1">
    <dbPr connection="Provider=SQLOLEDB.1;Password=bisa$$b2015;Persist Security Info=True;User ID=sa;Initial Catalog=COPNIA;Data Source=192.168.100.130\SQLCOPNIA;Use Procedure for Prepare=1;Auto Translate=True;Packet Size=4096;Workstation ID=FREDDYSARMIENTO;Use Encryption for Data=False;Tag with column collation when possible=False" command="select [idParametro],[Parametro] from [dbo].[ParametrosGenerales] where [idTipoParametro] = 1045"/>
  </connection>
</connections>
</file>

<file path=xl/sharedStrings.xml><?xml version="1.0" encoding="utf-8"?>
<sst xmlns="http://schemas.openxmlformats.org/spreadsheetml/2006/main" count="28538" uniqueCount="10520">
  <si>
    <t>MATRICULA</t>
  </si>
  <si>
    <t>SECCIONAL</t>
  </si>
  <si>
    <t>RESOLUCION SECCIONAL</t>
  </si>
  <si>
    <t>FECHA RES.SECCIONAL</t>
  </si>
  <si>
    <t>RESOLUCION NACIONAL</t>
  </si>
  <si>
    <t>FECHA RES NACIONAL</t>
  </si>
  <si>
    <t>APELLIDOS</t>
  </si>
  <si>
    <t xml:space="preserve">NOMBRE </t>
  </si>
  <si>
    <t>TI</t>
  </si>
  <si>
    <t>ID</t>
  </si>
  <si>
    <t>PROFESION</t>
  </si>
  <si>
    <t>UNIVERSIDAD</t>
  </si>
  <si>
    <t>ACTA GRADO</t>
  </si>
  <si>
    <t>FECHA GRADO</t>
  </si>
  <si>
    <t>TIPO</t>
  </si>
  <si>
    <t xml:space="preserve">ANT  </t>
  </si>
  <si>
    <t>1992-04-14 00:00:00.000</t>
  </si>
  <si>
    <t>1992-06-10 00:00:00.000</t>
  </si>
  <si>
    <t xml:space="preserve">C  </t>
  </si>
  <si>
    <t>TECNICO PROFESIONAL EN DELINEANTE DE ARQUITECTURA E INGENIERIA</t>
  </si>
  <si>
    <t>CORPORACION ACADEMIA SUPERIOR DE ARTES</t>
  </si>
  <si>
    <t>NULL</t>
  </si>
  <si>
    <t xml:space="preserve">Tecnólogos                    </t>
  </si>
  <si>
    <t>1992-08-05 00:00:00.000</t>
  </si>
  <si>
    <t>1992-09-17 00:00:00.000</t>
  </si>
  <si>
    <t xml:space="preserve">LUZ MARINA                                        </t>
  </si>
  <si>
    <t>TECNICO DELINEANTE DE ARQUITECTURA E INGENIERIA</t>
  </si>
  <si>
    <t>CORPORACION EDUCATIVA INSTITUTO TECNICO SUPERIOR DE ARTES</t>
  </si>
  <si>
    <t>1992-09-02 00:00:00.000</t>
  </si>
  <si>
    <t>1992-11-19 00:00:00.000</t>
  </si>
  <si>
    <t>TECNICO PROFESIONAL INTERMEDIO EN DELINEANTE DE ARQUITECTURA E INGENIERIA</t>
  </si>
  <si>
    <t>1992-10-29 00:00:00.000</t>
  </si>
  <si>
    <t>1992-12-09 00:00:00.000</t>
  </si>
  <si>
    <t>1993-03-18 00:00:00.000</t>
  </si>
  <si>
    <t>INSTITUCION UNIVERSITARIA COLEGIO MAYOR DE ANTIOQUIA</t>
  </si>
  <si>
    <t xml:space="preserve">MARIA ELENA                                       </t>
  </si>
  <si>
    <t>1993-04-12 00:00:00.000</t>
  </si>
  <si>
    <t>1993-05-15 00:00:00.000</t>
  </si>
  <si>
    <t xml:space="preserve">PATRICIA DEL ROSARIO                              </t>
  </si>
  <si>
    <t>1993-05-26 00:00:00.000</t>
  </si>
  <si>
    <t>1993-08-19 00:00:00.000</t>
  </si>
  <si>
    <t>TECNOLOGO EN DIBUJO ARQUITECTONICO Y DE INGENIERIA</t>
  </si>
  <si>
    <t>1993-09-21 00:00:00.000</t>
  </si>
  <si>
    <t>1993-09-06 00:00:00.000</t>
  </si>
  <si>
    <t>1993-12-16 00:00:00.000</t>
  </si>
  <si>
    <t xml:space="preserve">ANGELA MARIA                                      </t>
  </si>
  <si>
    <t xml:space="preserve">LUZ ADRIANA                                       </t>
  </si>
  <si>
    <t xml:space="preserve">MARTHA CECILIA                                    </t>
  </si>
  <si>
    <t xml:space="preserve">ANA MARIA                                         </t>
  </si>
  <si>
    <t xml:space="preserve">LUIS FERNANDO                                     </t>
  </si>
  <si>
    <t>TECNOLOGO EN DELINEANTE DE ARQUITECTURA E INGENIERIA</t>
  </si>
  <si>
    <t>1993-11-04 00:00:00.000</t>
  </si>
  <si>
    <t xml:space="preserve">ADRIANA MARIA                                     </t>
  </si>
  <si>
    <t xml:space="preserve">GLORIA MARIA                                      </t>
  </si>
  <si>
    <t xml:space="preserve">MARTHA LUCIA                                      </t>
  </si>
  <si>
    <t xml:space="preserve">JUAN CARLOS                                       </t>
  </si>
  <si>
    <t>1993-12-15 00:00:00.000</t>
  </si>
  <si>
    <t>1994-03-17 00:00:00.000</t>
  </si>
  <si>
    <t>1994-01-31 00:00:00.000</t>
  </si>
  <si>
    <t>1994-03-14 00:00:00.000</t>
  </si>
  <si>
    <t>1994-04-21 00:00:00.000</t>
  </si>
  <si>
    <t>ACADEMIA SUPERIOR DE ARTES DE MEDELLIN</t>
  </si>
  <si>
    <t xml:space="preserve">MARGARITA MARIA                                   </t>
  </si>
  <si>
    <t>1994-04-11 00:00:00.000</t>
  </si>
  <si>
    <t>1994-05-19 00:00:00.000</t>
  </si>
  <si>
    <t>1994-06-01 00:00:00.000</t>
  </si>
  <si>
    <t>1994-07-21 00:00:00.000</t>
  </si>
  <si>
    <t xml:space="preserve">ALVARO                                            </t>
  </si>
  <si>
    <t xml:space="preserve">LUIS ALBERTO                                      </t>
  </si>
  <si>
    <t>1994-09-01 00:00:00.000</t>
  </si>
  <si>
    <t>1994-09-29 00:00:00.000</t>
  </si>
  <si>
    <t xml:space="preserve">ALBA PATRICIA                                     </t>
  </si>
  <si>
    <t>1994-11-29 00:00:00.000</t>
  </si>
  <si>
    <t>1994-12-15 00:00:00.000</t>
  </si>
  <si>
    <t>1994-12-12 00:00:00.000</t>
  </si>
  <si>
    <t>1995-02-16 00:00:00.000</t>
  </si>
  <si>
    <t>1995-07-27 00:00:00.000</t>
  </si>
  <si>
    <t>1995-11-16 00:00:00.000</t>
  </si>
  <si>
    <t>1996-01-25 00:00:00.000</t>
  </si>
  <si>
    <t>TECNOLOGO DELINEANTE DE ARQUITECTURA E INGENIERIA</t>
  </si>
  <si>
    <t xml:space="preserve">ISABEL CRISTINA                                   </t>
  </si>
  <si>
    <t xml:space="preserve">SANDRA ISABEL                                     </t>
  </si>
  <si>
    <t xml:space="preserve">SANDRA MARIA                                      </t>
  </si>
  <si>
    <t>1995-04-04 00:00:00.000</t>
  </si>
  <si>
    <t>1995-05-18 00:00:00.000</t>
  </si>
  <si>
    <t xml:space="preserve">TERESITA DE JESUS                                 </t>
  </si>
  <si>
    <t>1995-05-31 00:00:00.000</t>
  </si>
  <si>
    <t>1995-06-15 00:00:00.000</t>
  </si>
  <si>
    <t>COLEGIO MAYOR DE ANTIOQUIA</t>
  </si>
  <si>
    <t>1996-03-21 00:00:00.000</t>
  </si>
  <si>
    <t>1995-12-05 00:00:00.000</t>
  </si>
  <si>
    <t xml:space="preserve">OSCAR ALBERTO                                     </t>
  </si>
  <si>
    <t xml:space="preserve">CLAUDIA PATRICIA                                  </t>
  </si>
  <si>
    <t>1996-04-30 00:00:00.000</t>
  </si>
  <si>
    <t>1996-05-16 00:00:00.000</t>
  </si>
  <si>
    <t xml:space="preserve">PAULA ANDREA                                      </t>
  </si>
  <si>
    <t>2007-07-09 00:00:00.000</t>
  </si>
  <si>
    <t>2007-07-19 00:00:00.000</t>
  </si>
  <si>
    <t>2001-07-06 00:00:00.000</t>
  </si>
  <si>
    <t>1996-11-01 00:00:00.000</t>
  </si>
  <si>
    <t>1996-11-25 00:00:00.000</t>
  </si>
  <si>
    <t>2007-11-07 00:00:00.000</t>
  </si>
  <si>
    <t>2007-11-29 00:00:00.000</t>
  </si>
  <si>
    <t>1998-07-10 00:00:00.000</t>
  </si>
  <si>
    <t>1996-12-20 00:00:00.000</t>
  </si>
  <si>
    <t>1997-01-29 00:00:00.000</t>
  </si>
  <si>
    <t>1997-02-11 00:00:00.000</t>
  </si>
  <si>
    <t>1997-03-19 00:00:00.000</t>
  </si>
  <si>
    <t xml:space="preserve">MONICA MARIA                                      </t>
  </si>
  <si>
    <t>1997-02-26 00:00:00.000</t>
  </si>
  <si>
    <t>1997-06-16 00:00:00.000</t>
  </si>
  <si>
    <t>1997-07-24 00:00:00.000</t>
  </si>
  <si>
    <t xml:space="preserve">PINEDA CORREA                                     </t>
  </si>
  <si>
    <t xml:space="preserve">LEX FRANCISCO                                     </t>
  </si>
  <si>
    <t>1997-09-01 00:00:00.000</t>
  </si>
  <si>
    <t>1997-09-15 00:00:00.000</t>
  </si>
  <si>
    <t xml:space="preserve">POSADA POSADA                                     </t>
  </si>
  <si>
    <t xml:space="preserve">MARIA EUGENIA                                     </t>
  </si>
  <si>
    <t>1997-12-12 00:00:00.000</t>
  </si>
  <si>
    <t>1997-12-19 00:00:00.000</t>
  </si>
  <si>
    <t xml:space="preserve">VANEGAS VELASQUEZ                                 </t>
  </si>
  <si>
    <t xml:space="preserve">CLAUDIA MARCELA                                   </t>
  </si>
  <si>
    <t xml:space="preserve">BECERRA SERNA                                     </t>
  </si>
  <si>
    <t xml:space="preserve">OSWALTH JAIRTHON                                  </t>
  </si>
  <si>
    <t>1998-11-05 00:00:00.000</t>
  </si>
  <si>
    <t>1998-11-23 00:00:00.000</t>
  </si>
  <si>
    <t xml:space="preserve">ECHEVERRI GAVIRIA                                 </t>
  </si>
  <si>
    <t xml:space="preserve">LAURA MARIA                                       </t>
  </si>
  <si>
    <t xml:space="preserve">MAZO OCHOA                                        </t>
  </si>
  <si>
    <t xml:space="preserve">FLOR MARIA                                        </t>
  </si>
  <si>
    <t xml:space="preserve">TOBON SANCHEZ                                     </t>
  </si>
  <si>
    <t xml:space="preserve">LILIAN                                            </t>
  </si>
  <si>
    <t>2009-03-05 00:00:00.000</t>
  </si>
  <si>
    <t>2009-03-26 00:00:00.000</t>
  </si>
  <si>
    <t xml:space="preserve">VIVARES ARIAS                                     </t>
  </si>
  <si>
    <t xml:space="preserve">CARLOS MARIO                                      </t>
  </si>
  <si>
    <t>1999-07-09 00:00:00.000</t>
  </si>
  <si>
    <t>2009-07-09 00:00:00.000</t>
  </si>
  <si>
    <t>2009-07-16 00:00:00.000</t>
  </si>
  <si>
    <t xml:space="preserve">CUESTA GARCIA                                     </t>
  </si>
  <si>
    <t xml:space="preserve">YAZUHAKIN ERNESTO                                 </t>
  </si>
  <si>
    <t>2010-06-10 00:00:00.000</t>
  </si>
  <si>
    <t>2010-06-16 00:00:00.000</t>
  </si>
  <si>
    <t xml:space="preserve">BOLIVAR GALEANO                                   </t>
  </si>
  <si>
    <t xml:space="preserve">ANA CRISTINA                                      </t>
  </si>
  <si>
    <t>2010-07-08 00:00:00.000</t>
  </si>
  <si>
    <t>2010-07-15 00:00:00.000</t>
  </si>
  <si>
    <t xml:space="preserve">LUJAN ESCOBAR                                     </t>
  </si>
  <si>
    <t xml:space="preserve">DAVID FERNANDO                                    </t>
  </si>
  <si>
    <t>1994-07-22 00:00:00.000</t>
  </si>
  <si>
    <t>2011-05-03 00:00:00.000</t>
  </si>
  <si>
    <t>2011-05-19 00:00:00.000</t>
  </si>
  <si>
    <t xml:space="preserve">OSPINA GUTIERREZ                                  </t>
  </si>
  <si>
    <t xml:space="preserve">MARIA MARGARITA                                   </t>
  </si>
  <si>
    <t>1988-06-24 00:00:00.000</t>
  </si>
  <si>
    <t>2011-06-02 00:00:00.000</t>
  </si>
  <si>
    <t>2011-06-16 00:00:00.000</t>
  </si>
  <si>
    <t xml:space="preserve">PINEDA MONTOYA                                    </t>
  </si>
  <si>
    <t xml:space="preserve">JUAN ESTEBAN                                      </t>
  </si>
  <si>
    <t>2003-07-11 00:00:00.000</t>
  </si>
  <si>
    <t>2012-03-01 00:00:00.000</t>
  </si>
  <si>
    <t>2012-03-13 00:00:00.000</t>
  </si>
  <si>
    <t>2002-07-02 00:00:00.000</t>
  </si>
  <si>
    <t>2012-05-03 00:00:00.000</t>
  </si>
  <si>
    <t>2012-05-17 00:00:00.000</t>
  </si>
  <si>
    <t>2012-08-02 00:00:00.000</t>
  </si>
  <si>
    <t>2012-08-16 00:00:00.000</t>
  </si>
  <si>
    <t>1989-07-28 00:00:00.000</t>
  </si>
  <si>
    <t>1990-06-29 00:00:00.000</t>
  </si>
  <si>
    <t>2013-09-11 00:00:00.000</t>
  </si>
  <si>
    <t>2013-09-19 00:00:00.000</t>
  </si>
  <si>
    <t xml:space="preserve">PEREZ ORTIZ                                       </t>
  </si>
  <si>
    <t xml:space="preserve">JUAN DANIEL                                       </t>
  </si>
  <si>
    <t>2000-12-15 00:00:00.000</t>
  </si>
  <si>
    <t>2013-10-24 00:00:00.000</t>
  </si>
  <si>
    <t>2013-11-07 00:00:00.000</t>
  </si>
  <si>
    <t>2001-12-14 00:00:00.000</t>
  </si>
  <si>
    <t>2013-11-21 00:00:00.000</t>
  </si>
  <si>
    <t>TECNOLOGA DELINEANTE DE ARQUITECTURA E INGENIERIA</t>
  </si>
  <si>
    <t>2014-01-23 00:00:00.000</t>
  </si>
  <si>
    <t>2014-02-07 00:00:00.000</t>
  </si>
  <si>
    <t xml:space="preserve">FLOREZ MARTINEZ                                   </t>
  </si>
  <si>
    <t>2014-02-06 00:00:00.000</t>
  </si>
  <si>
    <t>2014-02-20 00:00:00.000</t>
  </si>
  <si>
    <t xml:space="preserve">VELEZ BRAVO                                       </t>
  </si>
  <si>
    <t>DIBUJANTE DE ARQUITECTURA</t>
  </si>
  <si>
    <t>DELINEANTE DE ARQUITECTURA</t>
  </si>
  <si>
    <t>2010-03-04 00:00:00.000</t>
  </si>
  <si>
    <t>2010-03-18 00:00:00.000</t>
  </si>
  <si>
    <t xml:space="preserve">ZAPATA RIOS                                       </t>
  </si>
  <si>
    <t xml:space="preserve">ANDRES FELIPE                                     </t>
  </si>
  <si>
    <t>2005-07-08 00:00:00.000</t>
  </si>
  <si>
    <t xml:space="preserve">CUESTA SERNA                                      </t>
  </si>
  <si>
    <t xml:space="preserve">AURLIN                                            </t>
  </si>
  <si>
    <t>2010-08-05 00:00:00.000</t>
  </si>
  <si>
    <t>2010-08-20 00:00:00.000</t>
  </si>
  <si>
    <t xml:space="preserve">AGUIRRE SALAZAR                                   </t>
  </si>
  <si>
    <t>2005-12-16 00:00:00.000</t>
  </si>
  <si>
    <t xml:space="preserve">MARIN SANCHEZ                                     </t>
  </si>
  <si>
    <t xml:space="preserve">YONI                                              </t>
  </si>
  <si>
    <t>2009-08-28 00:00:00.000</t>
  </si>
  <si>
    <t>2010-10-05 00:00:00.000</t>
  </si>
  <si>
    <t>2010-10-21 00:00:00.000</t>
  </si>
  <si>
    <t xml:space="preserve">SANCHEZ RAMIREZ                                   </t>
  </si>
  <si>
    <t xml:space="preserve">NORMAN ALEXANDER                                  </t>
  </si>
  <si>
    <t>2010-02-26 00:00:00.000</t>
  </si>
  <si>
    <t>2010-12-02 00:00:00.000</t>
  </si>
  <si>
    <t>2010-12-16 00:00:00.000</t>
  </si>
  <si>
    <t xml:space="preserve">URIBE MARTINEZ                                    </t>
  </si>
  <si>
    <t xml:space="preserve">MONICA ANDREA                                     </t>
  </si>
  <si>
    <t xml:space="preserve">REBOLLEDO JIMENEZ                                 </t>
  </si>
  <si>
    <t xml:space="preserve">KATERINE                                          </t>
  </si>
  <si>
    <t>2008-12-19 00:00:00.000</t>
  </si>
  <si>
    <t xml:space="preserve">DUNCAN SOGAMOSO                                   </t>
  </si>
  <si>
    <t xml:space="preserve">FRIEDREICH NIKOLAI                                </t>
  </si>
  <si>
    <t>2011-12-01 00:00:00.000</t>
  </si>
  <si>
    <t>2011-12-15 00:00:00.000</t>
  </si>
  <si>
    <t xml:space="preserve">MORALES MARIN                                     </t>
  </si>
  <si>
    <t xml:space="preserve">ALBEIRO                                           </t>
  </si>
  <si>
    <t>2012-04-17 00:00:00.000</t>
  </si>
  <si>
    <t>2012-04-24 00:00:00.000</t>
  </si>
  <si>
    <t xml:space="preserve">GOMEZ CASTAÑO                                     </t>
  </si>
  <si>
    <t xml:space="preserve">ESTEFANIA                                         </t>
  </si>
  <si>
    <t>2012-02-17 00:00:00.000</t>
  </si>
  <si>
    <t>2012-10-04 00:00:00.000</t>
  </si>
  <si>
    <t>2012-10-18 00:00:00.000</t>
  </si>
  <si>
    <t xml:space="preserve">MORENO ROJAS                                      </t>
  </si>
  <si>
    <t xml:space="preserve">CHARLES ANDRE                                     </t>
  </si>
  <si>
    <t>2011-02-18 00:00:00.000</t>
  </si>
  <si>
    <t>2012-12-18 00:00:00.000</t>
  </si>
  <si>
    <t>2012-12-28 00:00:00.000</t>
  </si>
  <si>
    <t xml:space="preserve">VELEZ CASTAÑEDA                                   </t>
  </si>
  <si>
    <t xml:space="preserve">JASON STEPHEN                                     </t>
  </si>
  <si>
    <t>2007-12-21 00:00:00.000</t>
  </si>
  <si>
    <t>2013-03-20 00:00:00.000</t>
  </si>
  <si>
    <t>2013-04-08 00:00:00.000</t>
  </si>
  <si>
    <t xml:space="preserve">GUTIERREZ TAMAYO                                  </t>
  </si>
  <si>
    <t>TECNOLOGA EN DELINEANTE DE ARQUITECTURA E INGENIERIA</t>
  </si>
  <si>
    <t>2013-02-15 00:00:00.000</t>
  </si>
  <si>
    <t>2013-05-02 00:00:00.000</t>
  </si>
  <si>
    <t>2013-05-16 00:00:00.000</t>
  </si>
  <si>
    <t xml:space="preserve">LAINEZ LOPEZ                                      </t>
  </si>
  <si>
    <t xml:space="preserve">JULIANA                                           </t>
  </si>
  <si>
    <t xml:space="preserve">GUTIERREZ LOPEZ                                   </t>
  </si>
  <si>
    <t xml:space="preserve">NANCY YULIETH                                     </t>
  </si>
  <si>
    <t>2012-08-17 00:00:00.000</t>
  </si>
  <si>
    <t>2013-10-03 00:00:00.000</t>
  </si>
  <si>
    <t>2013-10-15 00:00:00.000</t>
  </si>
  <si>
    <t xml:space="preserve">MESA ESPINOSA                                     </t>
  </si>
  <si>
    <t xml:space="preserve">JUAN CAMILO                                       </t>
  </si>
  <si>
    <t>2007-07-27 00:00:00.000</t>
  </si>
  <si>
    <t xml:space="preserve">MARULANDA RIOS                                    </t>
  </si>
  <si>
    <t xml:space="preserve">JESUS DAVID                                       </t>
  </si>
  <si>
    <t xml:space="preserve">PATIÑO PATIÑO                                     </t>
  </si>
  <si>
    <t xml:space="preserve">EDIE HUMBERTO                                     </t>
  </si>
  <si>
    <t>2014-03-06 00:00:00.000</t>
  </si>
  <si>
    <t xml:space="preserve">QUINTERO LOPEZ                                    </t>
  </si>
  <si>
    <t>2013-08-16 00:00:00.000</t>
  </si>
  <si>
    <t>2014-03-20 00:00:00.000</t>
  </si>
  <si>
    <t>2014-04-03 00:00:00.000</t>
  </si>
  <si>
    <t xml:space="preserve">MUNERA TOBON                                      </t>
  </si>
  <si>
    <t xml:space="preserve">RUTH ESTELLA                                      </t>
  </si>
  <si>
    <t>2014-04-22 00:00:00.000</t>
  </si>
  <si>
    <t xml:space="preserve">CORREA                                            </t>
  </si>
  <si>
    <t xml:space="preserve">CAMILO ANDRES                                     </t>
  </si>
  <si>
    <t>2013-12-19 00:00:00.000</t>
  </si>
  <si>
    <t>1995-10-19 00:00:00.000</t>
  </si>
  <si>
    <t xml:space="preserve">URREA GARCIA                                      </t>
  </si>
  <si>
    <t xml:space="preserve">ANDRES FERNANDO                                   </t>
  </si>
  <si>
    <t>TECNOLOGO EN TECNICAS DE DESARROLLO GRAFICO DE PROYECTOS DE CONSTRUCCION</t>
  </si>
  <si>
    <t>SERVICIO NACIONAL DE APRENDIZAJE SENA</t>
  </si>
  <si>
    <t>2012-10-01 00:00:00.000</t>
  </si>
  <si>
    <t xml:space="preserve">PEREZ TORRES                                      </t>
  </si>
  <si>
    <t xml:space="preserve">FONSECA CASTELBLANCO                              </t>
  </si>
  <si>
    <t xml:space="preserve">JOSE CRISTOBAL                                    </t>
  </si>
  <si>
    <t>2013-05-28 00:00:00.000</t>
  </si>
  <si>
    <t xml:space="preserve">QUINTERO MARIN                                    </t>
  </si>
  <si>
    <t xml:space="preserve">PAULA YERALDIN                                    </t>
  </si>
  <si>
    <t xml:space="preserve">CARDENAS QUIROZ                                   </t>
  </si>
  <si>
    <t>2011-12-20 00:00:00.000</t>
  </si>
  <si>
    <t xml:space="preserve">BOTERO ALVAREZ                                    </t>
  </si>
  <si>
    <t xml:space="preserve">ALVARO URIEL                                      </t>
  </si>
  <si>
    <t xml:space="preserve">CASTAÑO TRUJILLO                                  </t>
  </si>
  <si>
    <t>2012-10-22 00:00:00.000</t>
  </si>
  <si>
    <t xml:space="preserve">JIMENEZ AGUILAR                                   </t>
  </si>
  <si>
    <t xml:space="preserve">JAIME ALEXANDER                                   </t>
  </si>
  <si>
    <t>2012-10-08 00:00:00.000</t>
  </si>
  <si>
    <t xml:space="preserve">CASTAÑO ARIAS                                     </t>
  </si>
  <si>
    <t>2011-09-02 00:00:00.000</t>
  </si>
  <si>
    <t>2013-12-05 00:00:00.000</t>
  </si>
  <si>
    <t xml:space="preserve">PENAGOS CALDERON                                  </t>
  </si>
  <si>
    <t xml:space="preserve">CARLOS ANDRES                                     </t>
  </si>
  <si>
    <t>2011-08-01 00:00:00.000</t>
  </si>
  <si>
    <t xml:space="preserve">CARVAJAL ANGARITA                                 </t>
  </si>
  <si>
    <t>2013-02-01 00:00:00.000</t>
  </si>
  <si>
    <t>2013-12-02 00:00:00.000</t>
  </si>
  <si>
    <t xml:space="preserve">ALZATE LONDOÑO                                    </t>
  </si>
  <si>
    <t>2014-01-09 00:00:00.000</t>
  </si>
  <si>
    <t>2014-01-17 00:00:00.000</t>
  </si>
  <si>
    <t xml:space="preserve">MORENO CELIS                                      </t>
  </si>
  <si>
    <t xml:space="preserve">ESTEBAN                                           </t>
  </si>
  <si>
    <t>2012-05-02 00:00:00.000</t>
  </si>
  <si>
    <t xml:space="preserve">GOMEZ HENAO                                       </t>
  </si>
  <si>
    <t xml:space="preserve">DIANA MARIA                                       </t>
  </si>
  <si>
    <t>2013-03-02 00:00:00.000</t>
  </si>
  <si>
    <t xml:space="preserve">BEDOYA VELASQUEZ                                  </t>
  </si>
  <si>
    <t xml:space="preserve">MARIA LILIANA                                     </t>
  </si>
  <si>
    <t>2012-04-11 00:00:00.000</t>
  </si>
  <si>
    <t xml:space="preserve">ALZATE RAMIREZ                                    </t>
  </si>
  <si>
    <t xml:space="preserve">STIVEN                                            </t>
  </si>
  <si>
    <t>2011-07-19 00:00:00.000</t>
  </si>
  <si>
    <t xml:space="preserve">ESTRADA ALZATE                                    </t>
  </si>
  <si>
    <t xml:space="preserve">JESSICA                                           </t>
  </si>
  <si>
    <t xml:space="preserve">CADAVID MARULANDA                                 </t>
  </si>
  <si>
    <t xml:space="preserve">ELIZABETH CRISTINA                                </t>
  </si>
  <si>
    <t xml:space="preserve">GALLEGO BARRIENTOS                                </t>
  </si>
  <si>
    <t xml:space="preserve">BRYAN ALEXIS                                      </t>
  </si>
  <si>
    <t>2012-11-27 00:00:00.000</t>
  </si>
  <si>
    <t>2014-05-22 00:00:00.000</t>
  </si>
  <si>
    <t>2014-06-05 00:00:00.000</t>
  </si>
  <si>
    <t xml:space="preserve">GIRALDO DUQUE                                     </t>
  </si>
  <si>
    <t xml:space="preserve">ROBINSON ALBERTO                                  </t>
  </si>
  <si>
    <t>2011-09-09 00:00:00.000</t>
  </si>
  <si>
    <t>2014-07-03 00:00:00.000</t>
  </si>
  <si>
    <t>2014-07-22 00:00:00.000</t>
  </si>
  <si>
    <t xml:space="preserve">COLORADO TANGARIFE                                </t>
  </si>
  <si>
    <t xml:space="preserve">DEYSON ARMANDO                                    </t>
  </si>
  <si>
    <t>2014-03-18 00:00:00.000</t>
  </si>
  <si>
    <t>TECNICO PROFESIONAL INTERMEDIO EN DIBUJO ARQUITECTONICO</t>
  </si>
  <si>
    <t>1997-04-30 00:00:00.000</t>
  </si>
  <si>
    <t>1997-06-19 00:00:00.000</t>
  </si>
  <si>
    <t>TECNICO PROFESIONAL DELINEANTE DE ARQUITECTURA E INGENIERIA</t>
  </si>
  <si>
    <t>1996-07-03 00:00:00.000</t>
  </si>
  <si>
    <t>1996-08-01 00:00:00.000</t>
  </si>
  <si>
    <t>1996-10-02 00:00:00.000</t>
  </si>
  <si>
    <t xml:space="preserve">LUZ STELLA                                        </t>
  </si>
  <si>
    <t>2007-10-04 00:00:00.000</t>
  </si>
  <si>
    <t>2007-10-25 00:00:00.000</t>
  </si>
  <si>
    <t>1989-07-07 00:00:00.000</t>
  </si>
  <si>
    <t>1989-09-22 00:00:00.000</t>
  </si>
  <si>
    <t>1996-12-11 00:00:00.000</t>
  </si>
  <si>
    <t>1996-12-17 00:00:00.000</t>
  </si>
  <si>
    <t>2007-12-06 00:00:00.000</t>
  </si>
  <si>
    <t>2007-12-20 00:00:00.000</t>
  </si>
  <si>
    <t>1997-11-28 00:00:00.000</t>
  </si>
  <si>
    <t>1997-03-13 00:00:00.000</t>
  </si>
  <si>
    <t>1997-04-17 00:00:00.000</t>
  </si>
  <si>
    <t xml:space="preserve">ZAPATA ACOSTA                                     </t>
  </si>
  <si>
    <t>1998-05-07 00:00:00.000</t>
  </si>
  <si>
    <t>1998-05-14 00:00:00.000</t>
  </si>
  <si>
    <t xml:space="preserve">ARROYAVE HERNANDEZ                                </t>
  </si>
  <si>
    <t xml:space="preserve">JUAN GONZALO                                      </t>
  </si>
  <si>
    <t xml:space="preserve">OQUENDO CANO                                      </t>
  </si>
  <si>
    <t xml:space="preserve">RESTREPO MAYA                                     </t>
  </si>
  <si>
    <t xml:space="preserve">CAROLINA MARIA                                    </t>
  </si>
  <si>
    <t xml:space="preserve">RESTREPO GALARZO                                  </t>
  </si>
  <si>
    <t xml:space="preserve">CAMACHO VELASQUEZ                                 </t>
  </si>
  <si>
    <t xml:space="preserve">ANA SOFIA                                         </t>
  </si>
  <si>
    <t>TECNICO PROFESIONAL EN DELINEANTES DE ARQUITECTURA E INGENIERIA</t>
  </si>
  <si>
    <t xml:space="preserve">OCHOA AGUILAR                                     </t>
  </si>
  <si>
    <t xml:space="preserve">MARIA TERESA                                      </t>
  </si>
  <si>
    <t>1997-11-05 00:00:00.000</t>
  </si>
  <si>
    <t>1997-11-18 00:00:00.000</t>
  </si>
  <si>
    <t xml:space="preserve">GAVIRIA ESCOBAR                                   </t>
  </si>
  <si>
    <t xml:space="preserve">PATRICIA ELENA                                    </t>
  </si>
  <si>
    <t xml:space="preserve">BAENA ORREGO                                      </t>
  </si>
  <si>
    <t>1998-07-09 00:00:00.000</t>
  </si>
  <si>
    <t>1998-07-23 00:00:00.000</t>
  </si>
  <si>
    <t xml:space="preserve">BETANCUR CADAVID                                  </t>
  </si>
  <si>
    <t xml:space="preserve">MARIA ALEJANDRA                                   </t>
  </si>
  <si>
    <t xml:space="preserve">RODRIGUEZ MONTIEL                                 </t>
  </si>
  <si>
    <t xml:space="preserve">YOHAIRA                                           </t>
  </si>
  <si>
    <t>1998-09-03 00:00:00.000</t>
  </si>
  <si>
    <t>1998-09-24 00:00:00.000</t>
  </si>
  <si>
    <t xml:space="preserve">VASQUEZ ESTRADA                                   </t>
  </si>
  <si>
    <t>2005-03-03 00:00:00.000</t>
  </si>
  <si>
    <t>2005-03-17 00:00:00.000</t>
  </si>
  <si>
    <t>TECNICO PROFESIONAL INTERMEDIO DELINEANTE DE ARQUITECTURA E INGENIERIA</t>
  </si>
  <si>
    <t>1986-09-19 00:00:00.000</t>
  </si>
  <si>
    <t xml:space="preserve">JUAN GUILLERMO                                    </t>
  </si>
  <si>
    <t>1986-10-15 00:00:00.000</t>
  </si>
  <si>
    <t xml:space="preserve">PATIÑO HENAO                                      </t>
  </si>
  <si>
    <t xml:space="preserve">JORGE ENRIQUE                                     </t>
  </si>
  <si>
    <t>1997-12-18 00:00:00.000</t>
  </si>
  <si>
    <t>1998-01-23 00:00:00.000</t>
  </si>
  <si>
    <t xml:space="preserve">PEREZ PEREZ                                       </t>
  </si>
  <si>
    <t xml:space="preserve">CARMEN CECILIA                                    </t>
  </si>
  <si>
    <t xml:space="preserve">RIOS MOLINA                                       </t>
  </si>
  <si>
    <t xml:space="preserve">CALDERON MEJIA                                    </t>
  </si>
  <si>
    <t>TECNICO PROFESIONAL INTERMEDIO EN DECORACION Y DIBUJO ARQUITECTONICO</t>
  </si>
  <si>
    <t xml:space="preserve">MONTOYA CASTAÑO                                   </t>
  </si>
  <si>
    <t xml:space="preserve">ALEXANDER                                         </t>
  </si>
  <si>
    <t>TECNICO PROFESIONAL EN DESARROLLO GRAFICO DE PROYECTOS DE CONSTRUCCION</t>
  </si>
  <si>
    <t>2011-04-13 00:00:00.000</t>
  </si>
  <si>
    <t>2009-05-07 00:00:00.000</t>
  </si>
  <si>
    <t>2009-05-21 00:00:00.000</t>
  </si>
  <si>
    <t>TECNOLOGO EN DELINEANTE EN ARQUITECTURA E INGENIERIA</t>
  </si>
  <si>
    <t>TECNOLOGICO PASCUAL BRAVO INSTITUCION UNIVERSITARIA</t>
  </si>
  <si>
    <t>2002-06-07 00:00:00.000</t>
  </si>
  <si>
    <t>2001-07-10 00:00:00.000</t>
  </si>
  <si>
    <t>2001-07-19 00:00:00.000</t>
  </si>
  <si>
    <t>TECNOLOGO EN DELINEANTES DE ARQUITECTURA E INGENIERIA</t>
  </si>
  <si>
    <t>1981-12-04 00:00:00.000</t>
  </si>
  <si>
    <t>2005-07-07 00:00:00.000</t>
  </si>
  <si>
    <t>2005-07-21 00:00:00.000</t>
  </si>
  <si>
    <t>2004-12-21 00:00:00.000</t>
  </si>
  <si>
    <t>2005-10-05 00:00:00.000</t>
  </si>
  <si>
    <t>2005-10-20 00:00:00.000</t>
  </si>
  <si>
    <t xml:space="preserve">DE LA CUESTA DIAZ                                 </t>
  </si>
  <si>
    <t xml:space="preserve">YISNETH LORENA                                    </t>
  </si>
  <si>
    <t xml:space="preserve">ARIAS JIMENEZ                                     </t>
  </si>
  <si>
    <t xml:space="preserve">YIVIA PAULINA                                     </t>
  </si>
  <si>
    <t>2004-07-30 00:00:00.000</t>
  </si>
  <si>
    <t>2001-04-02 00:00:00.000</t>
  </si>
  <si>
    <t>2001-04-26 00:00:00.000</t>
  </si>
  <si>
    <t>1993-07-01 00:00:00.000</t>
  </si>
  <si>
    <t>1990-12-06 00:00:00.000</t>
  </si>
  <si>
    <t>1995-12-15 00:00:00.000</t>
  </si>
  <si>
    <t>2001-06-12 00:00:00.000</t>
  </si>
  <si>
    <t>2001-06-21 00:00:00.000</t>
  </si>
  <si>
    <t xml:space="preserve">CARMEN                                            </t>
  </si>
  <si>
    <t>1988-07-08 00:00:00.000</t>
  </si>
  <si>
    <t>1993-12-07 00:00:00.000</t>
  </si>
  <si>
    <t>1992-10-27 00:00:00.000</t>
  </si>
  <si>
    <t>1990-07-06 00:00:00.000</t>
  </si>
  <si>
    <t>2008-02-07 00:00:00.000</t>
  </si>
  <si>
    <t>2008-02-21 00:00:00.000</t>
  </si>
  <si>
    <t xml:space="preserve">CARDONA HENAO                                     </t>
  </si>
  <si>
    <t xml:space="preserve">OLGA MERCEDES                                     </t>
  </si>
  <si>
    <t>1999-03-15 00:00:00.000</t>
  </si>
  <si>
    <t>1999-03-23 00:00:00.000</t>
  </si>
  <si>
    <t xml:space="preserve">BUSTAMANTE HERRERA                                </t>
  </si>
  <si>
    <t xml:space="preserve">OSCAR RAUL                                        </t>
  </si>
  <si>
    <t xml:space="preserve">VASQUEZ ZAPATA                                    </t>
  </si>
  <si>
    <t xml:space="preserve">FABIAN DE JESUS                                   </t>
  </si>
  <si>
    <t>2000-04-24 00:00:00.000</t>
  </si>
  <si>
    <t>2000-04-27 00:00:00.000</t>
  </si>
  <si>
    <t>2010-05-06 00:00:00.000</t>
  </si>
  <si>
    <t>2010-05-20 00:00:00.000</t>
  </si>
  <si>
    <t xml:space="preserve">MORENO LONDOÑO                                    </t>
  </si>
  <si>
    <t>1988-12-07 00:00:00.000</t>
  </si>
  <si>
    <t xml:space="preserve">MARIN MORALES                                     </t>
  </si>
  <si>
    <t>2010-11-09 00:00:00.000</t>
  </si>
  <si>
    <t>2010-11-17 00:00:00.000</t>
  </si>
  <si>
    <t xml:space="preserve">CEBALLOS VERGARA                                  </t>
  </si>
  <si>
    <t xml:space="preserve">EDGAR HERNAN                                      </t>
  </si>
  <si>
    <t>CORPORACION ACADEMIA SUPERIOR DE ARTES DE MEDELLIN</t>
  </si>
  <si>
    <t>1998-06-16 00:00:00.000</t>
  </si>
  <si>
    <t>2011-07-07 00:00:00.000</t>
  </si>
  <si>
    <t>2011-07-21 00:00:00.000</t>
  </si>
  <si>
    <t xml:space="preserve">AGUDELO VALENCIA                                  </t>
  </si>
  <si>
    <t xml:space="preserve">PAOLA ANDREA                                      </t>
  </si>
  <si>
    <t>2011-11-17 00:00:00.000</t>
  </si>
  <si>
    <t xml:space="preserve">MEJIA HIGUITA                                     </t>
  </si>
  <si>
    <t xml:space="preserve">OSCAR GIOVANNI                                    </t>
  </si>
  <si>
    <t>2002-06-26 00:00:00.000</t>
  </si>
  <si>
    <t xml:space="preserve">VELEZ ALVAREZ                                     </t>
  </si>
  <si>
    <t>1987-08-05 00:00:00.000</t>
  </si>
  <si>
    <t>2012-06-07 00:00:00.000</t>
  </si>
  <si>
    <t>2012-06-21 00:00:00.000</t>
  </si>
  <si>
    <t xml:space="preserve">GOMEZ GALLEGO                                     </t>
  </si>
  <si>
    <t xml:space="preserve">JAIME LEON                                        </t>
  </si>
  <si>
    <t>1991-04-30 00:00:00.000</t>
  </si>
  <si>
    <t>2013-01-10 00:00:00.000</t>
  </si>
  <si>
    <t>2013-01-18 00:00:00.000</t>
  </si>
  <si>
    <t xml:space="preserve">PEREA MOSQUERA                                    </t>
  </si>
  <si>
    <t xml:space="preserve">GLADIS                                            </t>
  </si>
  <si>
    <t>1991-12-11 00:00:00.000</t>
  </si>
  <si>
    <t>2013-01-24 00:00:00.000</t>
  </si>
  <si>
    <t>2013-01-31 00:00:00.000</t>
  </si>
  <si>
    <t xml:space="preserve">HOYOS BARRERA                                     </t>
  </si>
  <si>
    <t xml:space="preserve">GARCIA PEREZ                                      </t>
  </si>
  <si>
    <t xml:space="preserve">JOSE LUIS                                         </t>
  </si>
  <si>
    <t xml:space="preserve">GUISAO TABARES                                    </t>
  </si>
  <si>
    <t>1996-06-27 00:00:00.000</t>
  </si>
  <si>
    <t>2001-02-13 00:00:00.000</t>
  </si>
  <si>
    <t>2001-02-22 00:00:00.000</t>
  </si>
  <si>
    <t>1980-12-02 00:00:00.000</t>
  </si>
  <si>
    <t>1993-07-30 00:00:00.000</t>
  </si>
  <si>
    <t>1986-03-07 00:00:00.000</t>
  </si>
  <si>
    <t>1984-06-29 00:00:00.000</t>
  </si>
  <si>
    <t>2001-10-09 00:00:00.000</t>
  </si>
  <si>
    <t>2001-10-18 00:00:00.000</t>
  </si>
  <si>
    <t>1999-12-10 00:00:00.000</t>
  </si>
  <si>
    <t>2002-03-05 00:00:00.000</t>
  </si>
  <si>
    <t>2002-03-21 00:00:00.000</t>
  </si>
  <si>
    <t>2000-07-07 00:00:00.000</t>
  </si>
  <si>
    <t>2004-06-03 00:00:00.000</t>
  </si>
  <si>
    <t>2004-06-17 00:00:00.000</t>
  </si>
  <si>
    <t>1998-12-11 00:00:00.000</t>
  </si>
  <si>
    <t>1980-10-10 00:00:00.000</t>
  </si>
  <si>
    <t>2004-08-05 00:00:00.000</t>
  </si>
  <si>
    <t>2004-08-19 00:00:00.000</t>
  </si>
  <si>
    <t xml:space="preserve">MURILLO LOPEZ                                     </t>
  </si>
  <si>
    <t xml:space="preserve">ECHEVERRI ECHEVERRI                               </t>
  </si>
  <si>
    <t xml:space="preserve">JUDIT ELINA                                       </t>
  </si>
  <si>
    <t xml:space="preserve">PACHON GARCIA                                     </t>
  </si>
  <si>
    <t>2000-03-14 00:00:00.000</t>
  </si>
  <si>
    <t>2000-03-21 00:00:00.000</t>
  </si>
  <si>
    <t xml:space="preserve">MONICA PATRICIA                                   </t>
  </si>
  <si>
    <t>2000-05-15 00:00:00.000</t>
  </si>
  <si>
    <t>2000-05-18 00:00:00.000</t>
  </si>
  <si>
    <t>DELINEANTE DE ARQUITECTURA E INGENIERIA</t>
  </si>
  <si>
    <t>INSTITUTO DE ARTES</t>
  </si>
  <si>
    <t>1981-10-22 00:00:00.000</t>
  </si>
  <si>
    <t>COLEGIO MAYOR DE CULTURA FEMENINA DE ANTIOQUIA</t>
  </si>
  <si>
    <t>1979-09-30 00:00:00.000</t>
  </si>
  <si>
    <t>1982-10-29 00:00:00.000</t>
  </si>
  <si>
    <t>1999-06-08 00:00:00.000</t>
  </si>
  <si>
    <t>1999-06-16 00:00:00.000</t>
  </si>
  <si>
    <t xml:space="preserve">ZAPATA CUARTAS                                    </t>
  </si>
  <si>
    <t xml:space="preserve">ROSALBA DEL SOCORRO                               </t>
  </si>
  <si>
    <t>2012-11-01 00:00:00.000</t>
  </si>
  <si>
    <t>2012-11-15 00:00:00.000</t>
  </si>
  <si>
    <t xml:space="preserve">LOTERO BEDOYA                                     </t>
  </si>
  <si>
    <t>1977-03-02 00:00:00.000</t>
  </si>
  <si>
    <t>2000-12-01 00:00:00.000</t>
  </si>
  <si>
    <t>2000-12-21 00:00:00.000</t>
  </si>
  <si>
    <t>1992-07-03 00:00:00.000</t>
  </si>
  <si>
    <t>2001-08-14 00:00:00.000</t>
  </si>
  <si>
    <t>2001-08-16 00:00:00.000</t>
  </si>
  <si>
    <t>1999-06-28 00:00:00.000</t>
  </si>
  <si>
    <t>1999-07-13 00:00:00.000</t>
  </si>
  <si>
    <t xml:space="preserve">BOHORQUEZ RODAS                                   </t>
  </si>
  <si>
    <t>1999-09-02 00:00:00.000</t>
  </si>
  <si>
    <t>1999-09-21 00:00:00.000</t>
  </si>
  <si>
    <t xml:space="preserve">ORREGO PALACIOS                                   </t>
  </si>
  <si>
    <t xml:space="preserve">LUZ ELIANA                                        </t>
  </si>
  <si>
    <t>2000-07-19 00:00:00.000</t>
  </si>
  <si>
    <t>2000-07-27 00:00:00.000</t>
  </si>
  <si>
    <t>1986-07-04 00:00:00.000</t>
  </si>
  <si>
    <t xml:space="preserve">VALENCIA VILLEGAS                                 </t>
  </si>
  <si>
    <t>2000-08-15 00:00:00.000</t>
  </si>
  <si>
    <t>2000-08-17 00:00:00.000</t>
  </si>
  <si>
    <t>2009-11-06 00:00:00.000</t>
  </si>
  <si>
    <t>2009-11-19 00:00:00.000</t>
  </si>
  <si>
    <t xml:space="preserve">ESCOBAR OCHOA                                     </t>
  </si>
  <si>
    <t xml:space="preserve">MARTHA GLADYS                                     </t>
  </si>
  <si>
    <t>TECNICA PROFESIONAL INTERMEDIO EN DELINEANTE DE ARQUITECTURA E INGENIERIA</t>
  </si>
  <si>
    <t>1985-07-05 00:00:00.000</t>
  </si>
  <si>
    <t xml:space="preserve">BEDOYA GIL                                        </t>
  </si>
  <si>
    <t xml:space="preserve">FEDERICO ALONSO                                   </t>
  </si>
  <si>
    <t>1984-08-24 00:00:00.000</t>
  </si>
  <si>
    <t>2008-04-03 00:00:00.000</t>
  </si>
  <si>
    <t>2008-04-17 00:00:00.000</t>
  </si>
  <si>
    <t xml:space="preserve">JARAMILLO HENAO                                   </t>
  </si>
  <si>
    <t xml:space="preserve">SOL MILEIDER                                      </t>
  </si>
  <si>
    <t>TECNICO PROFESIONAL EN DELINEANTE CONSTRUCTOR</t>
  </si>
  <si>
    <t>2001-06-27 00:00:00.000</t>
  </si>
  <si>
    <t>2008-07-03 00:00:00.000</t>
  </si>
  <si>
    <t>2008-07-17 00:00:00.000</t>
  </si>
  <si>
    <t xml:space="preserve">TAMAYO VELEZ                                      </t>
  </si>
  <si>
    <t xml:space="preserve">BALMORES ALBERTO                                  </t>
  </si>
  <si>
    <t>2001-12-11 00:00:00.000</t>
  </si>
  <si>
    <t>2008-09-04 00:00:00.000</t>
  </si>
  <si>
    <t>2008-09-24 00:00:00.000</t>
  </si>
  <si>
    <t xml:space="preserve">CUBILLOS CRUZ                                     </t>
  </si>
  <si>
    <t>2008-11-06 00:00:00.000</t>
  </si>
  <si>
    <t>2008-11-27 00:00:00.000</t>
  </si>
  <si>
    <t xml:space="preserve">SEPULVEDA DIOSSA                                  </t>
  </si>
  <si>
    <t xml:space="preserve">FREDY ANDRES                                      </t>
  </si>
  <si>
    <t>1985-12-06 00:00:00.000</t>
  </si>
  <si>
    <t>TECNICO PROFESIONAL EN DELINEANTE Y AUXILIAR DE INGENIERIA MECANICA</t>
  </si>
  <si>
    <t>1999-06-18 00:00:00.000</t>
  </si>
  <si>
    <t>1993-12-09 00:00:00.000</t>
  </si>
  <si>
    <t>2009-06-04 00:00:00.000</t>
  </si>
  <si>
    <t>2009-06-18 00:00:00.000</t>
  </si>
  <si>
    <t>1997-06-20 00:00:00.000</t>
  </si>
  <si>
    <t xml:space="preserve">ATL  </t>
  </si>
  <si>
    <t>2013-11-22 00:00:00.000</t>
  </si>
  <si>
    <t xml:space="preserve">VILLEGAS SERRANO                                  </t>
  </si>
  <si>
    <t xml:space="preserve">KATHERINE TATIANA                                 </t>
  </si>
  <si>
    <t>TECNICO PROFESIONAL EN TECNICAS DE DESARROLLO GRAFICO DE PROYECTOS DE CONSTRUCCION</t>
  </si>
  <si>
    <t xml:space="preserve">SGC2010TP00033                </t>
  </si>
  <si>
    <t>2010-03-12 00:00:00.000</t>
  </si>
  <si>
    <t>1992-02-12 00:00:00.000</t>
  </si>
  <si>
    <t>1992-04-28 00:00:00.000</t>
  </si>
  <si>
    <t xml:space="preserve">WILLIAMS ESCALONA                                 </t>
  </si>
  <si>
    <t xml:space="preserve">JALIS                                             </t>
  </si>
  <si>
    <t>1995-09-11 00:00:00.000</t>
  </si>
  <si>
    <t>1995-09-21 00:00:00.000</t>
  </si>
  <si>
    <t xml:space="preserve">RODRIGUEZ MEZA                                    </t>
  </si>
  <si>
    <t xml:space="preserve">WILMAN                                            </t>
  </si>
  <si>
    <t>CORPORACION EDUCATIVA DEL LITORAL</t>
  </si>
  <si>
    <t>2013-06-24 00:00:00.000</t>
  </si>
  <si>
    <t>2013-07-04 00:00:00.000</t>
  </si>
  <si>
    <t xml:space="preserve">DE LOS RIOS SUAREZ                                </t>
  </si>
  <si>
    <t xml:space="preserve">JAIRO MANUEL                                      </t>
  </si>
  <si>
    <t>2012-06-22 00:00:00.000</t>
  </si>
  <si>
    <t>1995-04-19 00:00:00.000</t>
  </si>
  <si>
    <t xml:space="preserve">LIMA DAZA                                         </t>
  </si>
  <si>
    <t xml:space="preserve">CARLOS ALBERTO                                    </t>
  </si>
  <si>
    <t>CORPORACION INSTITUTO DE ARTES Y CIENCIAS - CIAC</t>
  </si>
  <si>
    <t>1998-06-04 00:00:00.000</t>
  </si>
  <si>
    <t>1998-06-18 00:00:00.000</t>
  </si>
  <si>
    <t xml:space="preserve">PAEZ LOPEZ                                        </t>
  </si>
  <si>
    <t xml:space="preserve">RAFAEL ANSELMO                                    </t>
  </si>
  <si>
    <t>1997-07-07 00:00:00.000</t>
  </si>
  <si>
    <t>TECNOLOGO EN DISEÑO DE INTERIORES</t>
  </si>
  <si>
    <t>UNIVERSIDAD AUTONOMA DEL CARIBE</t>
  </si>
  <si>
    <t>1996-11-15 00:00:00.000</t>
  </si>
  <si>
    <t xml:space="preserve">CASTRO ORDOÑEZ                                    </t>
  </si>
  <si>
    <t xml:space="preserve">JAIME                                             </t>
  </si>
  <si>
    <t>TECNICO PROFESIONAL INTERMEDIO DELINEANTE DE ARQUITECTURA Y DECORACION</t>
  </si>
  <si>
    <t xml:space="preserve">PEREZ GONZALEZ                                    </t>
  </si>
  <si>
    <t xml:space="preserve">OTTO JAVIER                                       </t>
  </si>
  <si>
    <t xml:space="preserve">DOMINGUEZ GUZMAN                                  </t>
  </si>
  <si>
    <t xml:space="preserve">DONIDALDO JOSE                                    </t>
  </si>
  <si>
    <t>1997-09-05 00:00:00.000</t>
  </si>
  <si>
    <t xml:space="preserve">TONCEL SIERRA                                     </t>
  </si>
  <si>
    <t xml:space="preserve">GLEISER                                           </t>
  </si>
  <si>
    <t>1997-10-17 00:00:00.000</t>
  </si>
  <si>
    <t xml:space="preserve">VEGA VILLAR                                       </t>
  </si>
  <si>
    <t xml:space="preserve">ERIKA PATRICIA                                    </t>
  </si>
  <si>
    <t>1998-01-19 00:00:00.000</t>
  </si>
  <si>
    <t xml:space="preserve">GALVIS CAMACHO                                    </t>
  </si>
  <si>
    <t xml:space="preserve">MARCEL ANTONIO                                    </t>
  </si>
  <si>
    <t>1998-02-05 00:00:00.000</t>
  </si>
  <si>
    <t>1998-02-19 00:00:00.000</t>
  </si>
  <si>
    <t xml:space="preserve">RICARDO GARCIA                                    </t>
  </si>
  <si>
    <t xml:space="preserve">RAUL GREGORIO                                     </t>
  </si>
  <si>
    <t>1998-08-11 00:00:00.000</t>
  </si>
  <si>
    <t>1998-08-20 00:00:00.000</t>
  </si>
  <si>
    <t xml:space="preserve">SALCEDO ROJAS                                     </t>
  </si>
  <si>
    <t xml:space="preserve">EDER JESUS                                        </t>
  </si>
  <si>
    <t>2004-06-01 00:00:00.000</t>
  </si>
  <si>
    <t xml:space="preserve">VALLEJO FLOREZ                                    </t>
  </si>
  <si>
    <t xml:space="preserve">LUIS ALFONSO                                      </t>
  </si>
  <si>
    <t>1988-09-03 00:00:00.000</t>
  </si>
  <si>
    <t>2010-11-04 00:00:00.000</t>
  </si>
  <si>
    <t xml:space="preserve">GUERRERO PARDO                                    </t>
  </si>
  <si>
    <t xml:space="preserve">OSVALDO ENRIQUE                                   </t>
  </si>
  <si>
    <t>1993-04-02 00:00:00.000</t>
  </si>
  <si>
    <t>2000-09-07 00:00:00.000</t>
  </si>
  <si>
    <t>2000-09-25 00:00:00.000</t>
  </si>
  <si>
    <t xml:space="preserve">HERNANDEZ MENDOZA                                 </t>
  </si>
  <si>
    <t xml:space="preserve">ROQUE RAFAEL                                      </t>
  </si>
  <si>
    <t xml:space="preserve">JIMENEZ SALAS                                     </t>
  </si>
  <si>
    <t xml:space="preserve">NIXON EDUARDO                                     </t>
  </si>
  <si>
    <t>2012-03-15 00:00:00.000</t>
  </si>
  <si>
    <t>2012-04-02 00:00:00.000</t>
  </si>
  <si>
    <t xml:space="preserve">AVILA GOMEZ                                       </t>
  </si>
  <si>
    <t xml:space="preserve">JESUS ALBERTO                                     </t>
  </si>
  <si>
    <t>1982-06-28 00:00:00.000</t>
  </si>
  <si>
    <t xml:space="preserve">BLV  </t>
  </si>
  <si>
    <t>1993-09-14 00:00:00.000</t>
  </si>
  <si>
    <t>1993-11-18 00:00:00.000</t>
  </si>
  <si>
    <t xml:space="preserve">PERIÑAN ORTIZ                                     </t>
  </si>
  <si>
    <t xml:space="preserve">MARINA DEL CARMEN                                 </t>
  </si>
  <si>
    <t>COLEGIO MAYOR DE CULTURA FEMENINA DE BOLIVAR</t>
  </si>
  <si>
    <t xml:space="preserve">HERNANDEZ DUARTE                                  </t>
  </si>
  <si>
    <t xml:space="preserve">JACKELINE DEL SOCORRO                             </t>
  </si>
  <si>
    <t xml:space="preserve">ESCOBAR HERNANDEZ                                 </t>
  </si>
  <si>
    <t xml:space="preserve">BLEIDY MARIA                                      </t>
  </si>
  <si>
    <t xml:space="preserve">PEÑA MARIMON                                      </t>
  </si>
  <si>
    <t xml:space="preserve">YUDY                                              </t>
  </si>
  <si>
    <t xml:space="preserve">VARELA ESCUDERO                                   </t>
  </si>
  <si>
    <t xml:space="preserve">EVANGELINA                                        </t>
  </si>
  <si>
    <t xml:space="preserve">SANMARTIN RIVERA                                  </t>
  </si>
  <si>
    <t xml:space="preserve">LIGIA                                             </t>
  </si>
  <si>
    <t xml:space="preserve">CANO LARA                                         </t>
  </si>
  <si>
    <t xml:space="preserve">JOSEFINA                                          </t>
  </si>
  <si>
    <t>1994-02-15 00:00:00.000</t>
  </si>
  <si>
    <t xml:space="preserve">ZAPATA GUTIERREZ                                  </t>
  </si>
  <si>
    <t xml:space="preserve">JOSE FERNANDO                                     </t>
  </si>
  <si>
    <t>1994-04-22 00:00:00.000</t>
  </si>
  <si>
    <t>1994-06-16 00:00:00.000</t>
  </si>
  <si>
    <t xml:space="preserve">LUNA FRANCO                                       </t>
  </si>
  <si>
    <t xml:space="preserve">ANA VIRGINIA                                      </t>
  </si>
  <si>
    <t xml:space="preserve">MAR MENDEZ                                        </t>
  </si>
  <si>
    <t xml:space="preserve">ACENETH                                           </t>
  </si>
  <si>
    <t>1994-07-28 00:00:00.000</t>
  </si>
  <si>
    <t>1994-12-01 00:00:00.000</t>
  </si>
  <si>
    <t xml:space="preserve">RENDON SANCHEZ                                    </t>
  </si>
  <si>
    <t xml:space="preserve">PIER ANGELI                                       </t>
  </si>
  <si>
    <t xml:space="preserve">VALLE IGLESIAS                                    </t>
  </si>
  <si>
    <t xml:space="preserve">MARIA CRISTINA NIEVES                             </t>
  </si>
  <si>
    <t xml:space="preserve">CASTRO HERRERA                                    </t>
  </si>
  <si>
    <t xml:space="preserve">LUZDARY DEL ROSARIO                               </t>
  </si>
  <si>
    <t>1995-01-25 00:00:00.000</t>
  </si>
  <si>
    <t xml:space="preserve">QUINTERO DE RICARDO                               </t>
  </si>
  <si>
    <t xml:space="preserve">ELENA EMPERATRIZ                                  </t>
  </si>
  <si>
    <t>1996-07-16 00:00:00.000</t>
  </si>
  <si>
    <t>1996-08-15 00:00:00.000</t>
  </si>
  <si>
    <t xml:space="preserve">SANTODOMINGO CABEZA                               </t>
  </si>
  <si>
    <t xml:space="preserve">DENILDA                                           </t>
  </si>
  <si>
    <t>COLEGIO MAYOR DE BOLIVAR</t>
  </si>
  <si>
    <t xml:space="preserve">ALVAREZ RODELO                                    </t>
  </si>
  <si>
    <t xml:space="preserve">LILIANA HORTENSIA                                 </t>
  </si>
  <si>
    <t xml:space="preserve">SHAIKH SUAREZ                                     </t>
  </si>
  <si>
    <t xml:space="preserve">HAZINA DEL CARMEN                                 </t>
  </si>
  <si>
    <t>2006-05-04 00:00:00.000</t>
  </si>
  <si>
    <t>2006-05-24 00:00:00.000</t>
  </si>
  <si>
    <t xml:space="preserve">GONZALEZ SANCHEZ                                  </t>
  </si>
  <si>
    <t xml:space="preserve">MARTHA EVELIA                                     </t>
  </si>
  <si>
    <t>1991-06-28 00:00:00.000</t>
  </si>
  <si>
    <t>2009-08-11 00:00:00.000</t>
  </si>
  <si>
    <t>2009-08-20 00:00:00.000</t>
  </si>
  <si>
    <t xml:space="preserve">RUIZ LYONS                                        </t>
  </si>
  <si>
    <t xml:space="preserve">DENIA AUXILIADORA                                 </t>
  </si>
  <si>
    <t xml:space="preserve">99-002                        </t>
  </si>
  <si>
    <t>2002-08-09 00:00:00.000</t>
  </si>
  <si>
    <t>2009-09-08 00:00:00.000</t>
  </si>
  <si>
    <t>2009-09-24 00:00:00.000</t>
  </si>
  <si>
    <t xml:space="preserve">DE LEON VILLALOBO                                 </t>
  </si>
  <si>
    <t xml:space="preserve">MARLENE ISABEL                                    </t>
  </si>
  <si>
    <t>1983-06-24 00:00:00.000</t>
  </si>
  <si>
    <t>2011-11-04 00:00:00.000</t>
  </si>
  <si>
    <t>2011-11-16 00:00:00.000</t>
  </si>
  <si>
    <t xml:space="preserve">HERRERA CARABALLO                                 </t>
  </si>
  <si>
    <t xml:space="preserve">MARLEN JOHANA                                     </t>
  </si>
  <si>
    <t xml:space="preserve">58-01                         </t>
  </si>
  <si>
    <t>2001-07-27 00:00:00.000</t>
  </si>
  <si>
    <t>2011-11-22 00:00:00.000</t>
  </si>
  <si>
    <t xml:space="preserve">GUTIERREZ HERNANDEZ                               </t>
  </si>
  <si>
    <t xml:space="preserve">EMILIO JOSE                                       </t>
  </si>
  <si>
    <t>INSTITUCION TECNOLOGICA COLEGIO MAYOR DE BOLIVAR</t>
  </si>
  <si>
    <t>2010-05-28 00:00:00.000</t>
  </si>
  <si>
    <t>2011-12-29 00:00:00.000</t>
  </si>
  <si>
    <t xml:space="preserve">HOYOS HOYOS                                       </t>
  </si>
  <si>
    <t xml:space="preserve">INDIRA ELIZABETH                                  </t>
  </si>
  <si>
    <t xml:space="preserve">SIN NUMERO                    </t>
  </si>
  <si>
    <t>1988-11-25 00:00:00.000</t>
  </si>
  <si>
    <t>2012-01-20 00:00:00.000</t>
  </si>
  <si>
    <t>2012-02-03 00:00:00.000</t>
  </si>
  <si>
    <t xml:space="preserve">FORTICH VILLERO                                   </t>
  </si>
  <si>
    <t>1994-07-01 00:00:00.000</t>
  </si>
  <si>
    <t xml:space="preserve">GARCES MARTINEZ                                   </t>
  </si>
  <si>
    <t xml:space="preserve">ADRIANA                                           </t>
  </si>
  <si>
    <t>2011-12-16 00:00:00.000</t>
  </si>
  <si>
    <t xml:space="preserve">ORTEGA LIDUEÑA                                    </t>
  </si>
  <si>
    <t xml:space="preserve">ARMANDO LUIS                                      </t>
  </si>
  <si>
    <t>2008-08-15 00:00:00.000</t>
  </si>
  <si>
    <t>2013-02-11 00:00:00.000</t>
  </si>
  <si>
    <t>2013-02-14 00:00:00.000</t>
  </si>
  <si>
    <t xml:space="preserve">LEPESQUEUR GOSSAIN                                </t>
  </si>
  <si>
    <t xml:space="preserve">OSCAR LUCIANO                                     </t>
  </si>
  <si>
    <t>1986-09-12 00:00:00.000</t>
  </si>
  <si>
    <t>2013-07-09 00:00:00.000</t>
  </si>
  <si>
    <t>2013-07-18 00:00:00.000</t>
  </si>
  <si>
    <t xml:space="preserve">TOLOSA JIMENEZ                                    </t>
  </si>
  <si>
    <t xml:space="preserve">MARINA                                            </t>
  </si>
  <si>
    <t>1981-12-17 00:00:00.000</t>
  </si>
  <si>
    <t xml:space="preserve">REVETI PUELLO                                     </t>
  </si>
  <si>
    <t xml:space="preserve">YUERMARI CRISTINA                                 </t>
  </si>
  <si>
    <t>2013-08-20 00:00:00.000</t>
  </si>
  <si>
    <t>2013-09-05 00:00:00.000</t>
  </si>
  <si>
    <t xml:space="preserve">SAGRE HERNANDEZ                                   </t>
  </si>
  <si>
    <t xml:space="preserve">FAUSTA ISABEL                                     </t>
  </si>
  <si>
    <t>1985-11-29 00:00:00.000</t>
  </si>
  <si>
    <t xml:space="preserve">MONTH TEHERAN                                     </t>
  </si>
  <si>
    <t xml:space="preserve">JANEL RAFAEL                                      </t>
  </si>
  <si>
    <t xml:space="preserve">65-01                         </t>
  </si>
  <si>
    <t xml:space="preserve">CASTILLO HERRERA                                  </t>
  </si>
  <si>
    <t xml:space="preserve">JHON EDINSON                                      </t>
  </si>
  <si>
    <t xml:space="preserve">RODRIGUEZ FLOREZ                                  </t>
  </si>
  <si>
    <t xml:space="preserve">INDIRA MARIA                                      </t>
  </si>
  <si>
    <t>2010-08-13 00:00:00.000</t>
  </si>
  <si>
    <t xml:space="preserve">SERPA DE LA OSSA                                  </t>
  </si>
  <si>
    <t>2013-10-28 00:00:00.000</t>
  </si>
  <si>
    <t xml:space="preserve">JULIO GONZALEZ                                    </t>
  </si>
  <si>
    <t xml:space="preserve">LUCIA ELENA                                       </t>
  </si>
  <si>
    <t xml:space="preserve">QUINTANA DIAZ                                     </t>
  </si>
  <si>
    <t xml:space="preserve">DONALD                                            </t>
  </si>
  <si>
    <t>2006-12-22 00:00:00.000</t>
  </si>
  <si>
    <t xml:space="preserve">MEDINA RAMIREZ                                    </t>
  </si>
  <si>
    <t xml:space="preserve">DWIGHT JOSE                                       </t>
  </si>
  <si>
    <t xml:space="preserve">PEREIRA PERILLA                                   </t>
  </si>
  <si>
    <t xml:space="preserve">EDUARDO JOSE                                      </t>
  </si>
  <si>
    <t>1996-12-06 00:00:00.000</t>
  </si>
  <si>
    <t>2013-12-12 00:00:00.000</t>
  </si>
  <si>
    <t xml:space="preserve">ECHENIQUE AGAMEZ                                  </t>
  </si>
  <si>
    <t xml:space="preserve">ORLANDO                                           </t>
  </si>
  <si>
    <t>2003-12-19 00:00:00.000</t>
  </si>
  <si>
    <t>2014-01-14 00:00:00.000</t>
  </si>
  <si>
    <t>2014-01-24 00:00:00.000</t>
  </si>
  <si>
    <t xml:space="preserve">MARRUGO RINCON                                    </t>
  </si>
  <si>
    <t xml:space="preserve">LILIANA MARGARITA                                 </t>
  </si>
  <si>
    <t xml:space="preserve">60-01                         </t>
  </si>
  <si>
    <t>1997-02-20 00:00:00.000</t>
  </si>
  <si>
    <t xml:space="preserve">FERNANDEZ DIAZ                                    </t>
  </si>
  <si>
    <t xml:space="preserve">ERIKA                                             </t>
  </si>
  <si>
    <t>INSTITUTO DE ADMINISTRACION Y FINANZAS DE CARTAGENA - IAFIC</t>
  </si>
  <si>
    <t>1998-06-30 00:00:00.000</t>
  </si>
  <si>
    <t xml:space="preserve">MC LAUGHLIN MARTINEZ                              </t>
  </si>
  <si>
    <t xml:space="preserve">KEMPTON JESUS                                     </t>
  </si>
  <si>
    <t>1997-04-15 00:00:00.000</t>
  </si>
  <si>
    <t>1997-05-19 00:00:00.000</t>
  </si>
  <si>
    <t xml:space="preserve">PINEDA PINEDA                                     </t>
  </si>
  <si>
    <t xml:space="preserve">PATRICIA DEL SOCORRO                              </t>
  </si>
  <si>
    <t>TECNICO PROFESIONAL EN DISEÑO Y DECORACION DE ESPACIOS ARQUITECTONICOS</t>
  </si>
  <si>
    <t>2003-05-15 00:00:00.000</t>
  </si>
  <si>
    <t>2003-05-22 00:00:00.000</t>
  </si>
  <si>
    <t xml:space="preserve">BERRIO PRIMERA                                    </t>
  </si>
  <si>
    <t xml:space="preserve">JUAN                                              </t>
  </si>
  <si>
    <t>2004-08-10 00:00:00.000</t>
  </si>
  <si>
    <t xml:space="preserve">SCHMALBACH MARRUGO                                </t>
  </si>
  <si>
    <t xml:space="preserve">FELIX OTTO                                        </t>
  </si>
  <si>
    <t>1996-06-28 00:00:00.000</t>
  </si>
  <si>
    <t>2007-06-07 00:00:00.000</t>
  </si>
  <si>
    <t>2007-06-21 00:00:00.000</t>
  </si>
  <si>
    <t xml:space="preserve">CASTILLA LLERENA                                  </t>
  </si>
  <si>
    <t>2006-08-04 00:00:00.000</t>
  </si>
  <si>
    <t>2008-06-09 00:00:00.000</t>
  </si>
  <si>
    <t>2008-06-19 00:00:00.000</t>
  </si>
  <si>
    <t xml:space="preserve">MARTINEZ OLEA                                     </t>
  </si>
  <si>
    <t xml:space="preserve">ALEYMAR                                           </t>
  </si>
  <si>
    <t>1999-12-03 00:00:00.000</t>
  </si>
  <si>
    <t>2006-10-09 00:00:00.000</t>
  </si>
  <si>
    <t>2006-10-19 00:00:00.000</t>
  </si>
  <si>
    <t xml:space="preserve">ARAQUE DIAZ                                       </t>
  </si>
  <si>
    <t>1989-06-23 00:00:00.000</t>
  </si>
  <si>
    <t>2006-03-03 00:00:00.000</t>
  </si>
  <si>
    <t>2006-03-22 00:00:00.000</t>
  </si>
  <si>
    <t xml:space="preserve">DE LA ROSA PEREZ                                  </t>
  </si>
  <si>
    <t xml:space="preserve">TIANA MARIA                                       </t>
  </si>
  <si>
    <t xml:space="preserve">56-01                         </t>
  </si>
  <si>
    <t>2006-07-11 00:00:00.000</t>
  </si>
  <si>
    <t>2006-07-27 00:00:00.000</t>
  </si>
  <si>
    <t xml:space="preserve">MEDRANO GARCIA                                    </t>
  </si>
  <si>
    <t xml:space="preserve">VIRGILIA                                          </t>
  </si>
  <si>
    <t>1995-12-06 00:00:00.000</t>
  </si>
  <si>
    <t>2008-07-08 00:00:00.000</t>
  </si>
  <si>
    <t xml:space="preserve">RINCON VASQUEZ                                    </t>
  </si>
  <si>
    <t xml:space="preserve">JESUS EDUARDO                                     </t>
  </si>
  <si>
    <t>2004-12-16 00:00:00.000</t>
  </si>
  <si>
    <t xml:space="preserve">BYC  </t>
  </si>
  <si>
    <t>2012-09-06 00:00:00.000</t>
  </si>
  <si>
    <t xml:space="preserve">RODRIGUEZ JEREZ                                   </t>
  </si>
  <si>
    <t xml:space="preserve">OSBALDO                                           </t>
  </si>
  <si>
    <t xml:space="preserve">SGC2009TP00047                </t>
  </si>
  <si>
    <t>2009-02-13 00:00:00.000</t>
  </si>
  <si>
    <t xml:space="preserve">CLD  </t>
  </si>
  <si>
    <t>1991-12-10 00:00:00.000</t>
  </si>
  <si>
    <t>UNIVERSIDAD CATOLICA DE MANIZALES</t>
  </si>
  <si>
    <t xml:space="preserve">LILIANA MARIA                                     </t>
  </si>
  <si>
    <t>1992-02-11 00:00:00.000</t>
  </si>
  <si>
    <t>2010-09-07 00:00:00.000</t>
  </si>
  <si>
    <t>2010-09-16 00:00:00.000</t>
  </si>
  <si>
    <t xml:space="preserve">OSPINA VELASQUEZ                                  </t>
  </si>
  <si>
    <t xml:space="preserve">CLAUDIA ELENA                                     </t>
  </si>
  <si>
    <t>1981-09-25 00:00:00.000</t>
  </si>
  <si>
    <t xml:space="preserve">MIRANDA CARDENAS                                  </t>
  </si>
  <si>
    <t xml:space="preserve">ANGELA CONSTANZA                                  </t>
  </si>
  <si>
    <t>2000-11-21 00:00:00.000</t>
  </si>
  <si>
    <t>2011-10-05 00:00:00.000</t>
  </si>
  <si>
    <t>2011-10-24 00:00:00.000</t>
  </si>
  <si>
    <t xml:space="preserve">VILLESCAS GUZMAN                                  </t>
  </si>
  <si>
    <t>1986-12-12 00:00:00.000</t>
  </si>
  <si>
    <t>2013-01-22 00:00:00.000</t>
  </si>
  <si>
    <t xml:space="preserve">VELARDE BEDOYA                                    </t>
  </si>
  <si>
    <t xml:space="preserve">VIVIANA MARIA                                     </t>
  </si>
  <si>
    <t>2012-11-23 00:00:00.000</t>
  </si>
  <si>
    <t>2002-05-08 00:00:00.000</t>
  </si>
  <si>
    <t>2002-05-16 00:00:00.000</t>
  </si>
  <si>
    <t>1984-12-14 00:00:00.000</t>
  </si>
  <si>
    <t>1999-05-12 00:00:00.000</t>
  </si>
  <si>
    <t>1999-05-25 00:00:00.000</t>
  </si>
  <si>
    <t>TECNICO PROFESIONAL EN DIBUJO ARQUITECTONICO Y DE INGENIERIAS</t>
  </si>
  <si>
    <t xml:space="preserve">CAU  </t>
  </si>
  <si>
    <t>1993-03-19 00:00:00.000</t>
  </si>
  <si>
    <t>1993-04-22 00:00:00.000</t>
  </si>
  <si>
    <t>COLEGIO MAYOR DE CULTURA POPULAR DEL CAUCA</t>
  </si>
  <si>
    <t>1993-11-29 00:00:00.000</t>
  </si>
  <si>
    <t>1994-05-30 00:00:00.000</t>
  </si>
  <si>
    <t xml:space="preserve">MARIA CONSUELO                                    </t>
  </si>
  <si>
    <t>1993-06-24 00:00:00.000</t>
  </si>
  <si>
    <t>1993-07-15 00:00:00.000</t>
  </si>
  <si>
    <t>1994-04-06 00:00:00.000</t>
  </si>
  <si>
    <t>1994-09-12 00:00:00.000</t>
  </si>
  <si>
    <t>1994-12-19 00:00:00.000</t>
  </si>
  <si>
    <t>1995-03-16 00:00:00.000</t>
  </si>
  <si>
    <t>1995-03-24 00:00:00.000</t>
  </si>
  <si>
    <t>1995-04-20 00:00:00.000</t>
  </si>
  <si>
    <t>1995-05-16 00:00:00.000</t>
  </si>
  <si>
    <t>1995-09-06 00:00:00.000</t>
  </si>
  <si>
    <t>1995-11-09 00:00:00.000</t>
  </si>
  <si>
    <t>COLEGIO MAYOR DEL CAUCA</t>
  </si>
  <si>
    <t>1996-02-06 00:00:00.000</t>
  </si>
  <si>
    <t>1996-06-11 00:00:00.000</t>
  </si>
  <si>
    <t>1996-06-20 00:00:00.000</t>
  </si>
  <si>
    <t>1996-09-10 00:00:00.000</t>
  </si>
  <si>
    <t>1996-09-19 00:00:00.000</t>
  </si>
  <si>
    <t xml:space="preserve">FRANCISCO JAVIER                                  </t>
  </si>
  <si>
    <t>1997-02-13 00:00:00.000</t>
  </si>
  <si>
    <t>1997-04-10 00:00:00.000</t>
  </si>
  <si>
    <t>1997-06-12 00:00:00.000</t>
  </si>
  <si>
    <t>1997-08-11 00:00:00.000</t>
  </si>
  <si>
    <t>1998-02-03 00:00:00.000</t>
  </si>
  <si>
    <t>2005-02-03 00:00:00.000</t>
  </si>
  <si>
    <t>2005-02-17 00:00:00.000</t>
  </si>
  <si>
    <t xml:space="preserve">TROCHEZ FERNANDEZ                                 </t>
  </si>
  <si>
    <t xml:space="preserve">EDWIN JESSID                                      </t>
  </si>
  <si>
    <t>2002-06-05 00:00:00.000</t>
  </si>
  <si>
    <t>2005-08-01 00:00:00.000</t>
  </si>
  <si>
    <t>2005-08-18 00:00:00.000</t>
  </si>
  <si>
    <t xml:space="preserve">FAJARDO CUELLAR                                   </t>
  </si>
  <si>
    <t xml:space="preserve">DEISY EUGENIA                                     </t>
  </si>
  <si>
    <t>1998-08-28 00:00:00.000</t>
  </si>
  <si>
    <t xml:space="preserve">IDROBO GUEVARA                                    </t>
  </si>
  <si>
    <t xml:space="preserve">JOHANNA ALEJANDRA                                 </t>
  </si>
  <si>
    <t>2008-08-04 00:00:00.000</t>
  </si>
  <si>
    <t>2008-08-21 00:00:00.000</t>
  </si>
  <si>
    <t xml:space="preserve">GUEVARA MERA                                      </t>
  </si>
  <si>
    <t xml:space="preserve">ALVARO ENRIQUE                                    </t>
  </si>
  <si>
    <t>2006-08-25 00:00:00.000</t>
  </si>
  <si>
    <t>2011-04-06 00:00:00.000</t>
  </si>
  <si>
    <t>2011-04-28 00:00:00.000</t>
  </si>
  <si>
    <t xml:space="preserve">PLAZA VASQUEZ                                     </t>
  </si>
  <si>
    <t xml:space="preserve">ELIANA ANDREA                                     </t>
  </si>
  <si>
    <t>2004-07-02 00:00:00.000</t>
  </si>
  <si>
    <t>2011-07-06 00:00:00.000</t>
  </si>
  <si>
    <t xml:space="preserve">NUÑEZ VELASCO                                     </t>
  </si>
  <si>
    <t xml:space="preserve">OMAR FABIAN                                       </t>
  </si>
  <si>
    <t>1995-06-30 00:00:00.000</t>
  </si>
  <si>
    <t>2011-08-03 00:00:00.000</t>
  </si>
  <si>
    <t>2011-08-18 00:00:00.000</t>
  </si>
  <si>
    <t xml:space="preserve">RUIZ COLLAZOS                                     </t>
  </si>
  <si>
    <t xml:space="preserve">NAYIBE ALEJANDRA                                  </t>
  </si>
  <si>
    <t>1999-08-27 00:00:00.000</t>
  </si>
  <si>
    <t>2012-02-15 00:00:00.000</t>
  </si>
  <si>
    <t>2012-08-06 00:00:00.000</t>
  </si>
  <si>
    <t>1982-07-09 00:00:00.000</t>
  </si>
  <si>
    <t>2013-08-09 00:00:00.000</t>
  </si>
  <si>
    <t>2013-08-22 00:00:00.000</t>
  </si>
  <si>
    <t>2012-10-05 00:00:00.000</t>
  </si>
  <si>
    <t xml:space="preserve">ANDRADE REINOSO                                   </t>
  </si>
  <si>
    <t xml:space="preserve">ANA ELCY                                          </t>
  </si>
  <si>
    <t xml:space="preserve">CAMPO LOPEZ                                       </t>
  </si>
  <si>
    <t xml:space="preserve">MUÑOZ MONCAYO                                     </t>
  </si>
  <si>
    <t xml:space="preserve">EDDY CARMENZA                                     </t>
  </si>
  <si>
    <t xml:space="preserve">MANZANO RICCI                                     </t>
  </si>
  <si>
    <t xml:space="preserve">LUZ MERCEDES                                      </t>
  </si>
  <si>
    <t xml:space="preserve">BOLAÑOS ROJAS                                     </t>
  </si>
  <si>
    <t xml:space="preserve">ROSALBA                                           </t>
  </si>
  <si>
    <t xml:space="preserve">VEJARANO FERNANDEZ                                </t>
  </si>
  <si>
    <t xml:space="preserve">LYDA EUGENIA                                      </t>
  </si>
  <si>
    <t>1998-07-28 00:00:00.000</t>
  </si>
  <si>
    <t>1998-10-20 00:00:00.000</t>
  </si>
  <si>
    <t xml:space="preserve">CORDOBA ESPAÑA                                    </t>
  </si>
  <si>
    <t>2008-01-14 00:00:00.000</t>
  </si>
  <si>
    <t>2008-01-24 00:00:00.000</t>
  </si>
  <si>
    <t xml:space="preserve">CHAMIZO MEDINA                                    </t>
  </si>
  <si>
    <t xml:space="preserve">RAFAEL                                            </t>
  </si>
  <si>
    <t>1997-06-27 00:00:00.000</t>
  </si>
  <si>
    <t>2012-12-03 00:00:00.000</t>
  </si>
  <si>
    <t>2012-12-20 00:00:00.000</t>
  </si>
  <si>
    <t xml:space="preserve">PECHENE HURTADO                                   </t>
  </si>
  <si>
    <t xml:space="preserve">SILVIO MAURICIO                                   </t>
  </si>
  <si>
    <t xml:space="preserve">ORDOÑEZ SOLANO                                    </t>
  </si>
  <si>
    <t xml:space="preserve">SORAYA                                            </t>
  </si>
  <si>
    <t>1988-07-15 00:00:00.000</t>
  </si>
  <si>
    <t>1995-02-20 00:00:00.000</t>
  </si>
  <si>
    <t xml:space="preserve">MOSQUERA DE QUIÑONES                              </t>
  </si>
  <si>
    <t>TECNICO DELINEANTE DE ARQUITECTURA</t>
  </si>
  <si>
    <t xml:space="preserve">PATIÑO CORDOBA                                    </t>
  </si>
  <si>
    <t xml:space="preserve">JESUS ARMANDO                                     </t>
  </si>
  <si>
    <t xml:space="preserve">GOYES PAREDES                                     </t>
  </si>
  <si>
    <t xml:space="preserve">MUÑOZ CUELLAR                                     </t>
  </si>
  <si>
    <t xml:space="preserve">HILDA                                             </t>
  </si>
  <si>
    <t>TECNOLOGO DELINEANTE EN ARQUITECTURA E INGENIERIA</t>
  </si>
  <si>
    <t>2001-11-13 00:00:00.000</t>
  </si>
  <si>
    <t>2001-11-22 00:00:00.000</t>
  </si>
  <si>
    <t>1977-06-27 00:00:00.000</t>
  </si>
  <si>
    <t>2002-09-03 00:00:00.000</t>
  </si>
  <si>
    <t>2002-09-26 00:00:00.000</t>
  </si>
  <si>
    <t>2002-07-05 00:00:00.000</t>
  </si>
  <si>
    <t>2006-12-05 00:00:00.000</t>
  </si>
  <si>
    <t>2006-12-15 00:00:00.000</t>
  </si>
  <si>
    <t xml:space="preserve">BURBANO GUTIERREZ                                 </t>
  </si>
  <si>
    <t xml:space="preserve">LEIDY TATHIANA                                    </t>
  </si>
  <si>
    <t>2007-05-04 00:00:00.000</t>
  </si>
  <si>
    <t>2007-05-17 00:00:00.000</t>
  </si>
  <si>
    <t xml:space="preserve">CHANTRE MENDEZ                                    </t>
  </si>
  <si>
    <t xml:space="preserve">WILLIAN                                           </t>
  </si>
  <si>
    <t>2007-07-03 00:00:00.000</t>
  </si>
  <si>
    <t xml:space="preserve">BENAVIDES ROMAN                                   </t>
  </si>
  <si>
    <t xml:space="preserve">ERIKA FERNANDA                                    </t>
  </si>
  <si>
    <t>2007-10-05 00:00:00.000</t>
  </si>
  <si>
    <t xml:space="preserve">MATURANA BLANDON                                  </t>
  </si>
  <si>
    <t xml:space="preserve">ANGEL EMILIO                                      </t>
  </si>
  <si>
    <t>2007-03-23 00:00:00.000</t>
  </si>
  <si>
    <t xml:space="preserve">MOLANO CHITO                                      </t>
  </si>
  <si>
    <t xml:space="preserve">JULIAN ALFARO                                     </t>
  </si>
  <si>
    <t>2007-09-21 00:00:00.000</t>
  </si>
  <si>
    <t>2010-06-28 00:00:00.000</t>
  </si>
  <si>
    <t xml:space="preserve">ARANDA MUELAS                                     </t>
  </si>
  <si>
    <t xml:space="preserve">ANTONIO                                           </t>
  </si>
  <si>
    <t>INSTITUCION UNIVERSITARIA COLEGIO MAYOR DEL CAUCA</t>
  </si>
  <si>
    <t>2009-10-16 00:00:00.000</t>
  </si>
  <si>
    <t>2010-07-29 00:00:00.000</t>
  </si>
  <si>
    <t xml:space="preserve">SOLIS SANDOVAL                                    </t>
  </si>
  <si>
    <t xml:space="preserve">JAVIER                                            </t>
  </si>
  <si>
    <t>2012-03-05 00:00:00.000</t>
  </si>
  <si>
    <t xml:space="preserve">CAICEDO HOYOS                                     </t>
  </si>
  <si>
    <t xml:space="preserve">LUS ADELA                                         </t>
  </si>
  <si>
    <t>2008-10-17 00:00:00.000</t>
  </si>
  <si>
    <t>2012-04-16 00:00:00.000</t>
  </si>
  <si>
    <t>2012-05-04 00:00:00.000</t>
  </si>
  <si>
    <t xml:space="preserve">CAMPO ARAQUE                                      </t>
  </si>
  <si>
    <t>2012-09-21 00:00:00.000</t>
  </si>
  <si>
    <t xml:space="preserve">FERNANDEZ GARZON                                  </t>
  </si>
  <si>
    <t xml:space="preserve">DIANA MARCELA                                     </t>
  </si>
  <si>
    <t>2010-03-19 00:00:00.000</t>
  </si>
  <si>
    <t>2012-11-30 00:00:00.000</t>
  </si>
  <si>
    <t xml:space="preserve">RUIZ CHICANGANA                                   </t>
  </si>
  <si>
    <t>2013-01-25 00:00:00.000</t>
  </si>
  <si>
    <t xml:space="preserve">RAMOS PANTOJA                                     </t>
  </si>
  <si>
    <t xml:space="preserve">DIEGO FERNANDO                                    </t>
  </si>
  <si>
    <t>2011-09-30 00:00:00.000</t>
  </si>
  <si>
    <t>2013-02-26 00:00:00.000</t>
  </si>
  <si>
    <t xml:space="preserve">JUSPIAN OSORIO                                    </t>
  </si>
  <si>
    <t xml:space="preserve">EDWIN ANDRES                                      </t>
  </si>
  <si>
    <t xml:space="preserve">GARZON CORDOBA                                    </t>
  </si>
  <si>
    <t xml:space="preserve">JHOSIMAR ANDRES                                   </t>
  </si>
  <si>
    <t>2014-01-21 00:00:00.000</t>
  </si>
  <si>
    <t xml:space="preserve">MEDINA ERASO                                      </t>
  </si>
  <si>
    <t xml:space="preserve">LEIDY JHOANNA                                     </t>
  </si>
  <si>
    <t>2013-04-19 00:00:00.000</t>
  </si>
  <si>
    <t xml:space="preserve">RODRIGUEZ ROMO                                    </t>
  </si>
  <si>
    <t xml:space="preserve">PABLO ENRIQUE                                     </t>
  </si>
  <si>
    <t>2003-08-05 00:00:00.000</t>
  </si>
  <si>
    <t>2003-08-21 00:00:00.000</t>
  </si>
  <si>
    <t xml:space="preserve">MORIONES MARTINEZ                                 </t>
  </si>
  <si>
    <t xml:space="preserve">LEIDY JOHANA                                      </t>
  </si>
  <si>
    <t>2003-07-03 00:00:00.000</t>
  </si>
  <si>
    <t xml:space="preserve">MARTINEZ MANZANO                                  </t>
  </si>
  <si>
    <t xml:space="preserve">DARLI YOHANA                                      </t>
  </si>
  <si>
    <t>2003-12-02 00:00:00.000</t>
  </si>
  <si>
    <t>2003-12-18 00:00:00.000</t>
  </si>
  <si>
    <t xml:space="preserve">CASTILLO OCAMPO                                   </t>
  </si>
  <si>
    <t xml:space="preserve">VICTOR ALEXANDER                                  </t>
  </si>
  <si>
    <t>2004-10-06 00:00:00.000</t>
  </si>
  <si>
    <t>2004-10-21 00:00:00.000</t>
  </si>
  <si>
    <t xml:space="preserve">MARTINEZ DORADO                                   </t>
  </si>
  <si>
    <t xml:space="preserve">ADRIANA LUCIA                                     </t>
  </si>
  <si>
    <t xml:space="preserve">HENAO PABON                                       </t>
  </si>
  <si>
    <t xml:space="preserve">VIVIANA KATHERINE                                 </t>
  </si>
  <si>
    <t>2005-05-02 00:00:00.000</t>
  </si>
  <si>
    <t>2005-05-19 00:00:00.000</t>
  </si>
  <si>
    <t xml:space="preserve">MARTINEZ COLLAZOS                                 </t>
  </si>
  <si>
    <t xml:space="preserve">MARYBEL                                           </t>
  </si>
  <si>
    <t>2006-02-02 00:00:00.000</t>
  </si>
  <si>
    <t>2006-02-16 00:00:00.000</t>
  </si>
  <si>
    <t xml:space="preserve">BUITRON HOYOS                                     </t>
  </si>
  <si>
    <t xml:space="preserve">CAROL VIVIANA                                     </t>
  </si>
  <si>
    <t xml:space="preserve">PABON LOPEZ                                       </t>
  </si>
  <si>
    <t xml:space="preserve">ANDRES                                            </t>
  </si>
  <si>
    <t>1987-07-24 00:00:00.000</t>
  </si>
  <si>
    <t>2007-02-05 00:00:00.000</t>
  </si>
  <si>
    <t>2007-02-15 00:00:00.000</t>
  </si>
  <si>
    <t xml:space="preserve">PAZ CERON                                         </t>
  </si>
  <si>
    <t xml:space="preserve">JOSE GONZALO                                      </t>
  </si>
  <si>
    <t>2007-06-01 00:00:00.000</t>
  </si>
  <si>
    <t xml:space="preserve">SOTELO ZUÑIGA                                     </t>
  </si>
  <si>
    <t xml:space="preserve">EDWIN                                             </t>
  </si>
  <si>
    <t xml:space="preserve">CND  </t>
  </si>
  <si>
    <t>1998-12-15 00:00:00.000</t>
  </si>
  <si>
    <t>1998-12-17 00:00:00.000</t>
  </si>
  <si>
    <t>EXPERTA DELINEANTE DE ARQUITECTURA Y DE INGENIERIA</t>
  </si>
  <si>
    <t>FUNDACION UNIVERSIDAD DE BOGOTA JORGE TADEO LOZANO</t>
  </si>
  <si>
    <t>1991-11-05 00:00:00.000</t>
  </si>
  <si>
    <t>1991-12-12 00:00:00.000</t>
  </si>
  <si>
    <t>TECNICO PROFESIONAL AUXILIAR DE ARQUITECTURA E INGENIERIA</t>
  </si>
  <si>
    <t>ESCUELA DE ARTE Y DISEÑO DE ARQUITECTURA E INGENIERIA</t>
  </si>
  <si>
    <t>1991-12-03 00:00:00.000</t>
  </si>
  <si>
    <t xml:space="preserve">LUZ ESTHER                                        </t>
  </si>
  <si>
    <t>1992-02-04 00:00:00.000</t>
  </si>
  <si>
    <t>1992-03-26 00:00:00.000</t>
  </si>
  <si>
    <t>1992-07-23 00:00:00.000</t>
  </si>
  <si>
    <t>1992-08-20 00:00:00.000</t>
  </si>
  <si>
    <t>1992-10-30 00:00:00.000</t>
  </si>
  <si>
    <t>1993-02-11 00:00:00.000</t>
  </si>
  <si>
    <t>1993-06-17 00:00:00.000</t>
  </si>
  <si>
    <t>1993-08-12 00:00:00.000</t>
  </si>
  <si>
    <t>1994-01-27 00:00:00.000</t>
  </si>
  <si>
    <t>1994-02-17 00:00:00.000</t>
  </si>
  <si>
    <t>1994-03-03 00:00:00.000</t>
  </si>
  <si>
    <t>1994-04-07 00:00:00.000</t>
  </si>
  <si>
    <t>1995-04-26 00:00:00.000</t>
  </si>
  <si>
    <t>1995-11-27 00:00:00.000</t>
  </si>
  <si>
    <t>1996-02-29 00:00:00.000</t>
  </si>
  <si>
    <t>1996-05-14 00:00:00.000</t>
  </si>
  <si>
    <t>1996-05-31 00:00:00.000</t>
  </si>
  <si>
    <t>1996-07-18 00:00:00.000</t>
  </si>
  <si>
    <t>1997-02-06 00:00:00.000</t>
  </si>
  <si>
    <t>1997-03-11 00:00:00.000</t>
  </si>
  <si>
    <t>1997-04-09 00:00:00.000</t>
  </si>
  <si>
    <t>1997-05-08 00:00:00.000</t>
  </si>
  <si>
    <t>1997-10-02 00:00:00.000</t>
  </si>
  <si>
    <t>1997-10-16 00:00:00.000</t>
  </si>
  <si>
    <t>1997-12-11 00:00:00.000</t>
  </si>
  <si>
    <t>1998-04-02 00:00:00.000</t>
  </si>
  <si>
    <t>1998-04-22 00:00:00.000</t>
  </si>
  <si>
    <t>1998-05-06 00:00:00.000</t>
  </si>
  <si>
    <t>1998-06-05 00:00:00.000</t>
  </si>
  <si>
    <t>1998-10-01 00:00:00.000</t>
  </si>
  <si>
    <t>1998-10-15 00:00:00.000</t>
  </si>
  <si>
    <t>ESCUELA DE ARTES Y LETRAS</t>
  </si>
  <si>
    <t>1992-11-27 00:00:00.000</t>
  </si>
  <si>
    <t>1993-01-21 00:00:00.000</t>
  </si>
  <si>
    <t>FUNDACION UNIVERSIDAD DE AMERICA</t>
  </si>
  <si>
    <t>1993-05-13 00:00:00.000</t>
  </si>
  <si>
    <t>INSTITUCION UNIVERSITARIA COLEGIO MAYOR DE CUNDINAMARCA</t>
  </si>
  <si>
    <t>1993-10-14 00:00:00.000</t>
  </si>
  <si>
    <t>PONTIFICIA UNIVERSIDAD JAVERIANA</t>
  </si>
  <si>
    <t>CENTRO DE ESTUDIOS ARTISTICOS Y TECNICOS</t>
  </si>
  <si>
    <t>1991-10-01 00:00:00.000</t>
  </si>
  <si>
    <t>1991-10-24 00:00:00.000</t>
  </si>
  <si>
    <t>1993-04-28 00:00:00.000</t>
  </si>
  <si>
    <t>1993-06-10 00:00:00.000</t>
  </si>
  <si>
    <t>1993-09-09 00:00:00.000</t>
  </si>
  <si>
    <t>1993-11-11 00:00:00.000</t>
  </si>
  <si>
    <t>1994-05-05 00:00:00.000</t>
  </si>
  <si>
    <t>1994-08-04 00:00:00.000</t>
  </si>
  <si>
    <t>1994-08-18 00:00:00.000</t>
  </si>
  <si>
    <t>1994-11-24 00:00:00.000</t>
  </si>
  <si>
    <t>COLEGIO MAYOR DE CUNDINAMARCA</t>
  </si>
  <si>
    <t>1995-10-25 00:00:00.000</t>
  </si>
  <si>
    <t>1995-12-07 00:00:00.000</t>
  </si>
  <si>
    <t>INSTITUTO CRANTON DE TECNOLOGIA</t>
  </si>
  <si>
    <t>UNIVERSIDAD COLEGIO MAYOR DE CUNDINAMARCA</t>
  </si>
  <si>
    <t>1998-08-06 00:00:00.000</t>
  </si>
  <si>
    <t>2014-02-21 00:00:00.000</t>
  </si>
  <si>
    <t>TECNICO PROFESIONAL INTERMEDIO EN DISEÑO DE INTERIORES</t>
  </si>
  <si>
    <t>INUNIVERSITAS</t>
  </si>
  <si>
    <t>TECNICO PROFESIONAL EN ARQUITECTURA Y DISEÑO DE INTERIORES</t>
  </si>
  <si>
    <t>CORPORACION DE EDUCACION SUPERIOR DEL TRABAJO</t>
  </si>
  <si>
    <t>1996-11-27 00:00:00.000</t>
  </si>
  <si>
    <t xml:space="preserve">PINZON RAMIREZ                                    </t>
  </si>
  <si>
    <t xml:space="preserve">NELSON ROBERTO                                    </t>
  </si>
  <si>
    <t>1997-06-06 00:00:00.000</t>
  </si>
  <si>
    <t xml:space="preserve">NELSON                                            </t>
  </si>
  <si>
    <t>TECNICO PROFESIONAL INTERMEDIO EN DECORACION Y DISEÑO DE INTERIORES</t>
  </si>
  <si>
    <t>CENTRO UNIVERSITARIO NUESTRA SEÑORA DE LAS MERCEDES</t>
  </si>
  <si>
    <t>COLEGIO MAYOR DE CULTURA FEMENINA DE CUNDINAMARCA</t>
  </si>
  <si>
    <t>1996-01-31 00:00:00.000</t>
  </si>
  <si>
    <t>1996-02-15 00:00:00.000</t>
  </si>
  <si>
    <t>1996-10-08 00:00:00.000</t>
  </si>
  <si>
    <t>1996-10-17 00:00:00.000</t>
  </si>
  <si>
    <t>1996-12-12 00:00:00.000</t>
  </si>
  <si>
    <t>1997-07-03 00:00:00.000</t>
  </si>
  <si>
    <t>1997-08-19 00:00:00.000</t>
  </si>
  <si>
    <t>1997-08-21 00:00:00.000</t>
  </si>
  <si>
    <t>1997-09-04 00:00:00.000</t>
  </si>
  <si>
    <t>1997-11-06 00:00:00.000</t>
  </si>
  <si>
    <t>1998-03-05 00:00:00.000</t>
  </si>
  <si>
    <t>1998-03-24 00:00:00.000</t>
  </si>
  <si>
    <t>2007-06-29 00:00:00.000</t>
  </si>
  <si>
    <t>2014-01-29 00:00:00.000</t>
  </si>
  <si>
    <t>2008-12-16 00:00:00.000</t>
  </si>
  <si>
    <t>2011-02-12 00:00:00.000</t>
  </si>
  <si>
    <t>2013-05-29 00:00:00.000</t>
  </si>
  <si>
    <t>2014-03-21 00:00:00.000</t>
  </si>
  <si>
    <t>2009-11-23 00:00:00.000</t>
  </si>
  <si>
    <t>2012-10-23 00:00:00.000</t>
  </si>
  <si>
    <t>2012-03-23 00:00:00.000</t>
  </si>
  <si>
    <t>2012-05-25 00:00:00.000</t>
  </si>
  <si>
    <t>2014-06-18 00:00:00.000</t>
  </si>
  <si>
    <t>2010-11-02 00:00:00.000</t>
  </si>
  <si>
    <t>2014-07-24 00:00:00.000</t>
  </si>
  <si>
    <t>2014-08-08 00:00:00.000</t>
  </si>
  <si>
    <t>2009-11-09 00:00:00.000</t>
  </si>
  <si>
    <t>CORPORACION CENTRO DE NUESTRA SEÑORA DE LAS MERCEDES</t>
  </si>
  <si>
    <t>2010-04-05 00:00:00.000</t>
  </si>
  <si>
    <t>2010-04-15 00:00:00.000</t>
  </si>
  <si>
    <t>1993-12-01 00:00:00.000</t>
  </si>
  <si>
    <t>TECNICO PROFESIONAL EN DIBUJO ARQUITECTONICO</t>
  </si>
  <si>
    <t>FUNDACION INSTITUTO SUPERIOR DE CARRERAS TECNICAS - INSUTEC</t>
  </si>
  <si>
    <t>1996-12-10 00:00:00.000</t>
  </si>
  <si>
    <t>TECNICO PROFESIONAL EN DISEÑO ARQUITECTONICO Y ADMINISTRACION DE OBRA</t>
  </si>
  <si>
    <t>2011-02-04 00:00:00.000</t>
  </si>
  <si>
    <t>2011-02-17 00:00:00.000</t>
  </si>
  <si>
    <t>FUNDACION DE EDUCACION SUPERIOR INSUTEC</t>
  </si>
  <si>
    <t>2010-10-01 00:00:00.000</t>
  </si>
  <si>
    <t>TECNICO PROFESIONAL EN DISEÑO DE AMBIENTES</t>
  </si>
  <si>
    <t>1996-08-30 00:00:00.000</t>
  </si>
  <si>
    <t>TECNICO PROFESIONAL INTERMEDIO EN DIBUJO DE INGENIERIA MECANICA Y ARQUITECTURA</t>
  </si>
  <si>
    <t>ESCUELA DE DISEÑOS INDUSTRIALES - ACADITEC</t>
  </si>
  <si>
    <t>TECNICO PROFESIONAL EN DIBUJO DE INGENIERIA MECANICA Y ARQUITECTURA</t>
  </si>
  <si>
    <t>TECNICO PROFESIONAL INTERMEDIO EN AUXILIAR DE ARQUITECTURA E INGENIERIA</t>
  </si>
  <si>
    <t>TECNICO PROFESIONAL EN DISEÑO DE INTERIORES</t>
  </si>
  <si>
    <t>TALLER CINCO CENTRO DE DISEÑO</t>
  </si>
  <si>
    <t>2001-08-09 00:00:00.000</t>
  </si>
  <si>
    <t>TECNICO PROFESIONAL EN ARQUITECTURA E INGENIERIA</t>
  </si>
  <si>
    <t>2001-02-09 00:00:00.000</t>
  </si>
  <si>
    <t>2000-02-10 00:00:00.000</t>
  </si>
  <si>
    <t>2000-02-17 00:00:00.000</t>
  </si>
  <si>
    <t>2000-04-13 00:00:00.000</t>
  </si>
  <si>
    <t>2000-09-19 00:00:00.000</t>
  </si>
  <si>
    <t>2000-10-19 00:00:00.000</t>
  </si>
  <si>
    <t>2001-07-12 00:00:00.000</t>
  </si>
  <si>
    <t>1983-04-07 00:00:00.000</t>
  </si>
  <si>
    <t>2013-05-06 00:00:00.000</t>
  </si>
  <si>
    <t>1990-03-14 00:00:00.000</t>
  </si>
  <si>
    <t>1999-11-18 00:00:00.000</t>
  </si>
  <si>
    <t>1999-11-25 00:00:00.000</t>
  </si>
  <si>
    <t>2000-12-18 00:00:00.000</t>
  </si>
  <si>
    <t>1974-11-08 00:00:00.000</t>
  </si>
  <si>
    <t>2002-09-12 00:00:00.000</t>
  </si>
  <si>
    <t>2012-04-20 00:00:00.000</t>
  </si>
  <si>
    <t>2012-08-10 00:00:00.000</t>
  </si>
  <si>
    <t>1994-12-16 00:00:00.000</t>
  </si>
  <si>
    <t>2012-11-02 00:00:00.000</t>
  </si>
  <si>
    <t>2012-11-09 00:00:00.000</t>
  </si>
  <si>
    <t>2009-06-26 00:00:00.000</t>
  </si>
  <si>
    <t>1999-12-09 00:00:00.000</t>
  </si>
  <si>
    <t>2012-12-04 00:00:00.000</t>
  </si>
  <si>
    <t>2012-12-06 00:00:00.000</t>
  </si>
  <si>
    <t>2013-04-18 00:00:00.000</t>
  </si>
  <si>
    <t>2013-04-29 00:00:00.000</t>
  </si>
  <si>
    <t>2010-06-25 00:00:00.000</t>
  </si>
  <si>
    <t>2013-07-05 00:00:00.000</t>
  </si>
  <si>
    <t>1993-06-25 00:00:00.000</t>
  </si>
  <si>
    <t>2013-09-20 00:00:00.000</t>
  </si>
  <si>
    <t>1997-12-10 00:00:00.000</t>
  </si>
  <si>
    <t>2014-01-10 00:00:00.000</t>
  </si>
  <si>
    <t>2013-06-28 00:00:00.000</t>
  </si>
  <si>
    <t>2014-03-07 00:00:00.000</t>
  </si>
  <si>
    <t>1998-12-04 00:00:00.000</t>
  </si>
  <si>
    <t>2000-06-23 00:00:00.000</t>
  </si>
  <si>
    <t>2004-12-17 00:00:00.000</t>
  </si>
  <si>
    <t>2010-03-08 00:00:00.000</t>
  </si>
  <si>
    <t>2006-03-10 00:00:00.000</t>
  </si>
  <si>
    <t>1984-06-26 00:00:00.000</t>
  </si>
  <si>
    <t>1999-03-11 00:00:00.000</t>
  </si>
  <si>
    <t>2001-01-18 00:00:00.000</t>
  </si>
  <si>
    <t>2001-01-25 00:00:00.000</t>
  </si>
  <si>
    <t>TECNICO PROFESIONAL DIBUJO DE INGENIERIA MECANICA Y ARQUITECTURA</t>
  </si>
  <si>
    <t>1994-08-09 00:00:00.000</t>
  </si>
  <si>
    <t>1999-05-06 00:00:00.000</t>
  </si>
  <si>
    <t>1999-06-03 00:00:00.000</t>
  </si>
  <si>
    <t>1999-07-01 00:00:00.000</t>
  </si>
  <si>
    <t>2000-06-13 00:00:00.000</t>
  </si>
  <si>
    <t>2000-06-15 00:00:00.000</t>
  </si>
  <si>
    <t>2010-06-08 00:00:00.000</t>
  </si>
  <si>
    <t>1991-07-23 00:00:00.000</t>
  </si>
  <si>
    <t>2012-02-07 00:00:00.000</t>
  </si>
  <si>
    <t>2012-02-13 00:00:00.000</t>
  </si>
  <si>
    <t>1994-07-29 00:00:00.000</t>
  </si>
  <si>
    <t>1995-09-14 00:00:00.000</t>
  </si>
  <si>
    <t>TECNICO PROFESIONAL EN AUXILIAR DE ARQUITECTURA E INGENIERIA</t>
  </si>
  <si>
    <t>1999-10-20 00:00:00.000</t>
  </si>
  <si>
    <t>1999-10-26 00:00:00.000</t>
  </si>
  <si>
    <t>2004-11-04 00:00:00.000</t>
  </si>
  <si>
    <t>2004-11-18 00:00:00.000</t>
  </si>
  <si>
    <t>1989-04-14 00:00:00.000</t>
  </si>
  <si>
    <t xml:space="preserve">NRÑ  </t>
  </si>
  <si>
    <t>1993-02-19 00:00:00.000</t>
  </si>
  <si>
    <t xml:space="preserve">FUERTES CHAVES                                    </t>
  </si>
  <si>
    <t xml:space="preserve">NANCY LUCIA                                       </t>
  </si>
  <si>
    <t>INSTITUCION UNIVERSITARIA CENTRO DE ESTUDIOS SUP. MARIA GORETTI - CESMAG</t>
  </si>
  <si>
    <t xml:space="preserve">SILVA BACCA                                       </t>
  </si>
  <si>
    <t xml:space="preserve">ROMO MARTINEZ                                     </t>
  </si>
  <si>
    <t xml:space="preserve">WILLAN FERNEY                                     </t>
  </si>
  <si>
    <t xml:space="preserve">ARELLANO MORENO                                   </t>
  </si>
  <si>
    <t xml:space="preserve">MIGUEL EDUARDO                                    </t>
  </si>
  <si>
    <t xml:space="preserve">ZAMBRANO AREVALO                                  </t>
  </si>
  <si>
    <t xml:space="preserve">ROSA ADELA                                        </t>
  </si>
  <si>
    <t xml:space="preserve">OBANDO ENRIQUEZ                                   </t>
  </si>
  <si>
    <t xml:space="preserve">HECTOR ALBERTO                                    </t>
  </si>
  <si>
    <t xml:space="preserve">ERAZO BENAVIDES                                   </t>
  </si>
  <si>
    <t xml:space="preserve">BERTHA ESTELLA                                    </t>
  </si>
  <si>
    <t xml:space="preserve">BENAVIDES MESIAS                                  </t>
  </si>
  <si>
    <t xml:space="preserve">CARMEN ALICIA                                     </t>
  </si>
  <si>
    <t xml:space="preserve">ORTEGA OLAVE                                      </t>
  </si>
  <si>
    <t xml:space="preserve">AMPARO DEL CARMEN                                 </t>
  </si>
  <si>
    <t>CENTRO DE ESTUDIOS SUPERIORES MARIA GORETTI CESMAG</t>
  </si>
  <si>
    <t xml:space="preserve">ECHEVERRIA ZAMBRANO                               </t>
  </si>
  <si>
    <t xml:space="preserve">JESUS ALFONSO                                     </t>
  </si>
  <si>
    <t xml:space="preserve">RICAURTE GARZON                                   </t>
  </si>
  <si>
    <t xml:space="preserve">MARIO HERNAN                                      </t>
  </si>
  <si>
    <t xml:space="preserve">PANTOJA RUANO                                     </t>
  </si>
  <si>
    <t xml:space="preserve">LORENA YOLANDA                                    </t>
  </si>
  <si>
    <t xml:space="preserve">LOPEZ BONILLA                                     </t>
  </si>
  <si>
    <t xml:space="preserve">AMPARITO YOLANDA                                  </t>
  </si>
  <si>
    <t xml:space="preserve">BENAVIDES CHAMORRO                                </t>
  </si>
  <si>
    <t xml:space="preserve">FUERTES TORRES                                    </t>
  </si>
  <si>
    <t xml:space="preserve">MARIA ANTONIETA                                   </t>
  </si>
  <si>
    <t xml:space="preserve">MORAN GUERRERO                                    </t>
  </si>
  <si>
    <t xml:space="preserve">EDGAR ROBERTO                                     </t>
  </si>
  <si>
    <t>TECNICO PROFESIONAL INTERMEDIO DELINEANTE DE ARQUITECTURA</t>
  </si>
  <si>
    <t>FUNDACION CENTRO DE ESTUDIOS SUPERIORES MARIA GORETTI CESMAG</t>
  </si>
  <si>
    <t xml:space="preserve">AHUMADA TOBAR                                     </t>
  </si>
  <si>
    <t xml:space="preserve">ERNESTO                                           </t>
  </si>
  <si>
    <t xml:space="preserve">BENAVIDES GRIJALBA                                </t>
  </si>
  <si>
    <t xml:space="preserve">LUIS ARMANDO                                      </t>
  </si>
  <si>
    <t xml:space="preserve">TABLA ROJAS                                       </t>
  </si>
  <si>
    <t xml:space="preserve">ALBINA OLIVA                                      </t>
  </si>
  <si>
    <t xml:space="preserve">SOLARTE DORADO                                    </t>
  </si>
  <si>
    <t xml:space="preserve">GLADYS                                            </t>
  </si>
  <si>
    <t xml:space="preserve">LEGARDA YELA                                      </t>
  </si>
  <si>
    <t xml:space="preserve">RAMOS VILLOTA                                     </t>
  </si>
  <si>
    <t xml:space="preserve">RUTH STELLA                                       </t>
  </si>
  <si>
    <t xml:space="preserve">BOLAÑOS BURBANO                                   </t>
  </si>
  <si>
    <t xml:space="preserve">ADRIANA CLEMENCIA                                 </t>
  </si>
  <si>
    <t xml:space="preserve">MARTINEZ ARELLANO                                 </t>
  </si>
  <si>
    <t xml:space="preserve">ALVARO FABIAN                                     </t>
  </si>
  <si>
    <t>ASOCIACION ESCOLAR MARIA GORETTI - SECCION INSTITUTO UNIVERSITARIO</t>
  </si>
  <si>
    <t xml:space="preserve">OCAÑA BURBANO                                     </t>
  </si>
  <si>
    <t xml:space="preserve">HAROLD EDGAR ALEJANDRO                            </t>
  </si>
  <si>
    <t>1994-09-06 00:00:00.000</t>
  </si>
  <si>
    <t xml:space="preserve">LUNA VELASCO                                      </t>
  </si>
  <si>
    <t>1996-04-03 00:00:00.000</t>
  </si>
  <si>
    <t>1996-05-24 00:00:00.000</t>
  </si>
  <si>
    <t>1996-12-16 00:00:00.000</t>
  </si>
  <si>
    <t>1997-02-27 00:00:00.000</t>
  </si>
  <si>
    <t>1997-09-25 00:00:00.000</t>
  </si>
  <si>
    <t>1998-07-27 00:00:00.000</t>
  </si>
  <si>
    <t>1994-04-08 00:00:00.000</t>
  </si>
  <si>
    <t xml:space="preserve">MARTINEZ RUBIO                                    </t>
  </si>
  <si>
    <t xml:space="preserve">SONIA LUCY                                        </t>
  </si>
  <si>
    <t>1994-05-09 00:00:00.000</t>
  </si>
  <si>
    <t xml:space="preserve">DELGADO LUNA                                      </t>
  </si>
  <si>
    <t xml:space="preserve">DORIS CRISTINA                                    </t>
  </si>
  <si>
    <t xml:space="preserve">HIGIDIO MONCAYO                                   </t>
  </si>
  <si>
    <t xml:space="preserve">IVAN JUVENCIO                                     </t>
  </si>
  <si>
    <t xml:space="preserve">HEREDIA CHAVES                                    </t>
  </si>
  <si>
    <t xml:space="preserve">PEDRO AUGUSTO                                     </t>
  </si>
  <si>
    <t xml:space="preserve">SEPULVEDA CASANOVA                                </t>
  </si>
  <si>
    <t>1994-06-29 00:00:00.000</t>
  </si>
  <si>
    <t xml:space="preserve">VINUEZA SANTACRUZ                                 </t>
  </si>
  <si>
    <t xml:space="preserve">BASTIDAS ROSERO                                   </t>
  </si>
  <si>
    <t>INSTITUTO MARIA GORETTI CESMAG</t>
  </si>
  <si>
    <t>1998-04-01 00:00:00.000</t>
  </si>
  <si>
    <t>1998-11-12 00:00:00.000</t>
  </si>
  <si>
    <t>2006-02-07 00:00:00.000</t>
  </si>
  <si>
    <t xml:space="preserve">CHAMORRO RODRIGUEZ                                </t>
  </si>
  <si>
    <t xml:space="preserve">OSCAR WILLIAM                                     </t>
  </si>
  <si>
    <t>1998-09-25 00:00:00.000</t>
  </si>
  <si>
    <t>2006-03-06 00:00:00.000</t>
  </si>
  <si>
    <t xml:space="preserve">PERDOMO JIMENEZ                                   </t>
  </si>
  <si>
    <t xml:space="preserve">EDUARD                                            </t>
  </si>
  <si>
    <t>1998-03-27 00:00:00.000</t>
  </si>
  <si>
    <t>2007-08-30 00:00:00.000</t>
  </si>
  <si>
    <t>2007-09-12 00:00:00.000</t>
  </si>
  <si>
    <t xml:space="preserve">BENAVIDES DULCE                                   </t>
  </si>
  <si>
    <t>1997-09-26 00:00:00.000</t>
  </si>
  <si>
    <t>2008-02-06 00:00:00.000</t>
  </si>
  <si>
    <t xml:space="preserve">CHAMORRO URRESTA                                  </t>
  </si>
  <si>
    <t>2008-06-04 00:00:00.000</t>
  </si>
  <si>
    <t xml:space="preserve">REALPE CALVACHE                                   </t>
  </si>
  <si>
    <t xml:space="preserve">GLADYS MYREYA                                     </t>
  </si>
  <si>
    <t>1997-06-21 00:00:00.000</t>
  </si>
  <si>
    <t>2011-03-03 00:00:00.000</t>
  </si>
  <si>
    <t>2011-03-17 00:00:00.000</t>
  </si>
  <si>
    <t xml:space="preserve">SOTO INSUASTY                                     </t>
  </si>
  <si>
    <t xml:space="preserve">BIVIAN ANDREA                                     </t>
  </si>
  <si>
    <t xml:space="preserve">RIASCOS GOMEZ                                     </t>
  </si>
  <si>
    <t xml:space="preserve">ALFONSO RICARDO                                   </t>
  </si>
  <si>
    <t>1995-03-09 00:00:00.000</t>
  </si>
  <si>
    <t xml:space="preserve">FLOREZ ROSERO                                     </t>
  </si>
  <si>
    <t xml:space="preserve">MILTON OSWALDO                                    </t>
  </si>
  <si>
    <t>1995-08-16 00:00:00.000</t>
  </si>
  <si>
    <t xml:space="preserve">CHAVES RUIZ                                       </t>
  </si>
  <si>
    <t xml:space="preserve">GERMAN HERNAN                                     </t>
  </si>
  <si>
    <t xml:space="preserve">DIAZ LEGARDA                                      </t>
  </si>
  <si>
    <t xml:space="preserve">SARASTY MURIEL                                    </t>
  </si>
  <si>
    <t xml:space="preserve">DELIA DEL CARMEN                                  </t>
  </si>
  <si>
    <t xml:space="preserve">ORTEGA BELALCAZAR                                 </t>
  </si>
  <si>
    <t xml:space="preserve">ANA GUISELA                                       </t>
  </si>
  <si>
    <t xml:space="preserve">ZARAMA CARDONA                                    </t>
  </si>
  <si>
    <t xml:space="preserve">ROSA MARIA                                        </t>
  </si>
  <si>
    <t>1997-08-28 00:00:00.000</t>
  </si>
  <si>
    <t xml:space="preserve">ALVARADO CASTILLO                                 </t>
  </si>
  <si>
    <t xml:space="preserve">CORTES GOMEZJURADO                                </t>
  </si>
  <si>
    <t xml:space="preserve">BEATRIZ CRISTINA                                  </t>
  </si>
  <si>
    <t xml:space="preserve">VILLARREAL ROSERO                                 </t>
  </si>
  <si>
    <t xml:space="preserve">LUIS GONZALO                                      </t>
  </si>
  <si>
    <t>1998-06-26 00:00:00.000</t>
  </si>
  <si>
    <t>1999-04-28 00:00:00.000</t>
  </si>
  <si>
    <t>1999-07-08 00:00:00.000</t>
  </si>
  <si>
    <t>2000-08-09 00:00:00.000</t>
  </si>
  <si>
    <t>2000-09-28 00:00:00.000</t>
  </si>
  <si>
    <t>2001-02-14 00:00:00.000</t>
  </si>
  <si>
    <t>2000-09-29 00:00:00.000</t>
  </si>
  <si>
    <t>2001-05-25 00:00:00.000</t>
  </si>
  <si>
    <t>2001-03-30 00:00:00.000</t>
  </si>
  <si>
    <t>2001-09-11 00:00:00.000</t>
  </si>
  <si>
    <t>2001-09-20 00:00:00.000</t>
  </si>
  <si>
    <t>2001-06-22 00:00:00.000</t>
  </si>
  <si>
    <t>2002-09-16 00:00:00.000</t>
  </si>
  <si>
    <t>2002-03-22 00:00:00.000</t>
  </si>
  <si>
    <t>2003-01-30 00:00:00.000</t>
  </si>
  <si>
    <t>2003-02-27 00:00:00.000</t>
  </si>
  <si>
    <t xml:space="preserve">SILVA MONTAÑO                                     </t>
  </si>
  <si>
    <t xml:space="preserve">JHON JAIRO                                        </t>
  </si>
  <si>
    <t>2002-12-13 00:00:00.000</t>
  </si>
  <si>
    <t>2003-03-19 00:00:00.000</t>
  </si>
  <si>
    <t>2003-04-24 00:00:00.000</t>
  </si>
  <si>
    <t xml:space="preserve">ROSERO PADILLA                                    </t>
  </si>
  <si>
    <t xml:space="preserve">JHON ANDREY                                       </t>
  </si>
  <si>
    <t>2003-07-31 00:00:00.000</t>
  </si>
  <si>
    <t xml:space="preserve">FIGUEROA PEREZ                                    </t>
  </si>
  <si>
    <t xml:space="preserve">LEYDI JHOANA                                      </t>
  </si>
  <si>
    <t>2003-06-27 00:00:00.000</t>
  </si>
  <si>
    <t>2003-12-10 00:00:00.000</t>
  </si>
  <si>
    <t xml:space="preserve">CHITAN CUASTUMAL                                  </t>
  </si>
  <si>
    <t xml:space="preserve">JESUS HUMBERTO                                    </t>
  </si>
  <si>
    <t xml:space="preserve">PORTILLA                                          </t>
  </si>
  <si>
    <t xml:space="preserve">SANDRA MILENA                                     </t>
  </si>
  <si>
    <t>2003-09-26 00:00:00.000</t>
  </si>
  <si>
    <t>2004-02-05 00:00:00.000</t>
  </si>
  <si>
    <t>2004-02-19 00:00:00.000</t>
  </si>
  <si>
    <t xml:space="preserve">DOMINGUEZ VELASQUEZ                               </t>
  </si>
  <si>
    <t xml:space="preserve">ARTEMIO ABILIO                                    </t>
  </si>
  <si>
    <t>2003-12-12 00:00:00.000</t>
  </si>
  <si>
    <t xml:space="preserve">OVIEDO CHICAIZA                                   </t>
  </si>
  <si>
    <t xml:space="preserve">LUIS ALEJANDRO                                    </t>
  </si>
  <si>
    <t>2004-11-09 00:00:00.000</t>
  </si>
  <si>
    <t xml:space="preserve">CUCUÑAME CHAMORRO                                 </t>
  </si>
  <si>
    <t xml:space="preserve">GUERLIN ILDERY                                    </t>
  </si>
  <si>
    <t>2005-11-03 00:00:00.000</t>
  </si>
  <si>
    <t>2005-11-17 00:00:00.000</t>
  </si>
  <si>
    <t xml:space="preserve">BOTINA JOJOA                                      </t>
  </si>
  <si>
    <t xml:space="preserve">PEDRO MAURICIO                                    </t>
  </si>
  <si>
    <t>2002-07-06 00:00:00.000</t>
  </si>
  <si>
    <t xml:space="preserve">ORTIZ ROSERO                                      </t>
  </si>
  <si>
    <t xml:space="preserve">DIEGO ALBERTO                                     </t>
  </si>
  <si>
    <t>2007-01-11 00:00:00.000</t>
  </si>
  <si>
    <t>2007-01-25 00:00:00.000</t>
  </si>
  <si>
    <t xml:space="preserve">CORAL ERASO                                       </t>
  </si>
  <si>
    <t xml:space="preserve">HOMERO                                            </t>
  </si>
  <si>
    <t>2007-02-06 00:00:00.000</t>
  </si>
  <si>
    <t xml:space="preserve">DELGADO CAICEDO                                   </t>
  </si>
  <si>
    <t xml:space="preserve">JAIME ANDRES                                      </t>
  </si>
  <si>
    <t xml:space="preserve">JOHN WILSON                                       </t>
  </si>
  <si>
    <t xml:space="preserve">MADROÑERO HERNANDEZ                               </t>
  </si>
  <si>
    <t>2011-12-05 00:00:00.000</t>
  </si>
  <si>
    <t xml:space="preserve">DEVIA HERNANDEZ                                   </t>
  </si>
  <si>
    <t>1995-03-31 00:00:00.000</t>
  </si>
  <si>
    <t>2013-02-05 00:00:00.000</t>
  </si>
  <si>
    <t xml:space="preserve">LOPEZ MELO                                        </t>
  </si>
  <si>
    <t xml:space="preserve">WILSON HERNANDO                                   </t>
  </si>
  <si>
    <t xml:space="preserve">BRAVO PIPICANO                                    </t>
  </si>
  <si>
    <t xml:space="preserve">EDWIN THOMAS                                      </t>
  </si>
  <si>
    <t>2005-06-01 00:00:00.000</t>
  </si>
  <si>
    <t>2005-06-16 00:00:00.000</t>
  </si>
  <si>
    <t xml:space="preserve">CALDERON MUÑOZ                                    </t>
  </si>
  <si>
    <t xml:space="preserve">OSCAR ROLANDO                                     </t>
  </si>
  <si>
    <t>2006-08-02 00:00:00.000</t>
  </si>
  <si>
    <t>2006-08-17 00:00:00.000</t>
  </si>
  <si>
    <t xml:space="preserve">ZUÑIGA CORDOBA                                    </t>
  </si>
  <si>
    <t xml:space="preserve">MANUEL HERNAN                                     </t>
  </si>
  <si>
    <t>1999-12-17 00:00:00.000</t>
  </si>
  <si>
    <t>1995-06-22 00:00:00.000</t>
  </si>
  <si>
    <t>UNIVERSIDAD FRANCISCO DE PAULA SANTANDER</t>
  </si>
  <si>
    <t>1992-03-05 00:00:00.000</t>
  </si>
  <si>
    <t>1994-02-16 00:00:00.000</t>
  </si>
  <si>
    <t>1994-09-08 00:00:00.000</t>
  </si>
  <si>
    <t>1995-07-10 00:00:00.000</t>
  </si>
  <si>
    <t>1996-03-08 00:00:00.000</t>
  </si>
  <si>
    <t>1996-07-26 00:00:00.000</t>
  </si>
  <si>
    <t>1997-03-08 00:00:00.000</t>
  </si>
  <si>
    <t>1997-04-29 00:00:00.000</t>
  </si>
  <si>
    <t>1997-07-14 00:00:00.000</t>
  </si>
  <si>
    <t>2005-03-01 00:00:00.000</t>
  </si>
  <si>
    <t>1982-07-05 00:00:00.000</t>
  </si>
  <si>
    <t>2006-07-04 00:00:00.000</t>
  </si>
  <si>
    <t>1983-06-28 00:00:00.000</t>
  </si>
  <si>
    <t>1981-06-25 00:00:00.000</t>
  </si>
  <si>
    <t>2012-07-17 00:00:00.000</t>
  </si>
  <si>
    <t>1988-09-30 00:00:00.000</t>
  </si>
  <si>
    <t>2013-08-06 00:00:00.000</t>
  </si>
  <si>
    <t>2013-08-15 00:00:00.000</t>
  </si>
  <si>
    <t>1996-10-03 00:00:00.000</t>
  </si>
  <si>
    <t>1997-10-22 00:00:00.000</t>
  </si>
  <si>
    <t>1998-03-03 00:00:00.000</t>
  </si>
  <si>
    <t>1998-12-21 00:00:00.000</t>
  </si>
  <si>
    <t>1999-01-26 00:00:00.000</t>
  </si>
  <si>
    <t>2008-09-01 00:00:00.000</t>
  </si>
  <si>
    <t>2011-04-04 00:00:00.000</t>
  </si>
  <si>
    <t>2013-06-05 00:00:00.000</t>
  </si>
  <si>
    <t>2013-06-20 00:00:00.000</t>
  </si>
  <si>
    <t>2000-12-06 00:00:00.000</t>
  </si>
  <si>
    <t>2001-03-09 00:00:00.000</t>
  </si>
  <si>
    <t>2001-03-15 00:00:00.000</t>
  </si>
  <si>
    <t>1991-04-05 00:00:00.000</t>
  </si>
  <si>
    <t>2001-08-10 00:00:00.000</t>
  </si>
  <si>
    <t>2001-07-25 00:00:00.000</t>
  </si>
  <si>
    <t>1992-06-26 00:00:00.000</t>
  </si>
  <si>
    <t>2002-01-15 00:00:00.000</t>
  </si>
  <si>
    <t>2002-01-17 00:00:00.000</t>
  </si>
  <si>
    <t>2002-06-12 00:00:00.000</t>
  </si>
  <si>
    <t>2002-06-20 00:00:00.000</t>
  </si>
  <si>
    <t>2002-07-10 00:00:00.000</t>
  </si>
  <si>
    <t>2002-07-18 00:00:00.000</t>
  </si>
  <si>
    <t>1992-05-27 00:00:00.000</t>
  </si>
  <si>
    <t>2003-12-05 00:00:00.000</t>
  </si>
  <si>
    <t>2004-03-05 00:00:00.000</t>
  </si>
  <si>
    <t>2004-03-18 00:00:00.000</t>
  </si>
  <si>
    <t>1999-01-29 00:00:00.000</t>
  </si>
  <si>
    <t>1999-02-18 00:00:00.000</t>
  </si>
  <si>
    <t>2005-11-02 00:00:00.000</t>
  </si>
  <si>
    <t>1991-12-20 00:00:00.000</t>
  </si>
  <si>
    <t>2000-11-14 00:00:00.000</t>
  </si>
  <si>
    <t>2000-11-16 00:00:00.000</t>
  </si>
  <si>
    <t>2006-12-01 00:00:00.000</t>
  </si>
  <si>
    <t>2002-12-06 00:00:00.000</t>
  </si>
  <si>
    <t>2002-12-19 00:00:00.000</t>
  </si>
  <si>
    <t>1985-12-13 00:00:00.000</t>
  </si>
  <si>
    <t>2004-11-02 00:00:00.000</t>
  </si>
  <si>
    <t>1981-12-10 00:00:00.000</t>
  </si>
  <si>
    <t>2004-12-01 00:00:00.000</t>
  </si>
  <si>
    <t>2005-10-03 00:00:00.000</t>
  </si>
  <si>
    <t>1999-05-13 00:00:00.000</t>
  </si>
  <si>
    <t>1999-09-14 00:00:00.000</t>
  </si>
  <si>
    <t>1999-12-15 00:00:00.000</t>
  </si>
  <si>
    <t>1999-12-21 00:00:00.000</t>
  </si>
  <si>
    <t>1979-05-31 00:00:00.000</t>
  </si>
  <si>
    <t>2006-06-07 00:00:00.000</t>
  </si>
  <si>
    <t>2006-06-15 00:00:00.000</t>
  </si>
  <si>
    <t>2005-08-02 00:00:00.000</t>
  </si>
  <si>
    <t>2004-11-26 00:00:00.000</t>
  </si>
  <si>
    <t>2009-02-02 00:00:00.000</t>
  </si>
  <si>
    <t>2009-02-19 00:00:00.000</t>
  </si>
  <si>
    <t>2009-01-09 00:00:00.000</t>
  </si>
  <si>
    <t>2009-01-22 00:00:00.000</t>
  </si>
  <si>
    <t>2008-09-10 00:00:00.000</t>
  </si>
  <si>
    <t>2013-11-05 00:00:00.000</t>
  </si>
  <si>
    <t>2011-05-13 00:00:00.000</t>
  </si>
  <si>
    <t>2014-07-02 00:00:00.000</t>
  </si>
  <si>
    <t>2011-01-26 00:00:00.000</t>
  </si>
  <si>
    <t>2011-01-12 00:00:00.000</t>
  </si>
  <si>
    <t>2011-01-20 00:00:00.000</t>
  </si>
  <si>
    <t>2008-09-11 00:00:00.000</t>
  </si>
  <si>
    <t>2008-12-24 00:00:00.000</t>
  </si>
  <si>
    <t>2009-06-13 00:00:00.000</t>
  </si>
  <si>
    <t>2013-03-05 00:00:00.000</t>
  </si>
  <si>
    <t>2013-03-07 00:00:00.000</t>
  </si>
  <si>
    <t>1996-05-09 00:00:00.000</t>
  </si>
  <si>
    <t>TECNICO PROFESIONAL INTERMEDIO EN DIBUJO ARQUITECTONICO Y DE INGENIERIA</t>
  </si>
  <si>
    <t>CORPORACION CENTRO TECNICO ARQUITECTONICO</t>
  </si>
  <si>
    <t>1996-11-19 00:00:00.000</t>
  </si>
  <si>
    <t>1997-07-10 00:00:00.000</t>
  </si>
  <si>
    <t>INSTITUTO POLITECNICO DE BIELORRUSIA</t>
  </si>
  <si>
    <t>2009-09-02 00:00:00.000</t>
  </si>
  <si>
    <t>1983-12-07 00:00:00.000</t>
  </si>
  <si>
    <t>1993-12-27 00:00:00.000</t>
  </si>
  <si>
    <t>1994-01-24 00:00:00.000</t>
  </si>
  <si>
    <t>1994-03-10 00:00:00.000</t>
  </si>
  <si>
    <t>1994-07-05 00:00:00.000</t>
  </si>
  <si>
    <t>1994-05-02 00:00:00.000</t>
  </si>
  <si>
    <t>TECNOLOGO PROFESIONAL EN DIBUJO ARQUITECTONICO E INGENIERIA</t>
  </si>
  <si>
    <t>1994-12-05 00:00:00.000</t>
  </si>
  <si>
    <t>1995-01-19 00:00:00.000</t>
  </si>
  <si>
    <t>1995-02-10 00:00:00.000</t>
  </si>
  <si>
    <t>1995-05-24 00:00:00.000</t>
  </si>
  <si>
    <t>1995-07-07 00:00:00.000</t>
  </si>
  <si>
    <t>1995-08-28 00:00:00.000</t>
  </si>
  <si>
    <t>1996-02-20 00:00:00.000</t>
  </si>
  <si>
    <t>TECNICO PROFESIONAL EN DIBUJO ARQUITECTONICO Y DE INGENIERIA</t>
  </si>
  <si>
    <t>1997-12-26 00:00:00.000</t>
  </si>
  <si>
    <t>1998-06-03 00:00:00.000</t>
  </si>
  <si>
    <t>2005-02-02 00:00:00.000</t>
  </si>
  <si>
    <t>2004-12-13 00:00:00.000</t>
  </si>
  <si>
    <t>1997-09-29 00:00:00.000</t>
  </si>
  <si>
    <t>TECNICO PROFESIONAL EN DECORACION DE ESPACIOS ARQUITECTURA</t>
  </si>
  <si>
    <t>1999-02-05 00:00:00.000</t>
  </si>
  <si>
    <t xml:space="preserve">CENTRO TECNICO ARQUITECTONICO - CTA </t>
  </si>
  <si>
    <t>2000-03-01 00:00:00.000</t>
  </si>
  <si>
    <t>2001-11-08 00:00:00.000</t>
  </si>
  <si>
    <t>1991-08-16 00:00:00.000</t>
  </si>
  <si>
    <t>2002-08-08 00:00:00.000</t>
  </si>
  <si>
    <t>2002-08-15 00:00:00.000</t>
  </si>
  <si>
    <t>1989-02-17 00:00:00.000</t>
  </si>
  <si>
    <t>2004-04-07 00:00:00.000</t>
  </si>
  <si>
    <t>2004-04-22 00:00:00.000</t>
  </si>
  <si>
    <t>2004-01-29 00:00:00.000</t>
  </si>
  <si>
    <t>2004-05-05 00:00:00.000</t>
  </si>
  <si>
    <t>2004-05-20 00:00:00.000</t>
  </si>
  <si>
    <t>1995-07-28 00:00:00.000</t>
  </si>
  <si>
    <t>1999-03-25 00:00:00.000</t>
  </si>
  <si>
    <t>2006-08-09 00:00:00.000</t>
  </si>
  <si>
    <t>2005-09-02 00:00:00.000</t>
  </si>
  <si>
    <t>2006-11-01 00:00:00.000</t>
  </si>
  <si>
    <t>2006-11-16 00:00:00.000</t>
  </si>
  <si>
    <t>2001-05-21 00:00:00.000</t>
  </si>
  <si>
    <t>2007-06-13 00:00:00.000</t>
  </si>
  <si>
    <t>1987-07-31 00:00:00.000</t>
  </si>
  <si>
    <t>2009-02-04 00:00:00.000</t>
  </si>
  <si>
    <t>2008-03-14 00:00:00.000</t>
  </si>
  <si>
    <t>2009-04-01 00:00:00.000</t>
  </si>
  <si>
    <t>2009-04-23 00:00:00.000</t>
  </si>
  <si>
    <t>2008-12-26 00:00:00.000</t>
  </si>
  <si>
    <t>2009-06-03 00:00:00.000</t>
  </si>
  <si>
    <t>2007-12-29 00:00:00.000</t>
  </si>
  <si>
    <t>2009-11-04 00:00:00.000</t>
  </si>
  <si>
    <t>2009-12-09 00:00:00.000</t>
  </si>
  <si>
    <t>2009-12-22 00:00:00.000</t>
  </si>
  <si>
    <t>1996-08-20 00:00:00.000</t>
  </si>
  <si>
    <t>CORPORACION CENTRO TECNICO ARQUITECTONICO CTA</t>
  </si>
  <si>
    <t>2006-03-24 00:00:00.000</t>
  </si>
  <si>
    <t>CORPORACION DE EDUCACION SUPERIOR - CTA</t>
  </si>
  <si>
    <t>1988-08-30 00:00:00.000</t>
  </si>
  <si>
    <t>1997-08-09 00:00:00.000</t>
  </si>
  <si>
    <t>2012-04-19 00:00:00.000</t>
  </si>
  <si>
    <t>2012-06-20 00:00:00.000</t>
  </si>
  <si>
    <t>2012-07-09 00:00:00.000</t>
  </si>
  <si>
    <t>2011-12-21 00:00:00.000</t>
  </si>
  <si>
    <t>2012-09-05 00:00:00.000</t>
  </si>
  <si>
    <t>2012-09-20 00:00:00.000</t>
  </si>
  <si>
    <t>2001-12-21 00:00:00.000</t>
  </si>
  <si>
    <t>2012-09-19 00:00:00.000</t>
  </si>
  <si>
    <t>2012-08-18 00:00:00.000</t>
  </si>
  <si>
    <t>2012-12-05 00:00:00.000</t>
  </si>
  <si>
    <t>2013-02-20 00:00:00.000</t>
  </si>
  <si>
    <t>1981-08-21 00:00:00.000</t>
  </si>
  <si>
    <t>1994-12-22 00:00:00.000</t>
  </si>
  <si>
    <t>2013-07-03 00:00:00.000</t>
  </si>
  <si>
    <t>1989-08-30 00:00:00.000</t>
  </si>
  <si>
    <t>2013-09-04 00:00:00.000</t>
  </si>
  <si>
    <t>2007-05-12 00:00:00.000</t>
  </si>
  <si>
    <t>2014-02-19 00:00:00.000</t>
  </si>
  <si>
    <t>2013-11-12 00:00:00.000</t>
  </si>
  <si>
    <t>2014-03-05 00:00:00.000</t>
  </si>
  <si>
    <t>1998-03-06 00:00:00.000</t>
  </si>
  <si>
    <t>2014-04-02 00:00:00.000</t>
  </si>
  <si>
    <t>1986-02-21 00:00:00.000</t>
  </si>
  <si>
    <t>2002-01-22 00:00:00.000</t>
  </si>
  <si>
    <t>2002-02-21 00:00:00.000</t>
  </si>
  <si>
    <t>1986-12-19 00:00:00.000</t>
  </si>
  <si>
    <t>2007-10-03 00:00:00.000</t>
  </si>
  <si>
    <t>1985-06-28 00:00:00.000</t>
  </si>
  <si>
    <t>1996-04-11 00:00:00.000</t>
  </si>
  <si>
    <t>1996-04-18 00:00:00.000</t>
  </si>
  <si>
    <t>TECNOLOGO EN ARTE Y DECORADO</t>
  </si>
  <si>
    <t>INSTITUTO TECNOLOGICO DE ADMINISTRACION Y ECONOMIA</t>
  </si>
  <si>
    <t>1998-09-14 00:00:00.000</t>
  </si>
  <si>
    <t>UNIVERSIDAD INDUSTRIAL DE SANTANDER</t>
  </si>
  <si>
    <t>1987-05-26 00:00:00.000</t>
  </si>
  <si>
    <t xml:space="preserve">CARLOS                                            </t>
  </si>
  <si>
    <t>2012-11-19 00:00:00.000</t>
  </si>
  <si>
    <t>2012-11-05 00:00:00.000</t>
  </si>
  <si>
    <t>2012-07-08 00:00:00.000</t>
  </si>
  <si>
    <t>1996-09-06 00:00:00.000</t>
  </si>
  <si>
    <t>1997-01-09 00:00:00.000</t>
  </si>
  <si>
    <t>1997-09-10 00:00:00.000</t>
  </si>
  <si>
    <t>TECNOLOGO EN ARTE Y DECORACION ARQUITECTONICA</t>
  </si>
  <si>
    <t>CORPORACION EDUCATIVA - ITAE</t>
  </si>
  <si>
    <t>1997-08-14 00:00:00.000</t>
  </si>
  <si>
    <t>1996-11-07 00:00:00.000</t>
  </si>
  <si>
    <t>1999-06-15 00:00:00.000</t>
  </si>
  <si>
    <t>TECNOLOGO EN DIBUJO ARQUITECTONICO E INGENIERIA</t>
  </si>
  <si>
    <t>2012-08-01 00:00:00.000</t>
  </si>
  <si>
    <t>1976-04-02 00:00:00.000</t>
  </si>
  <si>
    <t>1978-07-14 00:00:00.000</t>
  </si>
  <si>
    <t>2000-03-13 00:00:00.000</t>
  </si>
  <si>
    <t>1993-11-09 00:00:00.000</t>
  </si>
  <si>
    <t>TECNICO EN DIBUJO ARQUITECTONICO Y DE INGENIERIA</t>
  </si>
  <si>
    <t>UNIVERSIDAD DEL TOLIMA</t>
  </si>
  <si>
    <t>1992-09-25 00:00:00.000</t>
  </si>
  <si>
    <t>1992-11-06 00:00:00.000</t>
  </si>
  <si>
    <t>1992-02-26 00:00:00.000</t>
  </si>
  <si>
    <t>1992-06-05 00:00:00.000</t>
  </si>
  <si>
    <t>1994-07-13 00:00:00.000</t>
  </si>
  <si>
    <t>1994-11-11 00:00:00.000</t>
  </si>
  <si>
    <t>1995-05-12 00:00:00.000</t>
  </si>
  <si>
    <t>2008-12-04 00:00:00.000</t>
  </si>
  <si>
    <t>2003-09-19 00:00:00.000</t>
  </si>
  <si>
    <t>2008-04-25 00:00:00.000</t>
  </si>
  <si>
    <t>2008-09-26 00:00:00.000</t>
  </si>
  <si>
    <t>1992-12-18 00:00:00.000</t>
  </si>
  <si>
    <t>2009-07-02 00:00:00.000</t>
  </si>
  <si>
    <t>2009-09-03 00:00:00.000</t>
  </si>
  <si>
    <t>2009-04-24 00:00:00.000</t>
  </si>
  <si>
    <t>2009-10-01 00:00:00.000</t>
  </si>
  <si>
    <t>2009-10-22 00:00:00.000</t>
  </si>
  <si>
    <t>1995-12-22 00:00:00.000</t>
  </si>
  <si>
    <t>2009-06-12 00:00:00.000</t>
  </si>
  <si>
    <t>2010-01-19 00:00:00.000</t>
  </si>
  <si>
    <t>2010-01-28 00:00:00.000</t>
  </si>
  <si>
    <t>2008-06-13 00:00:00.000</t>
  </si>
  <si>
    <t>2010-02-04 00:00:00.000</t>
  </si>
  <si>
    <t>2010-02-18 00:00:00.000</t>
  </si>
  <si>
    <t>2009-12-11 00:00:00.000</t>
  </si>
  <si>
    <t>2002-06-14 00:00:00.000</t>
  </si>
  <si>
    <t>2008-12-12 00:00:00.000</t>
  </si>
  <si>
    <t>2010-04-08 00:00:00.000</t>
  </si>
  <si>
    <t>1986-11-28 00:00:00.000</t>
  </si>
  <si>
    <t>1990-04-20 00:00:00.000</t>
  </si>
  <si>
    <t>2011-02-03 00:00:00.000</t>
  </si>
  <si>
    <t>2004-12-10 00:00:00.000</t>
  </si>
  <si>
    <t>1998-04-24 00:00:00.000</t>
  </si>
  <si>
    <t>2010-12-10 00:00:00.000</t>
  </si>
  <si>
    <t>2011-08-04 00:00:00.000</t>
  </si>
  <si>
    <t>2004-04-16 00:00:00.000</t>
  </si>
  <si>
    <t>2012-01-10 00:00:00.000</t>
  </si>
  <si>
    <t>2012-01-19 00:00:00.000</t>
  </si>
  <si>
    <t>2011-04-29 00:00:00.000</t>
  </si>
  <si>
    <t>2012-02-02 00:00:00.000</t>
  </si>
  <si>
    <t>2011-12-09 00:00:00.000</t>
  </si>
  <si>
    <t>2012-05-22 00:00:00.000</t>
  </si>
  <si>
    <t>2012-06-01 00:00:00.000</t>
  </si>
  <si>
    <t>2011-06-10 00:00:00.000</t>
  </si>
  <si>
    <t>2011-09-23 00:00:00.000</t>
  </si>
  <si>
    <t>2012-07-05 00:00:00.000</t>
  </si>
  <si>
    <t>2012-07-19 00:00:00.000</t>
  </si>
  <si>
    <t>2012-09-24 00:00:00.000</t>
  </si>
  <si>
    <t>2007-12-14 00:00:00.000</t>
  </si>
  <si>
    <t>2006-03-31 00:00:00.000</t>
  </si>
  <si>
    <t>2012-10-19 00:00:00.000</t>
  </si>
  <si>
    <t>2012-11-16 00:00:00.000</t>
  </si>
  <si>
    <t>2013-01-09 00:00:00.000</t>
  </si>
  <si>
    <t>2012-12-07 00:00:00.000</t>
  </si>
  <si>
    <t>2013-02-21 00:00:00.000</t>
  </si>
  <si>
    <t>1997-04-11 00:00:00.000</t>
  </si>
  <si>
    <t>2000-06-16 00:00:00.000</t>
  </si>
  <si>
    <t>1991-07-26 00:00:00.000</t>
  </si>
  <si>
    <t>2013-07-19 00:00:00.000</t>
  </si>
  <si>
    <t>2013-08-01 00:00:00.000</t>
  </si>
  <si>
    <t>2005-04-22 00:00:00.000</t>
  </si>
  <si>
    <t>1987-08-06 00:00:00.000</t>
  </si>
  <si>
    <t>2010-06-11 00:00:00.000</t>
  </si>
  <si>
    <t>2014-01-16 00:00:00.000</t>
  </si>
  <si>
    <t>2014-02-11 00:00:00.000</t>
  </si>
  <si>
    <t>2013-12-06 00:00:00.000</t>
  </si>
  <si>
    <t>2014-05-08 00:00:00.000</t>
  </si>
  <si>
    <t>2014-04-04 00:00:00.000</t>
  </si>
  <si>
    <t>2014-05-23 00:00:00.000</t>
  </si>
  <si>
    <t>2014-06-20 00:00:00.000</t>
  </si>
  <si>
    <t>2014-05-16 00:00:00.000</t>
  </si>
  <si>
    <t>2013-03-06 00:00:00.000</t>
  </si>
  <si>
    <t>1996-05-07 00:00:00.000</t>
  </si>
  <si>
    <t>1997-06-05 00:00:00.000</t>
  </si>
  <si>
    <t>1997-12-04 00:00:00.000</t>
  </si>
  <si>
    <t>2000-04-07 00:00:00.000</t>
  </si>
  <si>
    <t>1995-10-20 00:00:00.000</t>
  </si>
  <si>
    <t>2001-02-15 00:00:00.000</t>
  </si>
  <si>
    <t>2001-05-04 00:00:00.000</t>
  </si>
  <si>
    <t>2001-05-17 00:00:00.000</t>
  </si>
  <si>
    <t>2001-07-11 00:00:00.000</t>
  </si>
  <si>
    <t>2001-06-15 00:00:00.000</t>
  </si>
  <si>
    <t>2000-10-06 00:00:00.000</t>
  </si>
  <si>
    <t>2001-09-07 00:00:00.000</t>
  </si>
  <si>
    <t>2001-12-07 00:00:00.000</t>
  </si>
  <si>
    <t>2001-12-17 00:00:00.000</t>
  </si>
  <si>
    <t>1993-08-06 00:00:00.000</t>
  </si>
  <si>
    <t>2002-01-11 00:00:00.000</t>
  </si>
  <si>
    <t>2002-08-02 00:00:00.000</t>
  </si>
  <si>
    <t>2003-05-07 00:00:00.000</t>
  </si>
  <si>
    <t>2003-04-04 00:00:00.000</t>
  </si>
  <si>
    <t>2003-08-06 00:00:00.000</t>
  </si>
  <si>
    <t>2003-06-13 00:00:00.000</t>
  </si>
  <si>
    <t>2003-11-10 00:00:00.000</t>
  </si>
  <si>
    <t>2003-11-19 00:00:00.000</t>
  </si>
  <si>
    <t>2004-08-04 00:00:00.000</t>
  </si>
  <si>
    <t>1987-06-12 00:00:00.000</t>
  </si>
  <si>
    <t>2004-10-07 00:00:00.000</t>
  </si>
  <si>
    <t>2004-09-17 00:00:00.000</t>
  </si>
  <si>
    <t>2005-04-06 00:00:00.000</t>
  </si>
  <si>
    <t>2005-04-21 00:00:00.000</t>
  </si>
  <si>
    <t>2004-10-12 00:00:00.000</t>
  </si>
  <si>
    <t>2005-08-03 00:00:00.000</t>
  </si>
  <si>
    <t>2005-12-02 00:00:00.000</t>
  </si>
  <si>
    <t>2005-12-13 00:00:00.000</t>
  </si>
  <si>
    <t>2006-03-01 00:00:00.000</t>
  </si>
  <si>
    <t>2006-04-05 00:00:00.000</t>
  </si>
  <si>
    <t>2006-04-20 00:00:00.000</t>
  </si>
  <si>
    <t>1989-12-22 00:00:00.000</t>
  </si>
  <si>
    <t>2005-06-24 00:00:00.000</t>
  </si>
  <si>
    <t>2006-09-06 00:00:00.000</t>
  </si>
  <si>
    <t>2006-09-28 00:00:00.000</t>
  </si>
  <si>
    <t>2006-12-06 00:00:00.000</t>
  </si>
  <si>
    <t>2007-06-06 00:00:00.000</t>
  </si>
  <si>
    <t>2007-08-01 00:00:00.000</t>
  </si>
  <si>
    <t>2007-08-14 00:00:00.000</t>
  </si>
  <si>
    <t>2007-06-08 00:00:00.000</t>
  </si>
  <si>
    <t>2007-12-28 00:00:00.000</t>
  </si>
  <si>
    <t>2008-02-11 00:00:00.000</t>
  </si>
  <si>
    <t>2008-03-05 00:00:00.000</t>
  </si>
  <si>
    <t>2008-04-02 00:00:00.000</t>
  </si>
  <si>
    <t>2007-04-13 00:00:00.000</t>
  </si>
  <si>
    <t>2008-08-06 00:00:00.000</t>
  </si>
  <si>
    <t>2008-09-03 00:00:00.000</t>
  </si>
  <si>
    <t>1987-12-22 00:00:00.000</t>
  </si>
  <si>
    <t>1999-04-15 00:00:00.000</t>
  </si>
  <si>
    <t>2000-06-09 00:00:00.000</t>
  </si>
  <si>
    <t>2002-10-02 00:00:00.000</t>
  </si>
  <si>
    <t>2002-10-17 00:00:00.000</t>
  </si>
  <si>
    <t>2000-07-14 00:00:00.000</t>
  </si>
  <si>
    <t>2000-08-11 00:00:00.000</t>
  </si>
  <si>
    <t>1992-11-10 00:00:00.000</t>
  </si>
  <si>
    <t>TECNICO PROFESIONAL INTERMEDIO EN DIBUJO ARQUITECTONICO Y DECORACION</t>
  </si>
  <si>
    <t>ACADEMIA DE DIBUJO PROFESIONAL</t>
  </si>
  <si>
    <t>2011-01-06 00:00:00.000</t>
  </si>
  <si>
    <t>2010-07-12 00:00:00.000</t>
  </si>
  <si>
    <t>2012-05-24 00:00:00.000</t>
  </si>
  <si>
    <t>2009-12-01 00:00:00.000</t>
  </si>
  <si>
    <t>2013-11-19 00:00:00.000</t>
  </si>
  <si>
    <t>2010-05-26 00:00:00.000</t>
  </si>
  <si>
    <t>1995-03-22 00:00:00.000</t>
  </si>
  <si>
    <t>TECNICO PROFESIONAL EN DIBUJO ARQUITECTONICO Y DECORACION</t>
  </si>
  <si>
    <t>1995-10-02 00:00:00.000</t>
  </si>
  <si>
    <t>ACADEMIA DE DIBUJO PROFESIONAL - CALI</t>
  </si>
  <si>
    <t>1996-08-22 00:00:00.000</t>
  </si>
  <si>
    <t>1996-11-14 00:00:00.000</t>
  </si>
  <si>
    <t>1998-04-03 00:00:00.000</t>
  </si>
  <si>
    <t>FUNDACION ACADEMIA DE DIBUJO PROFESIONAL</t>
  </si>
  <si>
    <t>1998-05-08 00:00:00.000</t>
  </si>
  <si>
    <t>1998-07-03 00:00:00.000</t>
  </si>
  <si>
    <t>1998-08-14 00:00:00.000</t>
  </si>
  <si>
    <t>2011-12-12 00:00:00.000</t>
  </si>
  <si>
    <t>1995-06-06 00:00:00.000</t>
  </si>
  <si>
    <t>TECNICO INTERMEDIO PROFESIONAL EN DIBUJO ARQUITECTONICO Y DECORACION</t>
  </si>
  <si>
    <t>2010-10-07 00:00:00.000</t>
  </si>
  <si>
    <t>2008-04-16 00:00:00.000</t>
  </si>
  <si>
    <t>TECNICO PROFESIONAL EN ARTE Y DECORACION ARQUITECTONICA</t>
  </si>
  <si>
    <t>.</t>
  </si>
  <si>
    <t>2013-02-07 00:00:00.000</t>
  </si>
  <si>
    <t>05405-00454</t>
  </si>
  <si>
    <t>05405-00209</t>
  </si>
  <si>
    <t>13800-006920</t>
  </si>
  <si>
    <t>52800-026248</t>
  </si>
  <si>
    <t>05415-011945</t>
  </si>
  <si>
    <t>08405-00003</t>
  </si>
  <si>
    <t>08813-020818</t>
  </si>
  <si>
    <t>05434-00548</t>
  </si>
  <si>
    <t>13415-030760</t>
  </si>
  <si>
    <t>13415-026119</t>
  </si>
  <si>
    <t>13415-031643</t>
  </si>
  <si>
    <t>52415-005288</t>
  </si>
  <si>
    <t>19415-004404</t>
  </si>
  <si>
    <t>19800-013234</t>
  </si>
  <si>
    <t>19800-006831</t>
  </si>
  <si>
    <t>19800-007740</t>
  </si>
  <si>
    <t>19415-025264</t>
  </si>
  <si>
    <t>19804-006231</t>
  </si>
  <si>
    <t>52800-006511</t>
  </si>
  <si>
    <t>52405-00028</t>
  </si>
  <si>
    <t>52405-00010</t>
  </si>
  <si>
    <t>52415-017158</t>
  </si>
  <si>
    <t>52414-00032</t>
  </si>
  <si>
    <t>52405-00016</t>
  </si>
  <si>
    <t>52414-00033</t>
  </si>
  <si>
    <t>52405-00018</t>
  </si>
  <si>
    <t>52405-00006</t>
  </si>
  <si>
    <t>52414-00031</t>
  </si>
  <si>
    <t>52405-00019</t>
  </si>
  <si>
    <t>52405-00011</t>
  </si>
  <si>
    <t>52405-00023</t>
  </si>
  <si>
    <t>52405-00004</t>
  </si>
  <si>
    <t>52415-005151</t>
  </si>
  <si>
    <t>52800-003593</t>
  </si>
  <si>
    <t>52800-035501</t>
  </si>
  <si>
    <t>08803-003224</t>
  </si>
  <si>
    <t>05405-00198</t>
  </si>
  <si>
    <t>05803-021912</t>
  </si>
  <si>
    <t>52405-00002</t>
  </si>
  <si>
    <t>05405-00138</t>
  </si>
  <si>
    <t>05405-00165</t>
  </si>
  <si>
    <t>05405-00137</t>
  </si>
  <si>
    <t>05800-001462</t>
  </si>
  <si>
    <t>05405-00166</t>
  </si>
  <si>
    <t>05434-00586</t>
  </si>
  <si>
    <t>05405-00462</t>
  </si>
  <si>
    <t>05405-00207</t>
  </si>
  <si>
    <t>05405-00187</t>
  </si>
  <si>
    <t>05438-00869</t>
  </si>
  <si>
    <t>05405-00181</t>
  </si>
  <si>
    <t>05405-00489</t>
  </si>
  <si>
    <t>13922-005232</t>
  </si>
  <si>
    <t>05405-00213</t>
  </si>
  <si>
    <t>05415-033146</t>
  </si>
  <si>
    <t>05803-007832</t>
  </si>
  <si>
    <t>13415-029719</t>
  </si>
  <si>
    <t>13415-010469</t>
  </si>
  <si>
    <t>05405-00214</t>
  </si>
  <si>
    <t>52415-007317</t>
  </si>
  <si>
    <t>52405-00013</t>
  </si>
  <si>
    <t>52405-00001</t>
  </si>
  <si>
    <t>52405-00005</t>
  </si>
  <si>
    <t>52414-00030</t>
  </si>
  <si>
    <t>52405-00024</t>
  </si>
  <si>
    <t>52405-00025</t>
  </si>
  <si>
    <t>52405-00008</t>
  </si>
  <si>
    <t>52405-00022</t>
  </si>
  <si>
    <t>52405-00012</t>
  </si>
  <si>
    <t>52405-00015</t>
  </si>
  <si>
    <t>52405-00021</t>
  </si>
  <si>
    <t>52405-00014</t>
  </si>
  <si>
    <t>13415-018790</t>
  </si>
  <si>
    <t>05405-00190</t>
  </si>
  <si>
    <t>05432-00596</t>
  </si>
  <si>
    <t>05405-00399</t>
  </si>
  <si>
    <t>05415-033684</t>
  </si>
  <si>
    <t>05823-001352</t>
  </si>
  <si>
    <t>05405-00199</t>
  </si>
  <si>
    <t>05405-00216</t>
  </si>
  <si>
    <t>05406-00225</t>
  </si>
  <si>
    <t>05405-00163</t>
  </si>
  <si>
    <t>05405-00200</t>
  </si>
  <si>
    <t>05405-00192</t>
  </si>
  <si>
    <t>05405-00201</t>
  </si>
  <si>
    <t>05405-00168</t>
  </si>
  <si>
    <t>05405-00188</t>
  </si>
  <si>
    <t>05405-00437</t>
  </si>
  <si>
    <t>05405-00167</t>
  </si>
  <si>
    <t>05405-00193</t>
  </si>
  <si>
    <t>05405-00109</t>
  </si>
  <si>
    <t>05405-00218</t>
  </si>
  <si>
    <t>05405-00385</t>
  </si>
  <si>
    <t>05803-001354</t>
  </si>
  <si>
    <t>05405-00169</t>
  </si>
  <si>
    <t>05405-00215</t>
  </si>
  <si>
    <t>05412-00396</t>
  </si>
  <si>
    <t>05405-00451</t>
  </si>
  <si>
    <t>08405-00001</t>
  </si>
  <si>
    <t>13415-010655</t>
  </si>
  <si>
    <t>13415-032189</t>
  </si>
  <si>
    <t>19422-00117</t>
  </si>
  <si>
    <t>19423-00131</t>
  </si>
  <si>
    <t>19415-030790</t>
  </si>
  <si>
    <t>19800-021215</t>
  </si>
  <si>
    <t>05405-00386</t>
  </si>
  <si>
    <t>05800-009939</t>
  </si>
  <si>
    <t>52800-002625</t>
  </si>
  <si>
    <t>52405-00007</t>
  </si>
  <si>
    <t>52800-004040</t>
  </si>
  <si>
    <t>05405-00182</t>
  </si>
  <si>
    <t>05405-00205</t>
  </si>
  <si>
    <t>05800-011947</t>
  </si>
  <si>
    <t>05809-01077</t>
  </si>
  <si>
    <t>05415-014259</t>
  </si>
  <si>
    <t>05405-00219</t>
  </si>
  <si>
    <t>05803-001457</t>
  </si>
  <si>
    <t>05405-00212</t>
  </si>
  <si>
    <t>05414-00440</t>
  </si>
  <si>
    <t>05813-011138</t>
  </si>
  <si>
    <t>05405-00184</t>
  </si>
  <si>
    <t>05434-00687</t>
  </si>
  <si>
    <t>05405-00443</t>
  </si>
  <si>
    <t>05405-00189</t>
  </si>
  <si>
    <t>05809-01006</t>
  </si>
  <si>
    <t>05803-001458</t>
  </si>
  <si>
    <t>05405-00491</t>
  </si>
  <si>
    <t>05434-00684</t>
  </si>
  <si>
    <t>05809-001131</t>
  </si>
  <si>
    <t>05803-021365</t>
  </si>
  <si>
    <t>05405-00432</t>
  </si>
  <si>
    <t>05405-00211</t>
  </si>
  <si>
    <t>05405-00464</t>
  </si>
  <si>
    <t>05405-00453</t>
  </si>
  <si>
    <t>05414-00438</t>
  </si>
  <si>
    <t>05405-00389</t>
  </si>
  <si>
    <t>05813-001276</t>
  </si>
  <si>
    <t>05405-00197</t>
  </si>
  <si>
    <t>05405-00206</t>
  </si>
  <si>
    <t>05803-001353</t>
  </si>
  <si>
    <t>05421-00136</t>
  </si>
  <si>
    <t>05419-00135</t>
  </si>
  <si>
    <t>05434-00511</t>
  </si>
  <si>
    <t>05823-001355</t>
  </si>
  <si>
    <t>05405-00208</t>
  </si>
  <si>
    <t>05823-001656</t>
  </si>
  <si>
    <t>05434-00686</t>
  </si>
  <si>
    <t>05809-001515</t>
  </si>
  <si>
    <t>05405-00220</t>
  </si>
  <si>
    <t>05405-00217</t>
  </si>
  <si>
    <t>05405-00397</t>
  </si>
  <si>
    <t>05405-00180</t>
  </si>
  <si>
    <t>05405-00194</t>
  </si>
  <si>
    <t>05405-00090</t>
  </si>
  <si>
    <t>05405-00141</t>
  </si>
  <si>
    <t>05434-00512</t>
  </si>
  <si>
    <t>05416-00461</t>
  </si>
  <si>
    <t>05813-01031</t>
  </si>
  <si>
    <t>05813-01082</t>
  </si>
  <si>
    <t>05405-00551</t>
  </si>
  <si>
    <t>05405-00228</t>
  </si>
  <si>
    <t>05405-00186</t>
  </si>
  <si>
    <t>05405-00230</t>
  </si>
  <si>
    <t>05434-00849</t>
  </si>
  <si>
    <t>05405-00204</t>
  </si>
  <si>
    <t>05405-00107</t>
  </si>
  <si>
    <t>05421-00553</t>
  </si>
  <si>
    <t>05803-001278</t>
  </si>
  <si>
    <t>05405-00391</t>
  </si>
  <si>
    <t>05405-00442</t>
  </si>
  <si>
    <t>05405-00400</t>
  </si>
  <si>
    <t>05405-00140</t>
  </si>
  <si>
    <t>05405-00195</t>
  </si>
  <si>
    <t>05405-00394</t>
  </si>
  <si>
    <t>05405-00108</t>
  </si>
  <si>
    <t>05405-00203</t>
  </si>
  <si>
    <t>05803-012446</t>
  </si>
  <si>
    <t>05434-00819</t>
  </si>
  <si>
    <t>52405-00009</t>
  </si>
  <si>
    <t>05405-00398</t>
  </si>
  <si>
    <t>05405-00183</t>
  </si>
  <si>
    <t>05405-00439</t>
  </si>
  <si>
    <t>05405-00164</t>
  </si>
  <si>
    <t>05405-00463</t>
  </si>
  <si>
    <t>05434-00510</t>
  </si>
  <si>
    <t>05405-00191</t>
  </si>
  <si>
    <t>05809-01015</t>
  </si>
  <si>
    <t>05815-01076</t>
  </si>
  <si>
    <t>05815-008723</t>
  </si>
  <si>
    <t>05815-026078</t>
  </si>
  <si>
    <t>05431-00660</t>
  </si>
  <si>
    <t>05405-00185</t>
  </si>
  <si>
    <t>05406-00110</t>
  </si>
  <si>
    <t>05434-00925</t>
  </si>
  <si>
    <t>05803-007649</t>
  </si>
  <si>
    <t>05405-00210</t>
  </si>
  <si>
    <t>05803-025596</t>
  </si>
  <si>
    <t>05405-00433</t>
  </si>
  <si>
    <t>05434-00941</t>
  </si>
  <si>
    <t>05803-031302</t>
  </si>
  <si>
    <t>05803-001279</t>
  </si>
  <si>
    <t>05434-00865</t>
  </si>
  <si>
    <t>05803-025829</t>
  </si>
  <si>
    <t>05800-004600</t>
  </si>
  <si>
    <t>05405-00231</t>
  </si>
  <si>
    <t>05432-00502</t>
  </si>
  <si>
    <t>05803-017080</t>
  </si>
  <si>
    <t>05434-00547</t>
  </si>
  <si>
    <t>05803-001277</t>
  </si>
  <si>
    <t>05815-008133</t>
  </si>
  <si>
    <t>05800-004303</t>
  </si>
  <si>
    <t>13415-028814</t>
  </si>
  <si>
    <t>13804-006001</t>
  </si>
  <si>
    <t>05405-00202</t>
  </si>
  <si>
    <t>13415-005463</t>
  </si>
  <si>
    <t>13415-019381</t>
  </si>
  <si>
    <t>13922-005645</t>
  </si>
  <si>
    <t>13415-019668</t>
  </si>
  <si>
    <t>13432-00025</t>
  </si>
  <si>
    <t>13800-008354</t>
  </si>
  <si>
    <t>19800-020581</t>
  </si>
  <si>
    <t>05405-00597</t>
  </si>
  <si>
    <t>05434-00927</t>
  </si>
  <si>
    <t>52800-002794</t>
  </si>
  <si>
    <t>52414-00034</t>
  </si>
  <si>
    <t>52405-00035</t>
  </si>
  <si>
    <t>52414-00029</t>
  </si>
  <si>
    <t>52415-008389</t>
  </si>
  <si>
    <t>52415-015514</t>
  </si>
  <si>
    <t>19800-007067</t>
  </si>
  <si>
    <t>52800-008390</t>
  </si>
  <si>
    <t>05405-00390</t>
  </si>
  <si>
    <t>05815-008456</t>
  </si>
  <si>
    <t>05405-00452</t>
  </si>
  <si>
    <t>05405-00229</t>
  </si>
  <si>
    <t>05415-016563</t>
  </si>
  <si>
    <t>05415-025456</t>
  </si>
  <si>
    <t>05415-030416</t>
  </si>
  <si>
    <t>05415-011940</t>
  </si>
  <si>
    <t>05406-032887</t>
  </si>
  <si>
    <t>05438-00850</t>
  </si>
  <si>
    <t>05813-021145</t>
  </si>
  <si>
    <t>05405-00142</t>
  </si>
  <si>
    <t>05813-004601</t>
  </si>
  <si>
    <t>05405-00434</t>
  </si>
  <si>
    <t>05803-030411</t>
  </si>
  <si>
    <t>05405-00395</t>
  </si>
  <si>
    <t>05405-00393</t>
  </si>
  <si>
    <t>05803-00971</t>
  </si>
  <si>
    <t>05405-00492</t>
  </si>
  <si>
    <t>05803-00972</t>
  </si>
  <si>
    <t>05803-01035</t>
  </si>
  <si>
    <t>05803-018950</t>
  </si>
  <si>
    <t>05803-013964</t>
  </si>
  <si>
    <t>05415-019149</t>
  </si>
  <si>
    <t>08428-00015</t>
  </si>
  <si>
    <t>05809-01012</t>
  </si>
  <si>
    <t>13415-029722</t>
  </si>
  <si>
    <t>13800-002461</t>
  </si>
  <si>
    <t>13432-00040</t>
  </si>
  <si>
    <t>13800-003384</t>
  </si>
  <si>
    <t>13922-008461</t>
  </si>
  <si>
    <t>13415-024407</t>
  </si>
  <si>
    <t>13415-018987</t>
  </si>
  <si>
    <t>13415-029721</t>
  </si>
  <si>
    <t>19415-007739</t>
  </si>
  <si>
    <t>08428-00002</t>
  </si>
  <si>
    <t>08809-00027</t>
  </si>
  <si>
    <t>08803-013995</t>
  </si>
  <si>
    <t>52800-006393</t>
  </si>
  <si>
    <t>52800-003413</t>
  </si>
  <si>
    <t>52800-005149</t>
  </si>
  <si>
    <t>52415-007924</t>
  </si>
  <si>
    <t>52800-002449</t>
  </si>
  <si>
    <t>52800-002791</t>
  </si>
  <si>
    <t>08809-00026</t>
  </si>
  <si>
    <t>13415-030763</t>
  </si>
  <si>
    <t>52800-019308</t>
  </si>
  <si>
    <t>52800-002926</t>
  </si>
  <si>
    <t>52405-00003</t>
  </si>
  <si>
    <t>52800-007926</t>
  </si>
  <si>
    <t>52922-005780</t>
  </si>
  <si>
    <t>52800-004781</t>
  </si>
  <si>
    <t>19800-007409</t>
  </si>
  <si>
    <t>52800-002369</t>
  </si>
  <si>
    <t>05803-012981</t>
  </si>
  <si>
    <t>05405-00196</t>
  </si>
  <si>
    <t>05405-00595</t>
  </si>
  <si>
    <t>05434-00685</t>
  </si>
  <si>
    <t>05815-009027</t>
  </si>
  <si>
    <t>05405-00001</t>
  </si>
  <si>
    <t>05970-010078</t>
  </si>
  <si>
    <t>05415-013685</t>
  </si>
  <si>
    <t>05970-007833</t>
  </si>
  <si>
    <t>05970-007648</t>
  </si>
  <si>
    <t>05415-024184</t>
  </si>
  <si>
    <t>05415-021154</t>
  </si>
  <si>
    <t>05415-013215</t>
  </si>
  <si>
    <t>05415-027691</t>
  </si>
  <si>
    <t>13415-030761</t>
  </si>
  <si>
    <t>13415-030759</t>
  </si>
  <si>
    <t>13415-024406</t>
  </si>
  <si>
    <t>13415-028817</t>
  </si>
  <si>
    <t>19800-025852</t>
  </si>
  <si>
    <t>19800-023888</t>
  </si>
  <si>
    <t>19800-032527</t>
  </si>
  <si>
    <t>19800-032201</t>
  </si>
  <si>
    <t>19800-024937</t>
  </si>
  <si>
    <t>19800-026451</t>
  </si>
  <si>
    <t>19800-032526</t>
  </si>
  <si>
    <t>19800-013010</t>
  </si>
  <si>
    <t>13415-029917</t>
  </si>
  <si>
    <t>05415-032495</t>
  </si>
  <si>
    <t>05415-013210</t>
  </si>
  <si>
    <t>05415-014260</t>
  </si>
  <si>
    <t>05415-027672</t>
  </si>
  <si>
    <t>05415-033951</t>
  </si>
  <si>
    <t>05415-032871</t>
  </si>
  <si>
    <t>13415-029723</t>
  </si>
  <si>
    <t>05415-026951</t>
  </si>
  <si>
    <t>05405-00143</t>
  </si>
  <si>
    <t>05406-00162</t>
  </si>
  <si>
    <t>05406-00221</t>
  </si>
  <si>
    <t>05406-00222</t>
  </si>
  <si>
    <t>05406-00223</t>
  </si>
  <si>
    <t>05406-00224</t>
  </si>
  <si>
    <t>05406-00226</t>
  </si>
  <si>
    <t>05406-00227</t>
  </si>
  <si>
    <t>05406-00436</t>
  </si>
  <si>
    <t>05406-00444</t>
  </si>
  <si>
    <t>05406-00445</t>
  </si>
  <si>
    <t>05406-00446</t>
  </si>
  <si>
    <t>05406-00447</t>
  </si>
  <si>
    <t>05406-00448</t>
  </si>
  <si>
    <t>05406-00449</t>
  </si>
  <si>
    <t>05406-00450</t>
  </si>
  <si>
    <t>05406-00486</t>
  </si>
  <si>
    <t>05406-00487</t>
  </si>
  <si>
    <t>05406-00488</t>
  </si>
  <si>
    <t>05406-00504</t>
  </si>
  <si>
    <t>05406-00505</t>
  </si>
  <si>
    <t>05406-00506</t>
  </si>
  <si>
    <t>05406-00507</t>
  </si>
  <si>
    <t>05406-00508</t>
  </si>
  <si>
    <t>05406-00509</t>
  </si>
  <si>
    <t>05406-00549</t>
  </si>
  <si>
    <t>05406-00587</t>
  </si>
  <si>
    <t>05406-00588</t>
  </si>
  <si>
    <t>05406-00644</t>
  </si>
  <si>
    <t>05406-00645</t>
  </si>
  <si>
    <t>05406-00646</t>
  </si>
  <si>
    <t>05406-00647</t>
  </si>
  <si>
    <t>05406-00648</t>
  </si>
  <si>
    <t>05406-00649</t>
  </si>
  <si>
    <t>05406-00650</t>
  </si>
  <si>
    <t>05406-00661</t>
  </si>
  <si>
    <t>05406-00662</t>
  </si>
  <si>
    <t>05406-00663</t>
  </si>
  <si>
    <t>05406-00664</t>
  </si>
  <si>
    <t>05406-00665</t>
  </si>
  <si>
    <t>05406-00682</t>
  </si>
  <si>
    <t>05406-00683</t>
  </si>
  <si>
    <t>05406-007043</t>
  </si>
  <si>
    <t>05406-00709</t>
  </si>
  <si>
    <t>05406-007526</t>
  </si>
  <si>
    <t>05406-00757</t>
  </si>
  <si>
    <t>05406-00761</t>
  </si>
  <si>
    <t>05406-00762</t>
  </si>
  <si>
    <t>05406-00763</t>
  </si>
  <si>
    <t>05406-00766</t>
  </si>
  <si>
    <t>05406-00807</t>
  </si>
  <si>
    <t>05406-00818</t>
  </si>
  <si>
    <t>05406-00866</t>
  </si>
  <si>
    <t>05406-00867</t>
  </si>
  <si>
    <t>05406-00942</t>
  </si>
  <si>
    <t>05406-00943</t>
  </si>
  <si>
    <t>05406-00944</t>
  </si>
  <si>
    <t>05406-009611</t>
  </si>
  <si>
    <t>05406-010278</t>
  </si>
  <si>
    <t>05406-012742</t>
  </si>
  <si>
    <t>05406-012957</t>
  </si>
  <si>
    <t>05406-016149</t>
  </si>
  <si>
    <t>05406-016517</t>
  </si>
  <si>
    <t>05406-020538</t>
  </si>
  <si>
    <t>05406-021368</t>
  </si>
  <si>
    <t>05406-022934</t>
  </si>
  <si>
    <t>05406-022948</t>
  </si>
  <si>
    <t>05406-029900</t>
  </si>
  <si>
    <t>05406-030737</t>
  </si>
  <si>
    <t>05406-030978</t>
  </si>
  <si>
    <t>05406-032481</t>
  </si>
  <si>
    <t>05408-00392</t>
  </si>
  <si>
    <t>05408-00441</t>
  </si>
  <si>
    <t>05408-00584</t>
  </si>
  <si>
    <t>05414-00401</t>
  </si>
  <si>
    <t>05414-00435</t>
  </si>
  <si>
    <t>05427-026967</t>
  </si>
  <si>
    <t>05427-027681</t>
  </si>
  <si>
    <t>05427-029871</t>
  </si>
  <si>
    <t>05427-029898</t>
  </si>
  <si>
    <t>05427-029901</t>
  </si>
  <si>
    <t>05427-030140</t>
  </si>
  <si>
    <t>05427-030409</t>
  </si>
  <si>
    <t>05427-030730</t>
  </si>
  <si>
    <t>05427-030748</t>
  </si>
  <si>
    <t>05427-031314</t>
  </si>
  <si>
    <t>05427-031358</t>
  </si>
  <si>
    <t>05427-031607</t>
  </si>
  <si>
    <t>05427-032045</t>
  </si>
  <si>
    <t>05427-033158</t>
  </si>
  <si>
    <t>05427-033414</t>
  </si>
  <si>
    <t>05427-033416</t>
  </si>
  <si>
    <t>05427-033677</t>
  </si>
  <si>
    <t>05427-033927</t>
  </si>
  <si>
    <t>05427-033929</t>
  </si>
  <si>
    <t>05427-034838</t>
  </si>
  <si>
    <t>05427-035693</t>
  </si>
  <si>
    <t>05430-00499</t>
  </si>
  <si>
    <t>05430-00802</t>
  </si>
  <si>
    <t>05430-00821</t>
  </si>
  <si>
    <t>05431-00500</t>
  </si>
  <si>
    <t>05431-00501</t>
  </si>
  <si>
    <t>05431-00550</t>
  </si>
  <si>
    <t>05431-00579</t>
  </si>
  <si>
    <t>05431-00580</t>
  </si>
  <si>
    <t>05431-00581</t>
  </si>
  <si>
    <t>05431-00582</t>
  </si>
  <si>
    <t>05431-00585</t>
  </si>
  <si>
    <t>05431-00633</t>
  </si>
  <si>
    <t>05431-00634</t>
  </si>
  <si>
    <t>05431-00635</t>
  </si>
  <si>
    <t>05431-00636</t>
  </si>
  <si>
    <t>05431-00637</t>
  </si>
  <si>
    <t>05431-00638</t>
  </si>
  <si>
    <t>05431-00639</t>
  </si>
  <si>
    <t>05431-00640</t>
  </si>
  <si>
    <t>05431-00641</t>
  </si>
  <si>
    <t>05431-00642</t>
  </si>
  <si>
    <t>05431-00643</t>
  </si>
  <si>
    <t>05431-00652</t>
  </si>
  <si>
    <t>05431-00653</t>
  </si>
  <si>
    <t>05431-00654</t>
  </si>
  <si>
    <t>05431-00655</t>
  </si>
  <si>
    <t>05431-00656</t>
  </si>
  <si>
    <t>05431-00657</t>
  </si>
  <si>
    <t>05431-00658</t>
  </si>
  <si>
    <t>05431-00659</t>
  </si>
  <si>
    <t>05431-00666</t>
  </si>
  <si>
    <t>05431-00667</t>
  </si>
  <si>
    <t>05431-00704</t>
  </si>
  <si>
    <t>05431-00706</t>
  </si>
  <si>
    <t>05431-00707</t>
  </si>
  <si>
    <t>05431-00708</t>
  </si>
  <si>
    <t>05431-00711</t>
  </si>
  <si>
    <t>05431-00712</t>
  </si>
  <si>
    <t>05431-007387</t>
  </si>
  <si>
    <t>05431-007521</t>
  </si>
  <si>
    <t>05431-00756</t>
  </si>
  <si>
    <t>05431-00764</t>
  </si>
  <si>
    <t>05431-007647</t>
  </si>
  <si>
    <t>05431-00765</t>
  </si>
  <si>
    <t>05431-00767</t>
  </si>
  <si>
    <t>05431-00782</t>
  </si>
  <si>
    <t>05431-00804</t>
  </si>
  <si>
    <t>05431-00805</t>
  </si>
  <si>
    <t>05431-00806</t>
  </si>
  <si>
    <t>05431-00888</t>
  </si>
  <si>
    <t>05431-00889</t>
  </si>
  <si>
    <t>05431-00945</t>
  </si>
  <si>
    <t>05431-00946</t>
  </si>
  <si>
    <t>05431-00947</t>
  </si>
  <si>
    <t>05433-00503</t>
  </si>
  <si>
    <t>05438-003921</t>
  </si>
  <si>
    <t>05438-00583</t>
  </si>
  <si>
    <t>05438-00651</t>
  </si>
  <si>
    <t>05438-007523</t>
  </si>
  <si>
    <t>05438-00769</t>
  </si>
  <si>
    <t>05438-00801</t>
  </si>
  <si>
    <t>05438-00803</t>
  </si>
  <si>
    <t>05438-00926</t>
  </si>
  <si>
    <t>05438-022925</t>
  </si>
  <si>
    <t>05444-00703</t>
  </si>
  <si>
    <t>05444-00705</t>
  </si>
  <si>
    <t>05444-00710</t>
  </si>
  <si>
    <t>05444-00768</t>
  </si>
  <si>
    <t>05470-00755</t>
  </si>
  <si>
    <t>05470-00820</t>
  </si>
  <si>
    <t>05470-00848</t>
  </si>
  <si>
    <t>05470-00868</t>
  </si>
  <si>
    <t>05470-00890</t>
  </si>
  <si>
    <t>05492-034839</t>
  </si>
  <si>
    <t>05552-009938</t>
  </si>
  <si>
    <t>05804-001205</t>
  </si>
  <si>
    <t>05804-001280</t>
  </si>
  <si>
    <t>05804-001281</t>
  </si>
  <si>
    <t>05804-001282</t>
  </si>
  <si>
    <t>05804-001459</t>
  </si>
  <si>
    <t>05804-001460</t>
  </si>
  <si>
    <t>05804-001657</t>
  </si>
  <si>
    <t>05804-001658</t>
  </si>
  <si>
    <t>05804-001922</t>
  </si>
  <si>
    <t>05804-001923</t>
  </si>
  <si>
    <t>05804-003219</t>
  </si>
  <si>
    <t>05804-003220</t>
  </si>
  <si>
    <t>05804-003382</t>
  </si>
  <si>
    <t>05804-00973</t>
  </si>
  <si>
    <t>05804-00974</t>
  </si>
  <si>
    <t>05804-00975</t>
  </si>
  <si>
    <t>05804-01032</t>
  </si>
  <si>
    <t>05804-01033</t>
  </si>
  <si>
    <t>05804-01049</t>
  </si>
  <si>
    <t>05804-01050</t>
  </si>
  <si>
    <t>05808-001456</t>
  </si>
  <si>
    <t>05808-001461</t>
  </si>
  <si>
    <t>05808-003924</t>
  </si>
  <si>
    <t>05808-01005</t>
  </si>
  <si>
    <t>05808-024678</t>
  </si>
  <si>
    <t>08403-031360</t>
  </si>
  <si>
    <t>08427-028612</t>
  </si>
  <si>
    <t>08455-00006</t>
  </si>
  <si>
    <t>08480-00004</t>
  </si>
  <si>
    <t>08481-00005</t>
  </si>
  <si>
    <t>08481-00007</t>
  </si>
  <si>
    <t>08481-00008</t>
  </si>
  <si>
    <t>08481-00009</t>
  </si>
  <si>
    <t>08481-00012</t>
  </si>
  <si>
    <t>08481-00013</t>
  </si>
  <si>
    <t>08481-00018</t>
  </si>
  <si>
    <t>13406-00001</t>
  </si>
  <si>
    <t>13406-00002</t>
  </si>
  <si>
    <t>13406-00003</t>
  </si>
  <si>
    <t>13406-00004</t>
  </si>
  <si>
    <t>13406-00005</t>
  </si>
  <si>
    <t>13406-00006</t>
  </si>
  <si>
    <t>13406-00007</t>
  </si>
  <si>
    <t>13406-00008</t>
  </si>
  <si>
    <t>13406-00010</t>
  </si>
  <si>
    <t>13406-00011</t>
  </si>
  <si>
    <t>13406-00012</t>
  </si>
  <si>
    <t>13406-00013</t>
  </si>
  <si>
    <t>13406-00014</t>
  </si>
  <si>
    <t>13406-00015</t>
  </si>
  <si>
    <t>13406-00020</t>
  </si>
  <si>
    <t>13406-00021</t>
  </si>
  <si>
    <t>13414-00009</t>
  </si>
  <si>
    <t>13472-00033</t>
  </si>
  <si>
    <t>15492-023266</t>
  </si>
  <si>
    <t>17406-00001</t>
  </si>
  <si>
    <t>17406-00002</t>
  </si>
  <si>
    <t>17406-00003</t>
  </si>
  <si>
    <t>17406-00004</t>
  </si>
  <si>
    <t>17406-00005</t>
  </si>
  <si>
    <t>17406-00006</t>
  </si>
  <si>
    <t>17417-013475</t>
  </si>
  <si>
    <t>17417-013715</t>
  </si>
  <si>
    <t>17417-018391</t>
  </si>
  <si>
    <t>17427-025850</t>
  </si>
  <si>
    <t>17450-00010</t>
  </si>
  <si>
    <t>17633-002011</t>
  </si>
  <si>
    <t>17805-00045</t>
  </si>
  <si>
    <t>17805-00053</t>
  </si>
  <si>
    <t>17805-00054</t>
  </si>
  <si>
    <t>19405-00001</t>
  </si>
  <si>
    <t>19405-00002</t>
  </si>
  <si>
    <t>19405-00003</t>
  </si>
  <si>
    <t>19405-00004</t>
  </si>
  <si>
    <t>19405-00005</t>
  </si>
  <si>
    <t>19405-00006</t>
  </si>
  <si>
    <t>19405-00007</t>
  </si>
  <si>
    <t>19405-00008</t>
  </si>
  <si>
    <t>19405-00009</t>
  </si>
  <si>
    <t>19405-00010</t>
  </si>
  <si>
    <t>19405-00011</t>
  </si>
  <si>
    <t>19405-00012</t>
  </si>
  <si>
    <t>19405-00013</t>
  </si>
  <si>
    <t>19405-00014</t>
  </si>
  <si>
    <t>19405-00015</t>
  </si>
  <si>
    <t>19405-00076</t>
  </si>
  <si>
    <t>19405-00086</t>
  </si>
  <si>
    <t>19406-00016</t>
  </si>
  <si>
    <t>19406-00017</t>
  </si>
  <si>
    <t>19406-00018</t>
  </si>
  <si>
    <t>19406-00019</t>
  </si>
  <si>
    <t>19406-00020</t>
  </si>
  <si>
    <t>19406-00021</t>
  </si>
  <si>
    <t>19406-00022</t>
  </si>
  <si>
    <t>19406-00023</t>
  </si>
  <si>
    <t>19406-00024</t>
  </si>
  <si>
    <t>19406-00025</t>
  </si>
  <si>
    <t>19406-00026</t>
  </si>
  <si>
    <t>19406-00027</t>
  </si>
  <si>
    <t>19406-00028</t>
  </si>
  <si>
    <t>19406-00029</t>
  </si>
  <si>
    <t>19406-00030</t>
  </si>
  <si>
    <t>19406-00031</t>
  </si>
  <si>
    <t>19406-00032</t>
  </si>
  <si>
    <t>19406-00033</t>
  </si>
  <si>
    <t>19406-00034</t>
  </si>
  <si>
    <t>19406-00035</t>
  </si>
  <si>
    <t>19406-00036</t>
  </si>
  <si>
    <t>19406-00037</t>
  </si>
  <si>
    <t>19406-00038</t>
  </si>
  <si>
    <t>19406-00039</t>
  </si>
  <si>
    <t>19406-00040</t>
  </si>
  <si>
    <t>19406-00041</t>
  </si>
  <si>
    <t>19406-00042</t>
  </si>
  <si>
    <t>19406-00043</t>
  </si>
  <si>
    <t>19406-00044</t>
  </si>
  <si>
    <t>19406-00045</t>
  </si>
  <si>
    <t>19406-00046</t>
  </si>
  <si>
    <t>19406-00047</t>
  </si>
  <si>
    <t>19406-00048</t>
  </si>
  <si>
    <t>19406-00049</t>
  </si>
  <si>
    <t>19406-00050</t>
  </si>
  <si>
    <t>19406-00051</t>
  </si>
  <si>
    <t>19406-00052</t>
  </si>
  <si>
    <t>19406-00053</t>
  </si>
  <si>
    <t>19406-00054</t>
  </si>
  <si>
    <t>19406-00055</t>
  </si>
  <si>
    <t>19406-00056</t>
  </si>
  <si>
    <t>19406-00057</t>
  </si>
  <si>
    <t>19406-00058</t>
  </si>
  <si>
    <t>19406-00059</t>
  </si>
  <si>
    <t>19406-00060</t>
  </si>
  <si>
    <t>19406-00072</t>
  </si>
  <si>
    <t>19406-00073</t>
  </si>
  <si>
    <t>19406-00074</t>
  </si>
  <si>
    <t>19406-00075</t>
  </si>
  <si>
    <t>19406-00084</t>
  </si>
  <si>
    <t>19406-00085</t>
  </si>
  <si>
    <t>19406-00087</t>
  </si>
  <si>
    <t>19406-00088</t>
  </si>
  <si>
    <t>19406-00089</t>
  </si>
  <si>
    <t>19406-00094</t>
  </si>
  <si>
    <t>19406-00095</t>
  </si>
  <si>
    <t>19406-00096</t>
  </si>
  <si>
    <t>19406-00097</t>
  </si>
  <si>
    <t>19406-00098</t>
  </si>
  <si>
    <t>19406-00099</t>
  </si>
  <si>
    <t>19406-00100</t>
  </si>
  <si>
    <t>19406-00101</t>
  </si>
  <si>
    <t>19406-00102</t>
  </si>
  <si>
    <t>19406-00103</t>
  </si>
  <si>
    <t>19406-00106</t>
  </si>
  <si>
    <t>19406-00107</t>
  </si>
  <si>
    <t>19406-00108</t>
  </si>
  <si>
    <t>19406-00109</t>
  </si>
  <si>
    <t>19406-00110</t>
  </si>
  <si>
    <t>19406-00120</t>
  </si>
  <si>
    <t>19406-00121</t>
  </si>
  <si>
    <t>19406-00122</t>
  </si>
  <si>
    <t>19406-00123</t>
  </si>
  <si>
    <t>19406-00124</t>
  </si>
  <si>
    <t>19406-00125</t>
  </si>
  <si>
    <t>19406-00129</t>
  </si>
  <si>
    <t>19406-00130</t>
  </si>
  <si>
    <t>19406-00133</t>
  </si>
  <si>
    <t>19406-00134</t>
  </si>
  <si>
    <t>19406-00142</t>
  </si>
  <si>
    <t>19406-00143</t>
  </si>
  <si>
    <t>19406-00145</t>
  </si>
  <si>
    <t>19406-00146</t>
  </si>
  <si>
    <t>19406-00147</t>
  </si>
  <si>
    <t>19406-00148</t>
  </si>
  <si>
    <t>19406-00152</t>
  </si>
  <si>
    <t>19406-00153</t>
  </si>
  <si>
    <t>19406-00154</t>
  </si>
  <si>
    <t>19406-00155</t>
  </si>
  <si>
    <t>19406-00156</t>
  </si>
  <si>
    <t>19406-00157</t>
  </si>
  <si>
    <t>19406-00158</t>
  </si>
  <si>
    <t>19406-00159</t>
  </si>
  <si>
    <t>19406-00160</t>
  </si>
  <si>
    <t>19406-00169</t>
  </si>
  <si>
    <t>19406-00171</t>
  </si>
  <si>
    <t>19406-00172</t>
  </si>
  <si>
    <t>19406-00173</t>
  </si>
  <si>
    <t>19406-00179</t>
  </si>
  <si>
    <t>19406-00180</t>
  </si>
  <si>
    <t>19406-00181</t>
  </si>
  <si>
    <t>19406-00186</t>
  </si>
  <si>
    <t>19406-003807</t>
  </si>
  <si>
    <t>19406-004402</t>
  </si>
  <si>
    <t>19406-004403</t>
  </si>
  <si>
    <t>19406-008605</t>
  </si>
  <si>
    <t>19406-015863</t>
  </si>
  <si>
    <t>19406-017115</t>
  </si>
  <si>
    <t>19406-017546</t>
  </si>
  <si>
    <t>19406-020337</t>
  </si>
  <si>
    <t>19406-022985</t>
  </si>
  <si>
    <t>19406-029627</t>
  </si>
  <si>
    <t>19414-00082</t>
  </si>
  <si>
    <t>19414-00083</t>
  </si>
  <si>
    <t>19414-00104</t>
  </si>
  <si>
    <t>19414-00105</t>
  </si>
  <si>
    <t>19414-00119</t>
  </si>
  <si>
    <t>19414-00170</t>
  </si>
  <si>
    <t>19415-00162</t>
  </si>
  <si>
    <t>19415-00163</t>
  </si>
  <si>
    <t>19415-00188</t>
  </si>
  <si>
    <t>19415-00190</t>
  </si>
  <si>
    <t>19423-00118</t>
  </si>
  <si>
    <t>19423-00132</t>
  </si>
  <si>
    <t>19474-00183</t>
  </si>
  <si>
    <t>19474-00184</t>
  </si>
  <si>
    <t>19474-00185</t>
  </si>
  <si>
    <t>19800-001738</t>
  </si>
  <si>
    <t>19800-002172</t>
  </si>
  <si>
    <t>19800-002173</t>
  </si>
  <si>
    <t>19800-006232</t>
  </si>
  <si>
    <t>19804-002614</t>
  </si>
  <si>
    <t>19804-002615</t>
  </si>
  <si>
    <t>19804-002776</t>
  </si>
  <si>
    <t>19804-003500</t>
  </si>
  <si>
    <t>19804-003502</t>
  </si>
  <si>
    <t>19804-004144</t>
  </si>
  <si>
    <t>19804-005128</t>
  </si>
  <si>
    <t>19804-006479</t>
  </si>
  <si>
    <t>19804-006928</t>
  </si>
  <si>
    <t>25398-00612</t>
  </si>
  <si>
    <t>25401-00016</t>
  </si>
  <si>
    <t>25401-00019</t>
  </si>
  <si>
    <t>25401-00020</t>
  </si>
  <si>
    <t>25401-00021</t>
  </si>
  <si>
    <t>25401-00030</t>
  </si>
  <si>
    <t>25401-00031</t>
  </si>
  <si>
    <t>25401-00032</t>
  </si>
  <si>
    <t>25401-00033</t>
  </si>
  <si>
    <t>25401-00043</t>
  </si>
  <si>
    <t>25401-00044</t>
  </si>
  <si>
    <t>25401-00060</t>
  </si>
  <si>
    <t>25401-00061</t>
  </si>
  <si>
    <t>25401-00062</t>
  </si>
  <si>
    <t>25401-00063</t>
  </si>
  <si>
    <t>25401-00064</t>
  </si>
  <si>
    <t>25401-00082</t>
  </si>
  <si>
    <t>25401-00083</t>
  </si>
  <si>
    <t>25401-00084</t>
  </si>
  <si>
    <t>25401-00085</t>
  </si>
  <si>
    <t>25401-00097</t>
  </si>
  <si>
    <t>25401-00132</t>
  </si>
  <si>
    <t>25401-00164</t>
  </si>
  <si>
    <t>25401-00170</t>
  </si>
  <si>
    <t>25401-00171</t>
  </si>
  <si>
    <t>25401-00177</t>
  </si>
  <si>
    <t>25401-00254</t>
  </si>
  <si>
    <t>25401-00255</t>
  </si>
  <si>
    <t>25401-00259</t>
  </si>
  <si>
    <t>25401-00320</t>
  </si>
  <si>
    <t>25401-00321</t>
  </si>
  <si>
    <t>25401-00331</t>
  </si>
  <si>
    <t>25401-00334</t>
  </si>
  <si>
    <t>25401-00335</t>
  </si>
  <si>
    <t>25401-00336</t>
  </si>
  <si>
    <t>25401-00345</t>
  </si>
  <si>
    <t>25401-00346</t>
  </si>
  <si>
    <t>25401-00347</t>
  </si>
  <si>
    <t>25401-00348</t>
  </si>
  <si>
    <t>25401-00349</t>
  </si>
  <si>
    <t>25401-00350</t>
  </si>
  <si>
    <t>25401-00355</t>
  </si>
  <si>
    <t>25401-00399</t>
  </si>
  <si>
    <t>25401-00400</t>
  </si>
  <si>
    <t>25401-00411</t>
  </si>
  <si>
    <t>25401-00414</t>
  </si>
  <si>
    <t>25401-00415</t>
  </si>
  <si>
    <t>25401-00416</t>
  </si>
  <si>
    <t>25401-00417</t>
  </si>
  <si>
    <t>25401-00431</t>
  </si>
  <si>
    <t>25401-00432</t>
  </si>
  <si>
    <t>25401-00433</t>
  </si>
  <si>
    <t>25401-00476</t>
  </si>
  <si>
    <t>25401-00499</t>
  </si>
  <si>
    <t>25401-00515</t>
  </si>
  <si>
    <t>25401-00516</t>
  </si>
  <si>
    <t>25401-00517</t>
  </si>
  <si>
    <t>25401-00548</t>
  </si>
  <si>
    <t>25401-00556</t>
  </si>
  <si>
    <t>25401-00557</t>
  </si>
  <si>
    <t>25401-00565</t>
  </si>
  <si>
    <t>25401-00566</t>
  </si>
  <si>
    <t>25401-00596</t>
  </si>
  <si>
    <t>25401-00608</t>
  </si>
  <si>
    <t>25401-00609</t>
  </si>
  <si>
    <t>25401-00611</t>
  </si>
  <si>
    <t>25404-00162</t>
  </si>
  <si>
    <t>25405-00065</t>
  </si>
  <si>
    <t>25405-00066</t>
  </si>
  <si>
    <t>25405-00067</t>
  </si>
  <si>
    <t>25405-00081</t>
  </si>
  <si>
    <t>25405-00086</t>
  </si>
  <si>
    <t>25405-00087</t>
  </si>
  <si>
    <t>25405-00088</t>
  </si>
  <si>
    <t>25405-00089</t>
  </si>
  <si>
    <t>25405-00095</t>
  </si>
  <si>
    <t>25405-00100</t>
  </si>
  <si>
    <t>25405-00129</t>
  </si>
  <si>
    <t>25405-00130</t>
  </si>
  <si>
    <t>25405-00144</t>
  </si>
  <si>
    <t>25405-00145</t>
  </si>
  <si>
    <t>25405-00149</t>
  </si>
  <si>
    <t>25405-00150</t>
  </si>
  <si>
    <t>25405-00166</t>
  </si>
  <si>
    <t>25406-00006</t>
  </si>
  <si>
    <t>25406-00094</t>
  </si>
  <si>
    <t>25406-00098</t>
  </si>
  <si>
    <t>25406-00099</t>
  </si>
  <si>
    <t>25406-00110</t>
  </si>
  <si>
    <t>25406-00121</t>
  </si>
  <si>
    <t>25406-00126</t>
  </si>
  <si>
    <t>25406-00127</t>
  </si>
  <si>
    <t>25406-00135</t>
  </si>
  <si>
    <t>25406-00136</t>
  </si>
  <si>
    <t>25406-00146</t>
  </si>
  <si>
    <t>25406-00165</t>
  </si>
  <si>
    <t>25406-00167</t>
  </si>
  <si>
    <t>25406-00168</t>
  </si>
  <si>
    <t>25406-00169</t>
  </si>
  <si>
    <t>25406-00184</t>
  </si>
  <si>
    <t>25406-00185</t>
  </si>
  <si>
    <t>25406-00206</t>
  </si>
  <si>
    <t>25406-00212</t>
  </si>
  <si>
    <t>25406-00221</t>
  </si>
  <si>
    <t>25406-00225</t>
  </si>
  <si>
    <t>25406-00226</t>
  </si>
  <si>
    <t>25406-00258</t>
  </si>
  <si>
    <t>25406-00283</t>
  </si>
  <si>
    <t>25406-00284</t>
  </si>
  <si>
    <t>25406-00285</t>
  </si>
  <si>
    <t>25406-00286</t>
  </si>
  <si>
    <t>25406-00287</t>
  </si>
  <si>
    <t>25406-00291</t>
  </si>
  <si>
    <t>25406-00292</t>
  </si>
  <si>
    <t>25406-00329</t>
  </si>
  <si>
    <t>25406-00337</t>
  </si>
  <si>
    <t>25406-00338</t>
  </si>
  <si>
    <t>25406-00356</t>
  </si>
  <si>
    <t>25406-00519</t>
  </si>
  <si>
    <t>25406-00560</t>
  </si>
  <si>
    <t>25406-00586</t>
  </si>
  <si>
    <t>25406-033241</t>
  </si>
  <si>
    <t>25407-00131</t>
  </si>
  <si>
    <t>25411-00332</t>
  </si>
  <si>
    <t>25411-00419</t>
  </si>
  <si>
    <t>25411-00420</t>
  </si>
  <si>
    <t>25411-00435</t>
  </si>
  <si>
    <t>25411-00436</t>
  </si>
  <si>
    <t>25411-00446</t>
  </si>
  <si>
    <t>25411-00475</t>
  </si>
  <si>
    <t>25411-00501</t>
  </si>
  <si>
    <t>25411-00518</t>
  </si>
  <si>
    <t>25413-00333</t>
  </si>
  <si>
    <t>25414-00214</t>
  </si>
  <si>
    <t>25414-00228</t>
  </si>
  <si>
    <t>25414-00257</t>
  </si>
  <si>
    <t>25415-00308</t>
  </si>
  <si>
    <t>25415-00373</t>
  </si>
  <si>
    <t>25415-00374</t>
  </si>
  <si>
    <t>25415-00375</t>
  </si>
  <si>
    <t>25415-00376</t>
  </si>
  <si>
    <t>25415-00384</t>
  </si>
  <si>
    <t>25415-00385</t>
  </si>
  <si>
    <t>25415-00386</t>
  </si>
  <si>
    <t>25415-00401</t>
  </si>
  <si>
    <t>25415-00402</t>
  </si>
  <si>
    <t>25415-00408</t>
  </si>
  <si>
    <t>25415-00445</t>
  </si>
  <si>
    <t>25415-00455</t>
  </si>
  <si>
    <t>25415-00457</t>
  </si>
  <si>
    <t>25415-00460</t>
  </si>
  <si>
    <t>25415-00465</t>
  </si>
  <si>
    <t>25415-00466</t>
  </si>
  <si>
    <t>25415-00467</t>
  </si>
  <si>
    <t>25415-00486</t>
  </si>
  <si>
    <t>25415-00520</t>
  </si>
  <si>
    <t>25415-00532</t>
  </si>
  <si>
    <t>25415-00567</t>
  </si>
  <si>
    <t>25415-00568</t>
  </si>
  <si>
    <t>25415-00610</t>
  </si>
  <si>
    <t>25415-021434</t>
  </si>
  <si>
    <t>25415-031027</t>
  </si>
  <si>
    <t>25415-031036</t>
  </si>
  <si>
    <t>25415-032577</t>
  </si>
  <si>
    <t>25415-032582</t>
  </si>
  <si>
    <t>25427-021417</t>
  </si>
  <si>
    <t>25427-029962</t>
  </si>
  <si>
    <t>25427-033753</t>
  </si>
  <si>
    <t>25427-033764</t>
  </si>
  <si>
    <t>25427-033768</t>
  </si>
  <si>
    <t>25427-034011</t>
  </si>
  <si>
    <t>25427-035093</t>
  </si>
  <si>
    <t>25427-035094</t>
  </si>
  <si>
    <t>25427-036021</t>
  </si>
  <si>
    <t>25430-00353</t>
  </si>
  <si>
    <t>25431-00319</t>
  </si>
  <si>
    <t>25431-00559</t>
  </si>
  <si>
    <t>25434-00409</t>
  </si>
  <si>
    <t>25434-00561</t>
  </si>
  <si>
    <t>25434-012256</t>
  </si>
  <si>
    <t>25435-00252</t>
  </si>
  <si>
    <t>25435-00307</t>
  </si>
  <si>
    <t>25435-00330</t>
  </si>
  <si>
    <t>25435-00387</t>
  </si>
  <si>
    <t>25435-00389</t>
  </si>
  <si>
    <t>25435-00410</t>
  </si>
  <si>
    <t>25435-00418</t>
  </si>
  <si>
    <t>25435-00487</t>
  </si>
  <si>
    <t>25435-00488</t>
  </si>
  <si>
    <t>25435-00533</t>
  </si>
  <si>
    <t>25435-00534</t>
  </si>
  <si>
    <t>25435-00558</t>
  </si>
  <si>
    <t>25440-00549</t>
  </si>
  <si>
    <t>25440-00550</t>
  </si>
  <si>
    <t>25440-015053</t>
  </si>
  <si>
    <t>25441-00351</t>
  </si>
  <si>
    <t>25441-00362</t>
  </si>
  <si>
    <t>25441-00363</t>
  </si>
  <si>
    <t>25441-00477</t>
  </si>
  <si>
    <t>25442-00352</t>
  </si>
  <si>
    <t>25442-00403</t>
  </si>
  <si>
    <t>25442-00485</t>
  </si>
  <si>
    <t>25445-00354</t>
  </si>
  <si>
    <t>25445-00364</t>
  </si>
  <si>
    <t>25445-00413</t>
  </si>
  <si>
    <t>25445-00456</t>
  </si>
  <si>
    <t>25445-00535</t>
  </si>
  <si>
    <t>25445-00605</t>
  </si>
  <si>
    <t>25445-00606</t>
  </si>
  <si>
    <t>25445-00607</t>
  </si>
  <si>
    <t>25487-00500</t>
  </si>
  <si>
    <t>25583-00407</t>
  </si>
  <si>
    <t>25611-001550</t>
  </si>
  <si>
    <t>25611-002013</t>
  </si>
  <si>
    <t>25611-00711</t>
  </si>
  <si>
    <t>25611-00720</t>
  </si>
  <si>
    <t>25611-00721</t>
  </si>
  <si>
    <t>25611-00754</t>
  </si>
  <si>
    <t>25611-00758</t>
  </si>
  <si>
    <t>25621-001489</t>
  </si>
  <si>
    <t>25621-027764</t>
  </si>
  <si>
    <t>25621-035149</t>
  </si>
  <si>
    <t>25631-00697</t>
  </si>
  <si>
    <t>25800-001142</t>
  </si>
  <si>
    <t>25800-002176</t>
  </si>
  <si>
    <t>25800-010693</t>
  </si>
  <si>
    <t>25800-021223</t>
  </si>
  <si>
    <t>25800-023016</t>
  </si>
  <si>
    <t>25800-024573</t>
  </si>
  <si>
    <t>25800-024592</t>
  </si>
  <si>
    <t>25800-025090</t>
  </si>
  <si>
    <t>25800-027399</t>
  </si>
  <si>
    <t>25800-028873</t>
  </si>
  <si>
    <t>25800-030211</t>
  </si>
  <si>
    <t>25800-030252</t>
  </si>
  <si>
    <t>25800-032221</t>
  </si>
  <si>
    <t>25800-032230</t>
  </si>
  <si>
    <t>25800-033495</t>
  </si>
  <si>
    <t>25800-033507</t>
  </si>
  <si>
    <t>25800-033747</t>
  </si>
  <si>
    <t>25800-033771</t>
  </si>
  <si>
    <t>25800-034012</t>
  </si>
  <si>
    <t>25800-034015</t>
  </si>
  <si>
    <t>25803-012047</t>
  </si>
  <si>
    <t>25804-005283</t>
  </si>
  <si>
    <t>25804-00645</t>
  </si>
  <si>
    <t>25806-001179</t>
  </si>
  <si>
    <t>25806-00661</t>
  </si>
  <si>
    <t>25806-00670</t>
  </si>
  <si>
    <t>25806-00680</t>
  </si>
  <si>
    <t>25806-00702</t>
  </si>
  <si>
    <t>25806-00732</t>
  </si>
  <si>
    <t>25806-012792</t>
  </si>
  <si>
    <t>25806-020059</t>
  </si>
  <si>
    <t>25806-023031</t>
  </si>
  <si>
    <t>25807-00664</t>
  </si>
  <si>
    <t>25807-00693</t>
  </si>
  <si>
    <t>25807-00722</t>
  </si>
  <si>
    <t>25809-001551</t>
  </si>
  <si>
    <t>25809-003590</t>
  </si>
  <si>
    <t>25809-00713</t>
  </si>
  <si>
    <t>52405-00017</t>
  </si>
  <si>
    <t>52405-00020</t>
  </si>
  <si>
    <t>52405-00026</t>
  </si>
  <si>
    <t>52405-00027</t>
  </si>
  <si>
    <t>52406-00039</t>
  </si>
  <si>
    <t>52406-00040</t>
  </si>
  <si>
    <t>52406-00042</t>
  </si>
  <si>
    <t>52406-00043</t>
  </si>
  <si>
    <t>52406-00045</t>
  </si>
  <si>
    <t>52406-00046</t>
  </si>
  <si>
    <t>52406-00047</t>
  </si>
  <si>
    <t>52406-00052</t>
  </si>
  <si>
    <t>52406-00058</t>
  </si>
  <si>
    <t>52406-00059</t>
  </si>
  <si>
    <t>52414-00050</t>
  </si>
  <si>
    <t>52415-00053</t>
  </si>
  <si>
    <t>52415-00054</t>
  </si>
  <si>
    <t>52415-00055</t>
  </si>
  <si>
    <t>52415-00060</t>
  </si>
  <si>
    <t>52415-00061</t>
  </si>
  <si>
    <t>52426-00036</t>
  </si>
  <si>
    <t>52426-00037</t>
  </si>
  <si>
    <t>52426-00041</t>
  </si>
  <si>
    <t>52426-00044</t>
  </si>
  <si>
    <t>52426-00048</t>
  </si>
  <si>
    <t>52426-00049</t>
  </si>
  <si>
    <t>52426-00051</t>
  </si>
  <si>
    <t>52426-00062</t>
  </si>
  <si>
    <t>52426-00063</t>
  </si>
  <si>
    <t>52438-00038</t>
  </si>
  <si>
    <t>52482-00056</t>
  </si>
  <si>
    <t>52482-00057</t>
  </si>
  <si>
    <t>52800-00065</t>
  </si>
  <si>
    <t>52800-00066</t>
  </si>
  <si>
    <t>52800-00067</t>
  </si>
  <si>
    <t>52800-00068</t>
  </si>
  <si>
    <t>52800-00070</t>
  </si>
  <si>
    <t>52800-00072</t>
  </si>
  <si>
    <t>52800-00073</t>
  </si>
  <si>
    <t>52800-001213</t>
  </si>
  <si>
    <t>52800-001437</t>
  </si>
  <si>
    <t>52800-001615</t>
  </si>
  <si>
    <t>52800-002187</t>
  </si>
  <si>
    <t>52804-004254</t>
  </si>
  <si>
    <t>54405-00277</t>
  </si>
  <si>
    <t>54406-00063</t>
  </si>
  <si>
    <t>54406-00064</t>
  </si>
  <si>
    <t>54406-00115</t>
  </si>
  <si>
    <t>54406-00130</t>
  </si>
  <si>
    <t>54406-00136</t>
  </si>
  <si>
    <t>54406-00137</t>
  </si>
  <si>
    <t>54406-00138</t>
  </si>
  <si>
    <t>54406-00155</t>
  </si>
  <si>
    <t>54406-00195</t>
  </si>
  <si>
    <t>54406-00196</t>
  </si>
  <si>
    <t>54406-00197</t>
  </si>
  <si>
    <t>54406-00198</t>
  </si>
  <si>
    <t>54406-00199</t>
  </si>
  <si>
    <t>54406-00200</t>
  </si>
  <si>
    <t>54406-00201</t>
  </si>
  <si>
    <t>54406-00203</t>
  </si>
  <si>
    <t>54406-00204</t>
  </si>
  <si>
    <t>54406-00205</t>
  </si>
  <si>
    <t>54406-00206</t>
  </si>
  <si>
    <t>54406-00207</t>
  </si>
  <si>
    <t>54406-00208</t>
  </si>
  <si>
    <t>54406-00209</t>
  </si>
  <si>
    <t>54406-00210</t>
  </si>
  <si>
    <t>54406-00211</t>
  </si>
  <si>
    <t>54406-00222</t>
  </si>
  <si>
    <t>54406-00223</t>
  </si>
  <si>
    <t>54406-00224</t>
  </si>
  <si>
    <t>54406-00236</t>
  </si>
  <si>
    <t>54406-00237</t>
  </si>
  <si>
    <t>54406-00238</t>
  </si>
  <si>
    <t>54406-00239</t>
  </si>
  <si>
    <t>54406-00240</t>
  </si>
  <si>
    <t>54406-00241</t>
  </si>
  <si>
    <t>54406-00242</t>
  </si>
  <si>
    <t>54406-00272</t>
  </si>
  <si>
    <t>54406-00273</t>
  </si>
  <si>
    <t>54406-00274</t>
  </si>
  <si>
    <t>54406-00275</t>
  </si>
  <si>
    <t>54406-00276</t>
  </si>
  <si>
    <t>54406-00278</t>
  </si>
  <si>
    <t>54406-00279</t>
  </si>
  <si>
    <t>54406-00280</t>
  </si>
  <si>
    <t>54406-00281</t>
  </si>
  <si>
    <t>54406-00301</t>
  </si>
  <si>
    <t>54406-00302</t>
  </si>
  <si>
    <t>54406-00303</t>
  </si>
  <si>
    <t>54406-00304</t>
  </si>
  <si>
    <t>54406-003251</t>
  </si>
  <si>
    <t>54406-00329</t>
  </si>
  <si>
    <t>54406-00386</t>
  </si>
  <si>
    <t>54406-00395</t>
  </si>
  <si>
    <t>54406-00396</t>
  </si>
  <si>
    <t>54406-003968</t>
  </si>
  <si>
    <t>54406-00417</t>
  </si>
  <si>
    <t>54406-00437</t>
  </si>
  <si>
    <t>54406-00438</t>
  </si>
  <si>
    <t>54406-005684</t>
  </si>
  <si>
    <t>54406-020061</t>
  </si>
  <si>
    <t>54406-022768</t>
  </si>
  <si>
    <t>54406-029520</t>
  </si>
  <si>
    <t>54408-00202</t>
  </si>
  <si>
    <t>54415-00342</t>
  </si>
  <si>
    <t>54415-00409</t>
  </si>
  <si>
    <t>54415-00429</t>
  </si>
  <si>
    <t>54415-00430</t>
  </si>
  <si>
    <t>54415-00465</t>
  </si>
  <si>
    <t>54415-00466</t>
  </si>
  <si>
    <t>54415-008776</t>
  </si>
  <si>
    <t>54415-015937</t>
  </si>
  <si>
    <t>54415-026500</t>
  </si>
  <si>
    <t>54415-028432</t>
  </si>
  <si>
    <t>54800-001145</t>
  </si>
  <si>
    <t>54800-001270</t>
  </si>
  <si>
    <t>54800-001555</t>
  </si>
  <si>
    <t>54800-001556</t>
  </si>
  <si>
    <t>54800-001816</t>
  </si>
  <si>
    <t>54800-002056</t>
  </si>
  <si>
    <t>54800-002102</t>
  </si>
  <si>
    <t>54800-002801</t>
  </si>
  <si>
    <t>54800-003010</t>
  </si>
  <si>
    <t>54800-00472</t>
  </si>
  <si>
    <t>54800-004788</t>
  </si>
  <si>
    <t>54800-004789</t>
  </si>
  <si>
    <t>54800-00541</t>
  </si>
  <si>
    <t>54800-006265</t>
  </si>
  <si>
    <t>54804-002315</t>
  </si>
  <si>
    <t>54804-002798</t>
  </si>
  <si>
    <t>54804-003600</t>
  </si>
  <si>
    <t>54804-003713</t>
  </si>
  <si>
    <t>54804-004641</t>
  </si>
  <si>
    <t>54804-00484</t>
  </si>
  <si>
    <t>54804-00485</t>
  </si>
  <si>
    <t>54804-00506</t>
  </si>
  <si>
    <t>54804-00511</t>
  </si>
  <si>
    <t>54808-002058</t>
  </si>
  <si>
    <t>54808-005583</t>
  </si>
  <si>
    <t>54922-004428</t>
  </si>
  <si>
    <t>54922-009467</t>
  </si>
  <si>
    <t>54922-009468</t>
  </si>
  <si>
    <t>63403-009369</t>
  </si>
  <si>
    <t>63427-031111</t>
  </si>
  <si>
    <t>63427-035750</t>
  </si>
  <si>
    <t>63492-014756</t>
  </si>
  <si>
    <t>63492-014762</t>
  </si>
  <si>
    <t>63492-025479</t>
  </si>
  <si>
    <t>63492-026648</t>
  </si>
  <si>
    <t>66402-00086</t>
  </si>
  <si>
    <t>66402-00087</t>
  </si>
  <si>
    <t>66402-00088</t>
  </si>
  <si>
    <t>66402-00100</t>
  </si>
  <si>
    <t>66402-00102</t>
  </si>
  <si>
    <t>66402-00110</t>
  </si>
  <si>
    <t>66402-010736</t>
  </si>
  <si>
    <t>66405-00018</t>
  </si>
  <si>
    <t>66405-00019</t>
  </si>
  <si>
    <t>66405-00020</t>
  </si>
  <si>
    <t>66405-00021</t>
  </si>
  <si>
    <t>66405-00022</t>
  </si>
  <si>
    <t>66405-00023</t>
  </si>
  <si>
    <t>66405-00024</t>
  </si>
  <si>
    <t>66405-00025</t>
  </si>
  <si>
    <t>66405-00026</t>
  </si>
  <si>
    <t>66405-00027</t>
  </si>
  <si>
    <t>66405-00028</t>
  </si>
  <si>
    <t>66405-00029</t>
  </si>
  <si>
    <t>66405-00030</t>
  </si>
  <si>
    <t>66405-00031</t>
  </si>
  <si>
    <t>66405-00032</t>
  </si>
  <si>
    <t>66405-00033</t>
  </si>
  <si>
    <t>66405-00034</t>
  </si>
  <si>
    <t>66405-00035</t>
  </si>
  <si>
    <t>66405-00036</t>
  </si>
  <si>
    <t>66405-00037</t>
  </si>
  <si>
    <t>66405-00038</t>
  </si>
  <si>
    <t>66405-00039</t>
  </si>
  <si>
    <t>66405-00040</t>
  </si>
  <si>
    <t>66405-00041</t>
  </si>
  <si>
    <t>66405-00042</t>
  </si>
  <si>
    <t>66405-00043</t>
  </si>
  <si>
    <t>66405-00044</t>
  </si>
  <si>
    <t>66405-00045</t>
  </si>
  <si>
    <t>66405-00046</t>
  </si>
  <si>
    <t>66405-00047</t>
  </si>
  <si>
    <t>66405-00048</t>
  </si>
  <si>
    <t>66405-00049</t>
  </si>
  <si>
    <t>66405-00050</t>
  </si>
  <si>
    <t>66405-00051</t>
  </si>
  <si>
    <t>66405-00052</t>
  </si>
  <si>
    <t>66405-00053</t>
  </si>
  <si>
    <t>66405-00054</t>
  </si>
  <si>
    <t>66405-00055</t>
  </si>
  <si>
    <t>66405-00065</t>
  </si>
  <si>
    <t>66405-00066</t>
  </si>
  <si>
    <t>66418-00056</t>
  </si>
  <si>
    <t>66418-00057</t>
  </si>
  <si>
    <t>66418-00058</t>
  </si>
  <si>
    <t>66418-00059</t>
  </si>
  <si>
    <t>66418-00071</t>
  </si>
  <si>
    <t>66418-00073</t>
  </si>
  <si>
    <t>66418-00074</t>
  </si>
  <si>
    <t>66418-00075</t>
  </si>
  <si>
    <t>66418-00076</t>
  </si>
  <si>
    <t>66418-00078</t>
  </si>
  <si>
    <t>66418-00081</t>
  </si>
  <si>
    <t>66418-00082</t>
  </si>
  <si>
    <t>66418-00083</t>
  </si>
  <si>
    <t>66418-00084</t>
  </si>
  <si>
    <t>66418-00085</t>
  </si>
  <si>
    <t>66443-00091</t>
  </si>
  <si>
    <t>66443-00092</t>
  </si>
  <si>
    <t>66443-00093</t>
  </si>
  <si>
    <t>66443-00094</t>
  </si>
  <si>
    <t>66443-00099</t>
  </si>
  <si>
    <t>66443-00101</t>
  </si>
  <si>
    <t>66443-00111</t>
  </si>
  <si>
    <t>66443-00125</t>
  </si>
  <si>
    <t>66443-00130</t>
  </si>
  <si>
    <t>66443-00132</t>
  </si>
  <si>
    <t>66443-003843</t>
  </si>
  <si>
    <t>66485-00112</t>
  </si>
  <si>
    <t>66485-00113</t>
  </si>
  <si>
    <t>66485-00114</t>
  </si>
  <si>
    <t>66485-00115</t>
  </si>
  <si>
    <t>66485-00116</t>
  </si>
  <si>
    <t>66485-00117</t>
  </si>
  <si>
    <t>66485-00118</t>
  </si>
  <si>
    <t>66485-00119</t>
  </si>
  <si>
    <t>66485-00120</t>
  </si>
  <si>
    <t>66485-00121</t>
  </si>
  <si>
    <t>66485-00122</t>
  </si>
  <si>
    <t>66485-00131</t>
  </si>
  <si>
    <t>66802-00145</t>
  </si>
  <si>
    <t>66802-00155</t>
  </si>
  <si>
    <t>66802-00164</t>
  </si>
  <si>
    <t>66802-001754</t>
  </si>
  <si>
    <t>66802-002145</t>
  </si>
  <si>
    <t>66802-003112</t>
  </si>
  <si>
    <t>66802-003183</t>
  </si>
  <si>
    <t>66802-003720</t>
  </si>
  <si>
    <t>66802-003844</t>
  </si>
  <si>
    <t>66802-004657</t>
  </si>
  <si>
    <t>66802-005793</t>
  </si>
  <si>
    <t>66802-005794</t>
  </si>
  <si>
    <t>66802-006164</t>
  </si>
  <si>
    <t>66802-006974</t>
  </si>
  <si>
    <t>66802-009472</t>
  </si>
  <si>
    <t>66802-009867</t>
  </si>
  <si>
    <t>66802-010207</t>
  </si>
  <si>
    <t>66802-011201</t>
  </si>
  <si>
    <t>66802-011404</t>
  </si>
  <si>
    <t>66802-013068</t>
  </si>
  <si>
    <t>66802-015951</t>
  </si>
  <si>
    <t>66802-015952</t>
  </si>
  <si>
    <t>66802-017606</t>
  </si>
  <si>
    <t>66802-019042</t>
  </si>
  <si>
    <t>66802-021060</t>
  </si>
  <si>
    <t>66802-022307</t>
  </si>
  <si>
    <t>66802-022310</t>
  </si>
  <si>
    <t>66802-023695</t>
  </si>
  <si>
    <t>66802-023972</t>
  </si>
  <si>
    <t>66802-025334</t>
  </si>
  <si>
    <t>66802-025338</t>
  </si>
  <si>
    <t>66802-026518</t>
  </si>
  <si>
    <t>66802-026520</t>
  </si>
  <si>
    <t>66802-026523</t>
  </si>
  <si>
    <t>66802-028911</t>
  </si>
  <si>
    <t>66802-029543</t>
  </si>
  <si>
    <t>66802-029998</t>
  </si>
  <si>
    <t>66802-033292</t>
  </si>
  <si>
    <t>66802-033539</t>
  </si>
  <si>
    <t>66802-034043</t>
  </si>
  <si>
    <t>66812-00154</t>
  </si>
  <si>
    <t>66812-001753</t>
  </si>
  <si>
    <t>66812-001875</t>
  </si>
  <si>
    <t>66812-007451</t>
  </si>
  <si>
    <t>68410-00003</t>
  </si>
  <si>
    <t>68417-00023</t>
  </si>
  <si>
    <t>68417-014108</t>
  </si>
  <si>
    <t>68427-025355</t>
  </si>
  <si>
    <t>68427-025499</t>
  </si>
  <si>
    <t>68427-025500</t>
  </si>
  <si>
    <t>68427-025501</t>
  </si>
  <si>
    <t>68450-00005</t>
  </si>
  <si>
    <t>68450-00007</t>
  </si>
  <si>
    <t>68450-00008</t>
  </si>
  <si>
    <t>68450-00018</t>
  </si>
  <si>
    <t>68460-00010</t>
  </si>
  <si>
    <t>68460-00016</t>
  </si>
  <si>
    <t>68460-00020</t>
  </si>
  <si>
    <t>68482-00006</t>
  </si>
  <si>
    <t>68482-00009</t>
  </si>
  <si>
    <t>68633-00036</t>
  </si>
  <si>
    <t>68633-00037</t>
  </si>
  <si>
    <t>68805-00054</t>
  </si>
  <si>
    <t>68808-023139</t>
  </si>
  <si>
    <t>68808-025353</t>
  </si>
  <si>
    <t>68810-00049</t>
  </si>
  <si>
    <t>70405-00014</t>
  </si>
  <si>
    <t>70406-00001</t>
  </si>
  <si>
    <t>70406-00002</t>
  </si>
  <si>
    <t>70406-00003</t>
  </si>
  <si>
    <t>70406-00004</t>
  </si>
  <si>
    <t>70406-00005</t>
  </si>
  <si>
    <t>70406-00006</t>
  </si>
  <si>
    <t>70406-00007</t>
  </si>
  <si>
    <t>70406-00008</t>
  </si>
  <si>
    <t>70406-00009</t>
  </si>
  <si>
    <t>70406-00010</t>
  </si>
  <si>
    <t>70406-00011</t>
  </si>
  <si>
    <t>70406-00012</t>
  </si>
  <si>
    <t>70406-00013</t>
  </si>
  <si>
    <t>70406-00015</t>
  </si>
  <si>
    <t>70406-00016</t>
  </si>
  <si>
    <t>70406-00017</t>
  </si>
  <si>
    <t>70406-00018</t>
  </si>
  <si>
    <t>70406-00019</t>
  </si>
  <si>
    <t>70417-00020</t>
  </si>
  <si>
    <t>70417-00021</t>
  </si>
  <si>
    <t>70417-00022</t>
  </si>
  <si>
    <t>70417-00023</t>
  </si>
  <si>
    <t>70417-00024</t>
  </si>
  <si>
    <t>70417-00025</t>
  </si>
  <si>
    <t>70417-00026</t>
  </si>
  <si>
    <t>70417-00027</t>
  </si>
  <si>
    <t>70417-00042</t>
  </si>
  <si>
    <t>70417-00055</t>
  </si>
  <si>
    <t>70417-009291</t>
  </si>
  <si>
    <t>70417-009484</t>
  </si>
  <si>
    <t>70417-009486</t>
  </si>
  <si>
    <t>70417-010020</t>
  </si>
  <si>
    <t>70417-010378</t>
  </si>
  <si>
    <t>70417-010379</t>
  </si>
  <si>
    <t>70417-010760</t>
  </si>
  <si>
    <t>70417-011012</t>
  </si>
  <si>
    <t>70417-011415</t>
  </si>
  <si>
    <t>70417-011584</t>
  </si>
  <si>
    <t>70417-011586</t>
  </si>
  <si>
    <t>70417-011823</t>
  </si>
  <si>
    <t>70417-011824</t>
  </si>
  <si>
    <t>70417-011826</t>
  </si>
  <si>
    <t>70417-011827</t>
  </si>
  <si>
    <t>70417-011828</t>
  </si>
  <si>
    <t>70417-011829</t>
  </si>
  <si>
    <t>70417-011833</t>
  </si>
  <si>
    <t>70417-012305</t>
  </si>
  <si>
    <t>70417-012307</t>
  </si>
  <si>
    <t>70417-014456</t>
  </si>
  <si>
    <t>70417-015142</t>
  </si>
  <si>
    <t>70417-015145</t>
  </si>
  <si>
    <t>70417-015148</t>
  </si>
  <si>
    <t>70417-015149</t>
  </si>
  <si>
    <t>70417-016721</t>
  </si>
  <si>
    <t>70417-016723</t>
  </si>
  <si>
    <t>70417-017385</t>
  </si>
  <si>
    <t>70417-017386</t>
  </si>
  <si>
    <t>70417-017634</t>
  </si>
  <si>
    <t>70417-018494</t>
  </si>
  <si>
    <t>70417-019057</t>
  </si>
  <si>
    <t>70417-019059</t>
  </si>
  <si>
    <t>70417-019616</t>
  </si>
  <si>
    <t>70417-020120</t>
  </si>
  <si>
    <t>70417-020417</t>
  </si>
  <si>
    <t>70417-021757</t>
  </si>
  <si>
    <t>70417-021758</t>
  </si>
  <si>
    <t>70417-022134</t>
  </si>
  <si>
    <t>70417-022333</t>
  </si>
  <si>
    <t>70417-022552</t>
  </si>
  <si>
    <t>70417-023150</t>
  </si>
  <si>
    <t>70417-024012</t>
  </si>
  <si>
    <t>70417-024013</t>
  </si>
  <si>
    <t>70417-024262</t>
  </si>
  <si>
    <t>70417-024266</t>
  </si>
  <si>
    <t>70417-024520</t>
  </si>
  <si>
    <t>70417-025035</t>
  </si>
  <si>
    <t>70417-025732</t>
  </si>
  <si>
    <t>70417-026553</t>
  </si>
  <si>
    <t>70417-026563</t>
  </si>
  <si>
    <t>70417-028960</t>
  </si>
  <si>
    <t>70417-029252</t>
  </si>
  <si>
    <t>70417-030533</t>
  </si>
  <si>
    <t>70417-030848</t>
  </si>
  <si>
    <t>70417-030849</t>
  </si>
  <si>
    <t>70417-030853</t>
  </si>
  <si>
    <t>70417-031157</t>
  </si>
  <si>
    <t>70417-031162</t>
  </si>
  <si>
    <t>70417-031202</t>
  </si>
  <si>
    <t>70417-031860</t>
  </si>
  <si>
    <t>70417-032337</t>
  </si>
  <si>
    <t>70417-032751</t>
  </si>
  <si>
    <t>70417-032753</t>
  </si>
  <si>
    <t>70417-034344</t>
  </si>
  <si>
    <t>70417-034629</t>
  </si>
  <si>
    <t>70417-034930</t>
  </si>
  <si>
    <t>70417-035237</t>
  </si>
  <si>
    <t>70417-035238</t>
  </si>
  <si>
    <t>70417-035553</t>
  </si>
  <si>
    <t>70427-032335</t>
  </si>
  <si>
    <t>70427-035549</t>
  </si>
  <si>
    <t>70427-035550</t>
  </si>
  <si>
    <t>70450-00028</t>
  </si>
  <si>
    <t>70450-00029</t>
  </si>
  <si>
    <t>70450-00030</t>
  </si>
  <si>
    <t>70450-00031</t>
  </si>
  <si>
    <t>70450-00032</t>
  </si>
  <si>
    <t>70450-00033</t>
  </si>
  <si>
    <t>70450-00037</t>
  </si>
  <si>
    <t>70478-00034</t>
  </si>
  <si>
    <t>70478-00043</t>
  </si>
  <si>
    <t>70633-00106</t>
  </si>
  <si>
    <t>70633-00107</t>
  </si>
  <si>
    <t>70633-001230</t>
  </si>
  <si>
    <t>70633-001343</t>
  </si>
  <si>
    <t>70633-001504</t>
  </si>
  <si>
    <t>70633-001505</t>
  </si>
  <si>
    <t>70633-001506</t>
  </si>
  <si>
    <t>70633-00156</t>
  </si>
  <si>
    <t>70633-00157</t>
  </si>
  <si>
    <t>70633-001631</t>
  </si>
  <si>
    <t>70633-001800</t>
  </si>
  <si>
    <t>70633-001821</t>
  </si>
  <si>
    <t>70633-001822</t>
  </si>
  <si>
    <t>70633-002147</t>
  </si>
  <si>
    <t>70633-002489</t>
  </si>
  <si>
    <t>70633-002490</t>
  </si>
  <si>
    <t>70633-002645</t>
  </si>
  <si>
    <t>70633-002734</t>
  </si>
  <si>
    <t>70633-003431</t>
  </si>
  <si>
    <t>70633-003529</t>
  </si>
  <si>
    <t>70633-003530</t>
  </si>
  <si>
    <t>70633-003851</t>
  </si>
  <si>
    <t>70633-003852</t>
  </si>
  <si>
    <t>70633-003853</t>
  </si>
  <si>
    <t>70633-004047</t>
  </si>
  <si>
    <t>70633-004048</t>
  </si>
  <si>
    <t>70633-004049</t>
  </si>
  <si>
    <t>70633-004268</t>
  </si>
  <si>
    <t>70633-004438</t>
  </si>
  <si>
    <t>70633-004932</t>
  </si>
  <si>
    <t>70633-005299</t>
  </si>
  <si>
    <t>70633-005300</t>
  </si>
  <si>
    <t>70633-005301</t>
  </si>
  <si>
    <t>70633-005302</t>
  </si>
  <si>
    <t>70633-005419</t>
  </si>
  <si>
    <t>70633-005798</t>
  </si>
  <si>
    <t>70633-005799</t>
  </si>
  <si>
    <t>70633-005912</t>
  </si>
  <si>
    <t>70633-005913</t>
  </si>
  <si>
    <t>70633-006271</t>
  </si>
  <si>
    <t>70633-006272</t>
  </si>
  <si>
    <t>70633-006981</t>
  </si>
  <si>
    <t>70633-007242</t>
  </si>
  <si>
    <t>70633-007766</t>
  </si>
  <si>
    <t>70633-007958</t>
  </si>
  <si>
    <t>70633-008092</t>
  </si>
  <si>
    <t>70633-008093</t>
  </si>
  <si>
    <t>70633-008656</t>
  </si>
  <si>
    <t>70633-008657</t>
  </si>
  <si>
    <t>70633-008789</t>
  </si>
  <si>
    <t>70805-00084</t>
  </si>
  <si>
    <t>70805-00085</t>
  </si>
  <si>
    <t>70805-00089</t>
  </si>
  <si>
    <t>70805-00090</t>
  </si>
  <si>
    <t>70805-00125</t>
  </si>
  <si>
    <t>70805-002253</t>
  </si>
  <si>
    <t>70805-002254</t>
  </si>
  <si>
    <t>70810-00133</t>
  </si>
  <si>
    <t>70810-00134</t>
  </si>
  <si>
    <t>70810-00147</t>
  </si>
  <si>
    <t>76405-00001</t>
  </si>
  <si>
    <t>76415-014796</t>
  </si>
  <si>
    <t>76415-021765</t>
  </si>
  <si>
    <t>76415-031498</t>
  </si>
  <si>
    <t>76425-00008</t>
  </si>
  <si>
    <t>76425-00013</t>
  </si>
  <si>
    <t>76425-00035</t>
  </si>
  <si>
    <t>76425-00036</t>
  </si>
  <si>
    <t>76425-00037</t>
  </si>
  <si>
    <t>76425-00038</t>
  </si>
  <si>
    <t>76425-00062</t>
  </si>
  <si>
    <t>76425-00072</t>
  </si>
  <si>
    <t>76425-00073</t>
  </si>
  <si>
    <t>76425-00088</t>
  </si>
  <si>
    <t>76425-00092</t>
  </si>
  <si>
    <t>76425-00093</t>
  </si>
  <si>
    <t>76425-00094</t>
  </si>
  <si>
    <t>76425-00096</t>
  </si>
  <si>
    <t>76425-00097</t>
  </si>
  <si>
    <t>76425-00098</t>
  </si>
  <si>
    <t>76425-00099</t>
  </si>
  <si>
    <t>76425-00100</t>
  </si>
  <si>
    <t>76425-00117</t>
  </si>
  <si>
    <t>76427-024056</t>
  </si>
  <si>
    <t>76437-00011</t>
  </si>
  <si>
    <t>76437-00029</t>
  </si>
  <si>
    <t>76437-00030</t>
  </si>
  <si>
    <t>76437-00031</t>
  </si>
  <si>
    <t>76437-00039</t>
  </si>
  <si>
    <t>76437-00063</t>
  </si>
  <si>
    <t>76437-00101</t>
  </si>
  <si>
    <t>76446-00116</t>
  </si>
  <si>
    <t>76477-00032</t>
  </si>
  <si>
    <t>76477-00033</t>
  </si>
  <si>
    <t>76477-00034</t>
  </si>
  <si>
    <t>76492-013830</t>
  </si>
  <si>
    <t>00000-00209</t>
  </si>
  <si>
    <t>00000-00001</t>
  </si>
  <si>
    <t>00000-00018</t>
  </si>
  <si>
    <t xml:space="preserve">RENDON GALLEGO                                    </t>
  </si>
  <si>
    <t xml:space="preserve">YENNY ANDREA                                      </t>
  </si>
  <si>
    <t>TECNICA PROFESIONAL EN DELINEANTE CONSTRUCTOR</t>
  </si>
  <si>
    <t>2012-08-22 00:00:00.000</t>
  </si>
  <si>
    <t xml:space="preserve">ROSERO ESPINOSA                                   </t>
  </si>
  <si>
    <t xml:space="preserve">ANDREA XIMENA                                     </t>
  </si>
  <si>
    <t>1940-12-19 00:00:00.000</t>
  </si>
  <si>
    <t xml:space="preserve">CABRERA BELALCAZAR                                </t>
  </si>
  <si>
    <t xml:space="preserve">DANIEL                                            </t>
  </si>
  <si>
    <t>ARQUITECTO</t>
  </si>
  <si>
    <t>UNIVERSIDAD CATOLICA DE CHILE</t>
  </si>
  <si>
    <t xml:space="preserve">Profesionales                 </t>
  </si>
  <si>
    <t>1940-02-21 00:00:00.000</t>
  </si>
  <si>
    <t>1940-04-06 00:00:00.000</t>
  </si>
  <si>
    <t xml:space="preserve">SANTACRUZ BURBANO                                 </t>
  </si>
  <si>
    <t>1940-02-26 00:00:00.000</t>
  </si>
  <si>
    <t>ARQUITECTO (SIN TITULO)</t>
  </si>
  <si>
    <t>PRACTICA</t>
  </si>
  <si>
    <t>ESTADO</t>
  </si>
  <si>
    <t>TECNICO PROFESIONAL INTERMEDIO EN DECORADORA Y DELINEANTE DE ARQUITECTURA</t>
  </si>
  <si>
    <t xml:space="preserve"> </t>
  </si>
  <si>
    <t>TECNOLOGO EN DELINEANTE DE ARQUITECTURA</t>
  </si>
  <si>
    <t>TECNOLOGA EN DELINEANTES DE ARQUITECTURA E INGENIERIA</t>
  </si>
  <si>
    <t>NO</t>
  </si>
  <si>
    <t>FOLIOS</t>
  </si>
  <si>
    <t>OBSERVACIONES</t>
  </si>
  <si>
    <t>A ENTREGAR</t>
  </si>
  <si>
    <t xml:space="preserve">ANT </t>
  </si>
  <si>
    <t>ACOSTA MONTOYA</t>
  </si>
  <si>
    <t xml:space="preserve">MARTHA LUCIA </t>
  </si>
  <si>
    <t xml:space="preserve">C </t>
  </si>
  <si>
    <t xml:space="preserve">Tecnólogos </t>
  </si>
  <si>
    <t>AGUDELO ZAPATA</t>
  </si>
  <si>
    <t xml:space="preserve">LUZ MARINA </t>
  </si>
  <si>
    <t>ALZATE ANGARITA</t>
  </si>
  <si>
    <t>ARBOLEDA GALVIS</t>
  </si>
  <si>
    <t>CLARA PATRICIA</t>
  </si>
  <si>
    <t xml:space="preserve">ARIAS PEREZ </t>
  </si>
  <si>
    <t xml:space="preserve">PATRICY </t>
  </si>
  <si>
    <t>ARISTIZABAL ARBELAEZ</t>
  </si>
  <si>
    <t xml:space="preserve">GLORIA ELENA </t>
  </si>
  <si>
    <t>BAQUERO NAVALES</t>
  </si>
  <si>
    <t>MONICA PATRICIA</t>
  </si>
  <si>
    <t>EN EL ACTA DE GRADO APARECE COMO TECNOLOGO EN DELINEANTE</t>
  </si>
  <si>
    <t>BETANCUR ALZATE</t>
  </si>
  <si>
    <t>BLANCA ERNESTINA</t>
  </si>
  <si>
    <t>ACADEMIA SUPERIOR DE ARTES</t>
  </si>
  <si>
    <t>BETANCUR ESTRADA</t>
  </si>
  <si>
    <t xml:space="preserve">GLORIA LUZ </t>
  </si>
  <si>
    <t>CABANZO MOLINA</t>
  </si>
  <si>
    <t>MARIA VILMA ARLENE</t>
  </si>
  <si>
    <t>CADAVID ESCOBAR</t>
  </si>
  <si>
    <t xml:space="preserve">LINA MARIA </t>
  </si>
  <si>
    <t>CAICEDO VILLEGAS</t>
  </si>
  <si>
    <t xml:space="preserve">MARIA ELSY </t>
  </si>
  <si>
    <t xml:space="preserve">CAÑAS MARIN </t>
  </si>
  <si>
    <t xml:space="preserve">BLANCA DORIS </t>
  </si>
  <si>
    <t>CARDONA MORENO</t>
  </si>
  <si>
    <t xml:space="preserve">ANGELA MARIA </t>
  </si>
  <si>
    <t xml:space="preserve">CORREA LOPEZ </t>
  </si>
  <si>
    <t xml:space="preserve">MARTHA ALICIA </t>
  </si>
  <si>
    <t>CUARTAS POSADA</t>
  </si>
  <si>
    <t>ANGELA PATRICIA</t>
  </si>
  <si>
    <t xml:space="preserve">DIAZ RUEDA </t>
  </si>
  <si>
    <t>FRANCIA YASMIN</t>
  </si>
  <si>
    <t xml:space="preserve">DUARTE ROMERO </t>
  </si>
  <si>
    <t xml:space="preserve">ALBA ALCIRA </t>
  </si>
  <si>
    <t xml:space="preserve">DUQUE JIMENEZ </t>
  </si>
  <si>
    <t xml:space="preserve">LUZ ADELA </t>
  </si>
  <si>
    <t>DUQUE QUINTERO</t>
  </si>
  <si>
    <t>JANNETH ZORAIDA</t>
  </si>
  <si>
    <t xml:space="preserve">FAJARDO VELEZ </t>
  </si>
  <si>
    <t xml:space="preserve">MARIA ROCIO </t>
  </si>
  <si>
    <t>EN EL ACTA DE GRADO APARECE COMO TECNICO PROFESIONAL INTERMEDIO EN DECORACION…</t>
  </si>
  <si>
    <t>FERNANDEZ ARBOLEDA</t>
  </si>
  <si>
    <t xml:space="preserve">LIGIA ELENA </t>
  </si>
  <si>
    <t>DIPLOMA Y ACTA EL SEGUNDO NOMBRE APARECE CON H</t>
  </si>
  <si>
    <t xml:space="preserve">FRANCO GARCIA </t>
  </si>
  <si>
    <t xml:space="preserve">LORENZA </t>
  </si>
  <si>
    <t>EN EL ACTA DE GRADO APARECE COMO TECNICO PROFESIONAL …</t>
  </si>
  <si>
    <t>GARCIA GONZALEZ</t>
  </si>
  <si>
    <t xml:space="preserve">MARIA PIEDAD </t>
  </si>
  <si>
    <t>EN EL ACTA DE GRADO APARECE COMO TECNICO PROFESIONAL EN DECORADORA …</t>
  </si>
  <si>
    <t>GAVIRIA BERRIO</t>
  </si>
  <si>
    <t xml:space="preserve">BEATRIZ ELENA </t>
  </si>
  <si>
    <t>DECORADORA Y DELINEANTE DE ARQUITECTURA</t>
  </si>
  <si>
    <t>DIPLOMA EL SEGUNDO NOMBRE APARECE CON H</t>
  </si>
  <si>
    <t>GIRALDO MORENO</t>
  </si>
  <si>
    <t xml:space="preserve">MARIA EDITH </t>
  </si>
  <si>
    <t xml:space="preserve">GOMEZ GIRALDO </t>
  </si>
  <si>
    <t xml:space="preserve">AURA CECILIA </t>
  </si>
  <si>
    <t>GONZALEZ HERRERA</t>
  </si>
  <si>
    <t>MARTHA CECILIA</t>
  </si>
  <si>
    <t>EN EL ACTA DE GRADO APARECE COMO TECNICO PROFESIONAL EN DIBUJANTE DE ARQUITECTURA</t>
  </si>
  <si>
    <t xml:space="preserve">HENAO OCHOA </t>
  </si>
  <si>
    <t xml:space="preserve">LIBIA EUGENIA </t>
  </si>
  <si>
    <t xml:space="preserve">HENAO ROJAS </t>
  </si>
  <si>
    <t xml:space="preserve">ROSANA </t>
  </si>
  <si>
    <t>HOLGUIN CUERVO</t>
  </si>
  <si>
    <t>JARAMILLO GIRALDO</t>
  </si>
  <si>
    <t xml:space="preserve">LUZ AMPARO </t>
  </si>
  <si>
    <t>JARAMILLO PEREZ</t>
  </si>
  <si>
    <t xml:space="preserve">MARIA CECILIA </t>
  </si>
  <si>
    <t>JARAMILLO VELASQUEZ</t>
  </si>
  <si>
    <t>PIEDAD DEL SOCORRO</t>
  </si>
  <si>
    <t>LONDOÑO VALLEJO</t>
  </si>
  <si>
    <t xml:space="preserve">ELVIA ELENA </t>
  </si>
  <si>
    <t>MARTINEZ RESTREPO</t>
  </si>
  <si>
    <t xml:space="preserve">OLGA LUCIA </t>
  </si>
  <si>
    <t>PANIAGUA POSADA</t>
  </si>
  <si>
    <t xml:space="preserve">SANDRA INES </t>
  </si>
  <si>
    <t>1962-03-07 00:00:00.000</t>
  </si>
  <si>
    <t xml:space="preserve">MEJIA ARANGO </t>
  </si>
  <si>
    <t xml:space="preserve">FELIX </t>
  </si>
  <si>
    <t xml:space="preserve">Profesionales </t>
  </si>
  <si>
    <t xml:space="preserve">MEJIA MUÑOZ </t>
  </si>
  <si>
    <t>CLAUDIA PATRICIA</t>
  </si>
  <si>
    <t>NADER SOTOMAYOR</t>
  </si>
  <si>
    <t>YANETH ESTRELLA</t>
  </si>
  <si>
    <t xml:space="preserve">MEJIA PINEDA </t>
  </si>
  <si>
    <t xml:space="preserve">MARTHA NELLY </t>
  </si>
  <si>
    <t>EN EL ACTA DE GRADO APARECE COMO TECNICO PROFESIONAL EN ARTE Y DECORACION ARQUITECTONICA</t>
  </si>
  <si>
    <t>MONTOYA MONTOYA</t>
  </si>
  <si>
    <t>MARIA INES DEL SOCORRO</t>
  </si>
  <si>
    <t>NANCLARES GOMEZ</t>
  </si>
  <si>
    <t xml:space="preserve">JULIA ROSA </t>
  </si>
  <si>
    <t>EN EL ACTA DE GRADO APARECE COMO TECNICO PROFESIONAL EN …</t>
  </si>
  <si>
    <t>OSORNO QUINTERO</t>
  </si>
  <si>
    <t xml:space="preserve">MARIA GLORIA </t>
  </si>
  <si>
    <t xml:space="preserve">PALACIO LEMOS </t>
  </si>
  <si>
    <t>VICTORIA EUGENIA</t>
  </si>
  <si>
    <t>PALACIO PALACIO</t>
  </si>
  <si>
    <t>HILDA PATRICIA DE LA ESPERANZA</t>
  </si>
  <si>
    <t xml:space="preserve">PATIÑO ARANGO </t>
  </si>
  <si>
    <t>SIRLEY CRISTINA</t>
  </si>
  <si>
    <t xml:space="preserve">PEREZ BAENA </t>
  </si>
  <si>
    <t xml:space="preserve">MARTA ELENA </t>
  </si>
  <si>
    <t xml:space="preserve">PEREZ MONTOYA </t>
  </si>
  <si>
    <t xml:space="preserve">ADRIANA MARIA </t>
  </si>
  <si>
    <t>PUERTA AGUDELO</t>
  </si>
  <si>
    <t>GILMA DEL SOCORRO</t>
  </si>
  <si>
    <t xml:space="preserve">RAMIREZ CANO </t>
  </si>
  <si>
    <t>RAMIREZ CHALARCA</t>
  </si>
  <si>
    <t>MARIA ESPERANZA</t>
  </si>
  <si>
    <t xml:space="preserve">RAMIREZ CONDE </t>
  </si>
  <si>
    <t xml:space="preserve">MAGDA JIMENA </t>
  </si>
  <si>
    <t>RAMIREZ DE MONTES</t>
  </si>
  <si>
    <t xml:space="preserve">ROSA AMPARO </t>
  </si>
  <si>
    <t>RESTREPO ESCOBAR</t>
  </si>
  <si>
    <t xml:space="preserve">SILVIA ELENA </t>
  </si>
  <si>
    <t xml:space="preserve">RUIZ GIRALDO </t>
  </si>
  <si>
    <t xml:space="preserve">MARIA ELENA </t>
  </si>
  <si>
    <t xml:space="preserve">CARMENZA </t>
  </si>
  <si>
    <t xml:space="preserve">SANTA MEJIA </t>
  </si>
  <si>
    <t xml:space="preserve">LUZ ELENA </t>
  </si>
  <si>
    <t>SIERRA RODRIGUEZ</t>
  </si>
  <si>
    <t>CONSUELO DE LA CRUZ</t>
  </si>
  <si>
    <t xml:space="preserve">TOBON ARANGO </t>
  </si>
  <si>
    <t>BLANCA EUGENIA</t>
  </si>
  <si>
    <t>TOBON BUSTAMANTE</t>
  </si>
  <si>
    <t xml:space="preserve">ALEXANDER </t>
  </si>
  <si>
    <t>TOLEDO DUGARTE</t>
  </si>
  <si>
    <t xml:space="preserve">JACQUELINE </t>
  </si>
  <si>
    <t xml:space="preserve">TORO VALENCIA </t>
  </si>
  <si>
    <t xml:space="preserve">LUZ HELENA </t>
  </si>
  <si>
    <t>LICENCIADO EN DIBUJO ARQUITECTONICO Y DECORACION</t>
  </si>
  <si>
    <t>TRIVIÑO JARAMILLO</t>
  </si>
  <si>
    <t>CLAUDIA CECILIA</t>
  </si>
  <si>
    <t xml:space="preserve">UMBACIA OLIVO </t>
  </si>
  <si>
    <t xml:space="preserve">JUAN CARLOS </t>
  </si>
  <si>
    <t xml:space="preserve">URIBE CORREA </t>
  </si>
  <si>
    <t>BEATRIZ EUGENIA</t>
  </si>
  <si>
    <t>VELEZ BETANCUR</t>
  </si>
  <si>
    <t>GLORIA CECILIA</t>
  </si>
  <si>
    <t>VILLA VELASQUEZ</t>
  </si>
  <si>
    <t>BEATRIZ DEL SOCORRO</t>
  </si>
  <si>
    <t xml:space="preserve">YEPES GIL </t>
  </si>
  <si>
    <t xml:space="preserve">MYRIAM ELENA </t>
  </si>
  <si>
    <t>ZAPATA NARANJO</t>
  </si>
  <si>
    <t xml:space="preserve">PIEDAD ROCIO </t>
  </si>
  <si>
    <t xml:space="preserve">ZULUAGA AMAYA </t>
  </si>
  <si>
    <t>JARAMILLO VERGARA</t>
  </si>
  <si>
    <t>DIANA PATRICIA</t>
  </si>
  <si>
    <t>VASQUEZ GIRALDO</t>
  </si>
  <si>
    <t>CARVAJAL ARISTIZABAL</t>
  </si>
  <si>
    <t>NANCY MARIA DE FATIMA</t>
  </si>
  <si>
    <t>ZULUAGA QUINTERO</t>
  </si>
  <si>
    <t xml:space="preserve">MARIA EUGENIA </t>
  </si>
  <si>
    <t>GOMEZ VALENZUELA</t>
  </si>
  <si>
    <t xml:space="preserve">RIOS OCHOA </t>
  </si>
  <si>
    <t>LILIANA PATRICIA</t>
  </si>
  <si>
    <t>BAENA VALENCIA</t>
  </si>
  <si>
    <t xml:space="preserve">CECILIA </t>
  </si>
  <si>
    <t xml:space="preserve">MONTAÑO GOMEZ </t>
  </si>
  <si>
    <t xml:space="preserve">FARACO VERA </t>
  </si>
  <si>
    <t xml:space="preserve">CARMEN </t>
  </si>
  <si>
    <t>HERNANDEZ ARTEAGA</t>
  </si>
  <si>
    <t>SONIA DEL SOCORRO</t>
  </si>
  <si>
    <t xml:space="preserve">OSPINA DUQUE </t>
  </si>
  <si>
    <t>BUSTAMANTE HERRON</t>
  </si>
  <si>
    <t>DIANA CRISTINA</t>
  </si>
  <si>
    <t xml:space="preserve">DUQUE ZULUAGA </t>
  </si>
  <si>
    <t xml:space="preserve">LUZ PATRICIA </t>
  </si>
  <si>
    <t>ARISTIZABAL HENAO</t>
  </si>
  <si>
    <t xml:space="preserve">CARLOS MARIO </t>
  </si>
  <si>
    <t xml:space="preserve">ROBLEDO PEREZ </t>
  </si>
  <si>
    <t xml:space="preserve">MARIA LUCIA </t>
  </si>
  <si>
    <t>VIANA MARTINEZ</t>
  </si>
  <si>
    <t xml:space="preserve">LUZ DEISY </t>
  </si>
  <si>
    <t>ARRUBLA YANGUAS</t>
  </si>
  <si>
    <t xml:space="preserve">DORIS ELENA </t>
  </si>
  <si>
    <t>ALVAREZ BERMUDEZ</t>
  </si>
  <si>
    <t>QUINTERO POSADA</t>
  </si>
  <si>
    <t xml:space="preserve">GLORIA MARIA </t>
  </si>
  <si>
    <t>LONDOÑO BEDOYA</t>
  </si>
  <si>
    <t xml:space="preserve">LUIS ALBERTO </t>
  </si>
  <si>
    <t xml:space="preserve">MESA DELGADO </t>
  </si>
  <si>
    <t>ARBOLEDA GARCIA</t>
  </si>
  <si>
    <t xml:space="preserve">LORENA </t>
  </si>
  <si>
    <t>VASQUEZ FRANCO</t>
  </si>
  <si>
    <t>LUISA FERNANDA</t>
  </si>
  <si>
    <t>EN EL ACTA DE GRADO APARECE COMO TECNOLOGO EN DELINEANTE…</t>
  </si>
  <si>
    <t xml:space="preserve">PEREZ AGUSTIN </t>
  </si>
  <si>
    <t xml:space="preserve">EMERSON </t>
  </si>
  <si>
    <t>PALACIO BETANCUR</t>
  </si>
  <si>
    <t xml:space="preserve">JOHN JAIRO </t>
  </si>
  <si>
    <t xml:space="preserve">VELEZ MORALES </t>
  </si>
  <si>
    <t>MARIA CRISTINA</t>
  </si>
  <si>
    <t xml:space="preserve">PEREZ SALAZAR </t>
  </si>
  <si>
    <t xml:space="preserve">JHONY ALVEIRO </t>
  </si>
  <si>
    <t xml:space="preserve">MATILDE </t>
  </si>
  <si>
    <t>SE ANEXA UNA CERTIFICACIÓN EN LA QUE SE ACLARA QUE EL PROGRAMA ES TECNICO PROFESIONAL</t>
  </si>
  <si>
    <t>SANCHEZ POSADA</t>
  </si>
  <si>
    <t xml:space="preserve">ANA MARIA </t>
  </si>
  <si>
    <t xml:space="preserve">ORTEGA RICO </t>
  </si>
  <si>
    <t>SILVIA CAROLINA</t>
  </si>
  <si>
    <t xml:space="preserve">MAYA OSPINA </t>
  </si>
  <si>
    <t>CARLOS EDUARDO</t>
  </si>
  <si>
    <t>GALEANO RODRIGUEZ</t>
  </si>
  <si>
    <t xml:space="preserve">JOHN FREYDER </t>
  </si>
  <si>
    <t xml:space="preserve">RIVAS TOBON </t>
  </si>
  <si>
    <t xml:space="preserve">ORTIZ ESTRADA </t>
  </si>
  <si>
    <t xml:space="preserve">GABRIEL JAIME </t>
  </si>
  <si>
    <t>SANCHEZ VILLEGAS</t>
  </si>
  <si>
    <t xml:space="preserve">LUZ VICTORIA </t>
  </si>
  <si>
    <t>HOYOS RESTREPO</t>
  </si>
  <si>
    <t xml:space="preserve">CARLOS ARTURO </t>
  </si>
  <si>
    <t>NARVAEZ BETANCUR</t>
  </si>
  <si>
    <t xml:space="preserve">LINA MARCELA </t>
  </si>
  <si>
    <t>POSADA HERRERA</t>
  </si>
  <si>
    <t xml:space="preserve">NIETO ARANGO </t>
  </si>
  <si>
    <t xml:space="preserve">JAVIER ALONSO </t>
  </si>
  <si>
    <t xml:space="preserve">ROLDAN ROLDAN </t>
  </si>
  <si>
    <t xml:space="preserve">VELEZ VASQUEZ </t>
  </si>
  <si>
    <t xml:space="preserve">ARANGO DIAZ </t>
  </si>
  <si>
    <t>GLORIA PATRICIA</t>
  </si>
  <si>
    <t>ESCOBAR ARANGO</t>
  </si>
  <si>
    <t xml:space="preserve">LILIANA MARIA DE LA CHINCA </t>
  </si>
  <si>
    <t>VALLEJO HERRERA</t>
  </si>
  <si>
    <t xml:space="preserve">MARIA GISELA </t>
  </si>
  <si>
    <t>BARRIOS OROZCO</t>
  </si>
  <si>
    <t>PATRICIA DEL ROSARIO</t>
  </si>
  <si>
    <t xml:space="preserve">VILLA VILLA </t>
  </si>
  <si>
    <t xml:space="preserve">SALVADOR </t>
  </si>
  <si>
    <t xml:space="preserve">CORREA ULLOA </t>
  </si>
  <si>
    <t>BIBIANA DE LOS DOLORES</t>
  </si>
  <si>
    <t xml:space="preserve">MEJIA CORTES </t>
  </si>
  <si>
    <t>GLADYS BEATRIZ</t>
  </si>
  <si>
    <t xml:space="preserve">OCHOA CARDONA </t>
  </si>
  <si>
    <t>MARYORI DEL SOCORRO</t>
  </si>
  <si>
    <t>HERNANDEZ CANO</t>
  </si>
  <si>
    <t>BEATRIZ ADRIANA</t>
  </si>
  <si>
    <t>MONTOYA SALINAS</t>
  </si>
  <si>
    <t>MARIA ROCIO DEL SOCORRO</t>
  </si>
  <si>
    <t>CARMONA BERNAL</t>
  </si>
  <si>
    <t xml:space="preserve">LUIS FERNANDO </t>
  </si>
  <si>
    <t>RESTREPO GOMEZ</t>
  </si>
  <si>
    <t xml:space="preserve">OLGA CECILIA </t>
  </si>
  <si>
    <t xml:space="preserve">PUENTE GOMEZ </t>
  </si>
  <si>
    <t>SERGIO ALBERTO</t>
  </si>
  <si>
    <t xml:space="preserve">ZAPATA ARANGO </t>
  </si>
  <si>
    <t xml:space="preserve">RAMIREZ PINTO </t>
  </si>
  <si>
    <t xml:space="preserve">OROZCO GOMEZ </t>
  </si>
  <si>
    <t xml:space="preserve">LUZ ADRIANA </t>
  </si>
  <si>
    <t xml:space="preserve">CANO CARDONA </t>
  </si>
  <si>
    <t xml:space="preserve">GABRIELA </t>
  </si>
  <si>
    <t>SALAZAR VELASQUEZ</t>
  </si>
  <si>
    <t xml:space="preserve">CLAUDIA INES </t>
  </si>
  <si>
    <t>FERNANDEZ ARCILA</t>
  </si>
  <si>
    <t xml:space="preserve">CLAUDIA MARIA </t>
  </si>
  <si>
    <t xml:space="preserve">MEJIA SALGADO </t>
  </si>
  <si>
    <t>DIANA ELIZABETH</t>
  </si>
  <si>
    <t>RESTREPO BUILES</t>
  </si>
  <si>
    <t>EN EL ACTA DE GRADO APARECE COMO TECNOLOGO EN DELINEANTES…</t>
  </si>
  <si>
    <t>CARDENAS CARDENAS</t>
  </si>
  <si>
    <t xml:space="preserve">SANDRA ISABEL </t>
  </si>
  <si>
    <t xml:space="preserve">PARRA RAMIREZ </t>
  </si>
  <si>
    <t xml:space="preserve">DORA INES </t>
  </si>
  <si>
    <t>ROMERO BUITRAGO</t>
  </si>
  <si>
    <t>ISABEL CRISTINA</t>
  </si>
  <si>
    <t>RESTREPO TOBON</t>
  </si>
  <si>
    <t xml:space="preserve">MARIA JOSE </t>
  </si>
  <si>
    <t xml:space="preserve">GOMEZ MEJIA </t>
  </si>
  <si>
    <t xml:space="preserve">MESA MORENO </t>
  </si>
  <si>
    <t xml:space="preserve">MARTA LUZ </t>
  </si>
  <si>
    <t xml:space="preserve">OSPINA PEREZ </t>
  </si>
  <si>
    <t>ATEHORTUA MORALES</t>
  </si>
  <si>
    <t xml:space="preserve">RUTH MAGALI </t>
  </si>
  <si>
    <t xml:space="preserve">PEREZ GIL </t>
  </si>
  <si>
    <t xml:space="preserve">ALBA DIONNE </t>
  </si>
  <si>
    <t>CORREAL ARANGO</t>
  </si>
  <si>
    <t>MARIA JEANNETTE</t>
  </si>
  <si>
    <t>GONZALEZ ARANGO</t>
  </si>
  <si>
    <t xml:space="preserve">ZAPATA OSPINA </t>
  </si>
  <si>
    <t xml:space="preserve">BENITEZ MARIN </t>
  </si>
  <si>
    <t xml:space="preserve">JOSE GABRIEL </t>
  </si>
  <si>
    <t>CORREA ECHEVERRI</t>
  </si>
  <si>
    <t>ECHAVARRIA BELTRAN</t>
  </si>
  <si>
    <t>ANA ISABEL DEL SOCORRO</t>
  </si>
  <si>
    <t>SERPA CONTRERAS</t>
  </si>
  <si>
    <t>ROSARIO DEL SOCORRO</t>
  </si>
  <si>
    <t xml:space="preserve">RESTREPO MESA </t>
  </si>
  <si>
    <t xml:space="preserve">JULIAN </t>
  </si>
  <si>
    <t>BARRERA GALEANO</t>
  </si>
  <si>
    <t xml:space="preserve">PIEDAD OTILIA </t>
  </si>
  <si>
    <t>GARCIA BETANCUR</t>
  </si>
  <si>
    <t xml:space="preserve">CLARA INES </t>
  </si>
  <si>
    <t xml:space="preserve">URIBE MIRA </t>
  </si>
  <si>
    <t>CLAUDIA ANA MARIA</t>
  </si>
  <si>
    <t>FLOREZ PIEDRAHITA</t>
  </si>
  <si>
    <t>MARGARITA MARIA</t>
  </si>
  <si>
    <t>PEREZ JARAMILLO</t>
  </si>
  <si>
    <t xml:space="preserve">HENRY ALONSO </t>
  </si>
  <si>
    <t xml:space="preserve">LOPEZ ORTIZ </t>
  </si>
  <si>
    <t>AMADOR RODRIGUEZ</t>
  </si>
  <si>
    <t xml:space="preserve">MONICA ESTELA </t>
  </si>
  <si>
    <t>CORREA COLORADO</t>
  </si>
  <si>
    <t>GERARDO WILSON</t>
  </si>
  <si>
    <t xml:space="preserve">JURADO ZAPATA </t>
  </si>
  <si>
    <t>CATAÑO SANCHEZ</t>
  </si>
  <si>
    <t xml:space="preserve">VITALIA </t>
  </si>
  <si>
    <t>ARBOLEDA ALZATE</t>
  </si>
  <si>
    <t>ERAZO CARRASQUILLA</t>
  </si>
  <si>
    <t xml:space="preserve">YESID ALBERTO </t>
  </si>
  <si>
    <t xml:space="preserve">VASQUEZ MESA </t>
  </si>
  <si>
    <t>NORA DEL SOCORRO</t>
  </si>
  <si>
    <t xml:space="preserve">BERTHA LIGIA </t>
  </si>
  <si>
    <t xml:space="preserve">MUÑOZ RIOS </t>
  </si>
  <si>
    <t xml:space="preserve">ALVAREZ MARIN </t>
  </si>
  <si>
    <t xml:space="preserve">SANDRA MARIA </t>
  </si>
  <si>
    <t xml:space="preserve">CALLE GARZON </t>
  </si>
  <si>
    <t xml:space="preserve">BELINDA </t>
  </si>
  <si>
    <t xml:space="preserve">LOAIZA HENAO </t>
  </si>
  <si>
    <t xml:space="preserve">CUARTAS MUÑOZ </t>
  </si>
  <si>
    <t xml:space="preserve">GLORIA INES </t>
  </si>
  <si>
    <t>HENAO ECHAVARRIA</t>
  </si>
  <si>
    <t>ROMERO CARRILLO</t>
  </si>
  <si>
    <t xml:space="preserve">SALAZAR HENAO </t>
  </si>
  <si>
    <t xml:space="preserve">ASTRID HELENA </t>
  </si>
  <si>
    <t>ARANGO FONNEGRA</t>
  </si>
  <si>
    <t xml:space="preserve">ANA BEATRIZ </t>
  </si>
  <si>
    <t xml:space="preserve">RUIZ MEDINA </t>
  </si>
  <si>
    <t xml:space="preserve">ALVARO </t>
  </si>
  <si>
    <t>CARDONA SANCHEZ</t>
  </si>
  <si>
    <t xml:space="preserve">ZAPATA MESA </t>
  </si>
  <si>
    <t>GLADIS ESTELLA</t>
  </si>
  <si>
    <t xml:space="preserve">PALACIO LOPEZ </t>
  </si>
  <si>
    <t xml:space="preserve">MARIA LOURDES </t>
  </si>
  <si>
    <t xml:space="preserve">VASQUEZ VELEZ </t>
  </si>
  <si>
    <t>SANCHEZ GIRALDO</t>
  </si>
  <si>
    <t>CANO SEPULVEDA</t>
  </si>
  <si>
    <t xml:space="preserve">ALBA PATRICIA </t>
  </si>
  <si>
    <t xml:space="preserve">DUQUE MONTOYA </t>
  </si>
  <si>
    <t>ESCOBAR SIERRA</t>
  </si>
  <si>
    <t>CLARA HORTENCIA</t>
  </si>
  <si>
    <t>MONTOYA HERRERA</t>
  </si>
  <si>
    <t>JORGE HUMBERTO</t>
  </si>
  <si>
    <t>MORALES VARGAS</t>
  </si>
  <si>
    <t xml:space="preserve">ALBA ROCIO </t>
  </si>
  <si>
    <t xml:space="preserve">SERNA BOTERO </t>
  </si>
  <si>
    <t>GLADIS EUGENIA</t>
  </si>
  <si>
    <t>MARTINEZ ARBELAEZ</t>
  </si>
  <si>
    <t>GERLAINE DE JESUS</t>
  </si>
  <si>
    <t xml:space="preserve">RIOS MESA </t>
  </si>
  <si>
    <t>MONTOYA ARROYAVE</t>
  </si>
  <si>
    <t xml:space="preserve">MEJIA JIMENEZ </t>
  </si>
  <si>
    <t>MARTHA LUCIA DE LA CRUZ</t>
  </si>
  <si>
    <t>ECHEVERRI CARTAGENA</t>
  </si>
  <si>
    <t xml:space="preserve">BLANCA LUCIA </t>
  </si>
  <si>
    <t xml:space="preserve">MEJIA ANGEL </t>
  </si>
  <si>
    <t xml:space="preserve">GONZALEZ CANO </t>
  </si>
  <si>
    <t xml:space="preserve">CLARA ISABEL </t>
  </si>
  <si>
    <t>HINCAPIE TIRADO</t>
  </si>
  <si>
    <t xml:space="preserve">MONICA </t>
  </si>
  <si>
    <t>TAMAYO ACEVEDO</t>
  </si>
  <si>
    <t xml:space="preserve">VILLA MEJIA </t>
  </si>
  <si>
    <t>IVONE ALEXANDRA</t>
  </si>
  <si>
    <t>GIRALDO GARCIA</t>
  </si>
  <si>
    <t>ADRIANA PATRICIA</t>
  </si>
  <si>
    <t>MORALES SIERRA</t>
  </si>
  <si>
    <t>BEATRIZ ALEIDA</t>
  </si>
  <si>
    <t xml:space="preserve">ORTEGA MACIAS </t>
  </si>
  <si>
    <t>ELKIN FERNANDO</t>
  </si>
  <si>
    <t>BUILES ALVAREZ</t>
  </si>
  <si>
    <t>TERESITA DE JESUS</t>
  </si>
  <si>
    <t>CALLEJAS RAMIREZ</t>
  </si>
  <si>
    <t xml:space="preserve">YASMIN </t>
  </si>
  <si>
    <t>SALINAS ATEHORTUA</t>
  </si>
  <si>
    <t>JOHNNY ALBEIRO</t>
  </si>
  <si>
    <t xml:space="preserve">MOLINA BUILES </t>
  </si>
  <si>
    <t>GONZALEZ SALDARRIAGA</t>
  </si>
  <si>
    <t>GUSTAVO ADOLFO</t>
  </si>
  <si>
    <t xml:space="preserve">NARANJO MUÑOZ </t>
  </si>
  <si>
    <t>TAMAYO BOLIVAR</t>
  </si>
  <si>
    <t>GALEANO ARISTIZABAL</t>
  </si>
  <si>
    <t>JUAN GUILLERMO</t>
  </si>
  <si>
    <t>PEREA RODRIGUEZ</t>
  </si>
  <si>
    <t>GELMY DEL CARMEN</t>
  </si>
  <si>
    <t xml:space="preserve">PEREZ ZAPATA </t>
  </si>
  <si>
    <t xml:space="preserve">JUAN FERNANDO </t>
  </si>
  <si>
    <t>HERNANDEZ MATHIEU</t>
  </si>
  <si>
    <t>ORTIZ BERMUDEZ</t>
  </si>
  <si>
    <t xml:space="preserve">OROZCO HENAO </t>
  </si>
  <si>
    <t xml:space="preserve">PAJOY OROZCO </t>
  </si>
  <si>
    <t>SANDRA CRISTINA</t>
  </si>
  <si>
    <t>ESCUDERO SEPULVEDA</t>
  </si>
  <si>
    <t>SANDY JACKELINNE</t>
  </si>
  <si>
    <t xml:space="preserve">FRANCO BEDOYA </t>
  </si>
  <si>
    <t>LUZMILA ISABEL</t>
  </si>
  <si>
    <t>JARAMILLO QUINTERO</t>
  </si>
  <si>
    <t xml:space="preserve">ELIZABETH </t>
  </si>
  <si>
    <t>BOTERO ARISMENDY</t>
  </si>
  <si>
    <t>MARIA VICTORIA</t>
  </si>
  <si>
    <t xml:space="preserve">BOTERO VELEZ </t>
  </si>
  <si>
    <t xml:space="preserve">ANA TERESA </t>
  </si>
  <si>
    <t>BUILES CEBALLOS</t>
  </si>
  <si>
    <t xml:space="preserve">DORIS CECILIA </t>
  </si>
  <si>
    <t xml:space="preserve">SUAZA ALVAREZ </t>
  </si>
  <si>
    <t>SANDRA PATRICIA</t>
  </si>
  <si>
    <t xml:space="preserve">URIBE MORENO </t>
  </si>
  <si>
    <t>YAMILE DEL SOCORRO</t>
  </si>
  <si>
    <t>VARGAS MARQUEZ</t>
  </si>
  <si>
    <t>CARLOS ENRIQUE</t>
  </si>
  <si>
    <t xml:space="preserve">BUILES RIOS </t>
  </si>
  <si>
    <t xml:space="preserve">RODRIGO </t>
  </si>
  <si>
    <t xml:space="preserve">ORTEGA PEREZ </t>
  </si>
  <si>
    <t xml:space="preserve">SANCHEZ MAZO </t>
  </si>
  <si>
    <t xml:space="preserve">EDGAR ALBEIRO </t>
  </si>
  <si>
    <t>ARANGO CASTRILLON</t>
  </si>
  <si>
    <t xml:space="preserve">LIBIA ELENA </t>
  </si>
  <si>
    <t xml:space="preserve">PELAEZ VELEZ </t>
  </si>
  <si>
    <t>PATRICIA EUGENIA</t>
  </si>
  <si>
    <t xml:space="preserve">MEJIA ESCOBAR </t>
  </si>
  <si>
    <t>DORELLEY DEL SOCORRO</t>
  </si>
  <si>
    <t xml:space="preserve">CATAÑO BOTERO </t>
  </si>
  <si>
    <t xml:space="preserve">GALLO RIVERA </t>
  </si>
  <si>
    <t xml:space="preserve">LUZ ESTELLA </t>
  </si>
  <si>
    <t xml:space="preserve">RENDON DIAZ </t>
  </si>
  <si>
    <t>CLAUDIA PAULINA</t>
  </si>
  <si>
    <t>BEDOYA VILLEGAS</t>
  </si>
  <si>
    <t xml:space="preserve">ANDRES DARIO </t>
  </si>
  <si>
    <t xml:space="preserve">CANO FRANCO </t>
  </si>
  <si>
    <t>DIEGO MAURICIO</t>
  </si>
  <si>
    <t>OQUENDO URREGO</t>
  </si>
  <si>
    <t xml:space="preserve">REINALDO </t>
  </si>
  <si>
    <t xml:space="preserve">ALVAREZ PEREZ </t>
  </si>
  <si>
    <t>ELIZABETH DEL SOCORRO</t>
  </si>
  <si>
    <t>BERMUDEZ HEREDIA</t>
  </si>
  <si>
    <t>REYES CIFUENTES</t>
  </si>
  <si>
    <t>CLAUDIA LILIANA</t>
  </si>
  <si>
    <t>VALLEJO CARDONA</t>
  </si>
  <si>
    <t xml:space="preserve">JAIRO ALBERTO </t>
  </si>
  <si>
    <t>CARDONA MONTES</t>
  </si>
  <si>
    <t>LENIS SUCERQUIA</t>
  </si>
  <si>
    <t>CORREA HINCAPIE</t>
  </si>
  <si>
    <t xml:space="preserve">ROLDAN MEJIA </t>
  </si>
  <si>
    <t>MARIA ALEXANDRA</t>
  </si>
  <si>
    <t>RUIZ ARREDONDO</t>
  </si>
  <si>
    <t>DIEGO DE JESUS</t>
  </si>
  <si>
    <t>VELASQUEZ ESPINOSA</t>
  </si>
  <si>
    <t>GLORIA MARITZA</t>
  </si>
  <si>
    <t>PANIAGUA VILLA</t>
  </si>
  <si>
    <t xml:space="preserve">JOSE MAURICIO </t>
  </si>
  <si>
    <t>PIEDRAHITA JIMENEZ</t>
  </si>
  <si>
    <t xml:space="preserve">PAOLA ESTELLA </t>
  </si>
  <si>
    <t>BERMUDEZ BERTEL</t>
  </si>
  <si>
    <t xml:space="preserve">FREDY LEON </t>
  </si>
  <si>
    <t xml:space="preserve">ZAPATA SOSSA </t>
  </si>
  <si>
    <t xml:space="preserve">OSCAR ALBERTO </t>
  </si>
  <si>
    <t>JARAMILLO MESA</t>
  </si>
  <si>
    <t>GLORIA EUGENIA</t>
  </si>
  <si>
    <t>EN EL ACTA DE GRADO APARECE COMO TECNOLOGO EN…</t>
  </si>
  <si>
    <t>MONTOYA HERNANDEZ</t>
  </si>
  <si>
    <t xml:space="preserve">MONTOYA ROJAS </t>
  </si>
  <si>
    <t xml:space="preserve">PAULA ANDREA </t>
  </si>
  <si>
    <t>POSADA MONTOYA</t>
  </si>
  <si>
    <t xml:space="preserve">NORHA ISABEL </t>
  </si>
  <si>
    <t xml:space="preserve">VARGAS BOTERO </t>
  </si>
  <si>
    <t xml:space="preserve">DUQUE MARIN </t>
  </si>
  <si>
    <t>CIFUENTES MORENO</t>
  </si>
  <si>
    <t xml:space="preserve">ESTHER ZOHE </t>
  </si>
  <si>
    <t xml:space="preserve">GARCIA GARCIA </t>
  </si>
  <si>
    <t xml:space="preserve">RAFAEL JAIME </t>
  </si>
  <si>
    <t>FRANCO SALAZAR</t>
  </si>
  <si>
    <t xml:space="preserve">BIBIANA MARIA </t>
  </si>
  <si>
    <t xml:space="preserve">MEJIA CASTRO </t>
  </si>
  <si>
    <t xml:space="preserve">LUZ STELLA </t>
  </si>
  <si>
    <t>PATIÑO ECHEVERRY</t>
  </si>
  <si>
    <t xml:space="preserve">NELSY </t>
  </si>
  <si>
    <t>EL TITULO FIGURA EL SEGUNDO APELLIDO COMO ECHEVERRI</t>
  </si>
  <si>
    <t xml:space="preserve">OSORIO ORREGO </t>
  </si>
  <si>
    <t>JIMENEZ OROZCO</t>
  </si>
  <si>
    <t xml:space="preserve">GARCIA DUQUE </t>
  </si>
  <si>
    <t xml:space="preserve">NANCY YANUVI </t>
  </si>
  <si>
    <t>MONSALVE CARDEÑO</t>
  </si>
  <si>
    <t xml:space="preserve">DIANA MARIA </t>
  </si>
  <si>
    <t>KERTZNUS FARIN</t>
  </si>
  <si>
    <t xml:space="preserve">SAMMY ALBERTO </t>
  </si>
  <si>
    <t xml:space="preserve">ARANGO ZAPATA </t>
  </si>
  <si>
    <t>ELKIN DE JESUS</t>
  </si>
  <si>
    <t xml:space="preserve">RENDON MONTES </t>
  </si>
  <si>
    <t xml:space="preserve">LINA YASMIN </t>
  </si>
  <si>
    <t>BELTRAN GUTIERREZ</t>
  </si>
  <si>
    <t xml:space="preserve">MONICA MARIA </t>
  </si>
  <si>
    <t xml:space="preserve">OCHOA MAYA </t>
  </si>
  <si>
    <t xml:space="preserve">NORA CECILIA </t>
  </si>
  <si>
    <t>JARAMILLO VARGAS</t>
  </si>
  <si>
    <t>ZAPATA MACHADO</t>
  </si>
  <si>
    <t xml:space="preserve">MAURICIO </t>
  </si>
  <si>
    <t xml:space="preserve">PALMETT PLATA </t>
  </si>
  <si>
    <t>OLGALICIA DEL PILAR</t>
  </si>
  <si>
    <t>RODRIGUEZ MORENO</t>
  </si>
  <si>
    <t xml:space="preserve">MOLINA MESA </t>
  </si>
  <si>
    <t xml:space="preserve">STELLA MARIA </t>
  </si>
  <si>
    <t>GLORIA CECILIA DEL SOCORRO</t>
  </si>
  <si>
    <t>EN EL TITULO NO FIGURA EL TERCER NOMBRE</t>
  </si>
  <si>
    <t xml:space="preserve">ZAPATA LOPEZ </t>
  </si>
  <si>
    <t xml:space="preserve">URREGO OSPINA </t>
  </si>
  <si>
    <t>GRIMALDO RIVERA</t>
  </si>
  <si>
    <t xml:space="preserve">SUNNY </t>
  </si>
  <si>
    <t>EN EL ACTA DE GRADO APARECE COMO TECNOLOGO EN DELINEANTE DE ARQUITECTURA E INGENIERIA</t>
  </si>
  <si>
    <t>EN EL ACTA DE GRADO APARECE COMO TECNOLOGO EN DELINEANTES DE ARQUITECTURA E INGENIERIA</t>
  </si>
  <si>
    <t>EN EL ACTA APARECE TECNICO PROFESIONAL INTERMEDIO  EN DELINEANTE DE ARQUITECTURA E INGENIERIA</t>
  </si>
  <si>
    <t>EN EL ACTA APARECE DELINEANTES DE ARQUITECTUTRA E INGENIERIA</t>
  </si>
  <si>
    <t>EN EL ACTA APARECE TECNOLOGA EN DELINEANTE DE ARQUITECTURA E INGENIERIA</t>
  </si>
  <si>
    <t>ACOSTA ARBELAEZ</t>
  </si>
  <si>
    <t xml:space="preserve">JAIME ALBERTO </t>
  </si>
  <si>
    <t xml:space="preserve">VELEZ TABARES </t>
  </si>
  <si>
    <t>GARCIA GUTIERREZ</t>
  </si>
  <si>
    <t>TECNICO PROFESIONAL INTERMEDIO EN DELINEANTE DE ARQUITECTURA Y DECORACION</t>
  </si>
  <si>
    <t>TECNICO PROFESIONAL EN DELINEANTE DE ARQUITECTURA Y DECORACION</t>
  </si>
  <si>
    <t>EN EL ACTA DE GRADO APARECE COMO TECNICO PROFESIONAL EN DELINEANTE DE ARQUITECTURA E INGENIERIA</t>
  </si>
  <si>
    <t>EN EL ACTA APARECE COMO TECNICO PROFESIONAL DELINEANTE DE ARQUITECTURA Y DECORACION</t>
  </si>
  <si>
    <t>EN EL ACTA APARECE COMO TECNICO PROFESIONAL INTERMEDIO  DELINEANTE DE ARQUITECTURA</t>
  </si>
  <si>
    <t>CORPORACION DE EDUCACION SUPERIOR INST. DE ADMINISTRACION Y FINANZAS DE CARTAGENA -IAFIC</t>
  </si>
  <si>
    <t>EN EL ACTA DE GRADO APARECE COMO  DELINEANTE DE ARQUITECTURA E INGENIERIA</t>
  </si>
  <si>
    <t>INSTITUCION UNIVERSITARIA CENTRO DE ESTUDIOS SUPERIORES MARIA GORETTI - CESMAG</t>
  </si>
  <si>
    <t>EN EL ACTA APARECE TECNOLOGO EN DELINEANTES DE ARQUITECTURA E INGENIERIA</t>
  </si>
  <si>
    <t>EN EL ACTA APARECE TECNOLOGO EN DELINEANTES DE ARQUITECTURA</t>
  </si>
  <si>
    <t>EN EL ACTA APARECE TECNOLOGA EN DELINEANTES DE ARQUITECTURA E INGENIERIA</t>
  </si>
  <si>
    <t>EN EL ACTA APARECE INSTITUCION UNIVERSITARIA CENTRO DE ESTUDIOS SUP. MARIA GORETTI - CESMAG</t>
  </si>
  <si>
    <t>SIN DIPLOMA O ACTA Y EN LA COPIA DE LA RESOLUCION DICE QUE ES SIN TITULO</t>
  </si>
  <si>
    <t>SIN DIPLOMA O ACTA</t>
  </si>
  <si>
    <t>FUNDACIÓN CENTRO DE ESTUDIOS SUPERIORES MARIA GORETTI DE PASTO</t>
  </si>
  <si>
    <t>EN EL ACTA APARECE CENTRO DE ESTUDIOS SUPERIORES MARIA GORETTI CESMAG</t>
  </si>
  <si>
    <t xml:space="preserve">TECNICO PROFESIONAL INTERMEDIO DELINEANTE DE ARQUITECTURA </t>
  </si>
  <si>
    <t>TECNICO PROFESIONAL DELINEANTE DE ARQUITECTURA</t>
  </si>
  <si>
    <t>CENTRO DE ESTUDIOS SUPERIORES MARIA GORETTI DE PASTO</t>
  </si>
  <si>
    <t>EN EL ACTA APARECE COMO TECNICO EN DELINEANTE DE ARQUITECTURA</t>
  </si>
  <si>
    <t>EN EL ACTA APARECE COMO CENTRO DE ESTUDIOS SUPERIORES MARIA GORETTI CESMAG</t>
  </si>
  <si>
    <t>FUNDACION CENTRO DE ESTUDIOS SUPERIORES MARIA GORETTI DE PASTO</t>
  </si>
  <si>
    <t>PENDIENTE</t>
  </si>
  <si>
    <t>RENDON CARDONA</t>
  </si>
  <si>
    <t xml:space="preserve">JUAN DAVID </t>
  </si>
  <si>
    <t xml:space="preserve">PEREZ VARGAS </t>
  </si>
  <si>
    <t xml:space="preserve">CORTES RIOS </t>
  </si>
  <si>
    <t>CASTAÑO LONDOÑO</t>
  </si>
  <si>
    <t>LILIANA AMPARO</t>
  </si>
  <si>
    <t>CASTAÑO BETANCUR</t>
  </si>
  <si>
    <t xml:space="preserve">WALTER </t>
  </si>
  <si>
    <t>RESTREPO AGUIRRE</t>
  </si>
  <si>
    <t xml:space="preserve">CAROLINA </t>
  </si>
  <si>
    <t xml:space="preserve">OSPINA RIVERA </t>
  </si>
  <si>
    <t xml:space="preserve">JUAN MAURICIO </t>
  </si>
  <si>
    <t xml:space="preserve">ATL </t>
  </si>
  <si>
    <t>GUTIERREZ VARON</t>
  </si>
  <si>
    <t>MARLON ENRIQUE</t>
  </si>
  <si>
    <t xml:space="preserve">CAU </t>
  </si>
  <si>
    <t>ARBOLEDA CASTRILLON</t>
  </si>
  <si>
    <t>MONICA BEATRIZ</t>
  </si>
  <si>
    <t>ARBELAEZ GARCIA</t>
  </si>
  <si>
    <t xml:space="preserve">BONILLA MUÑOZ </t>
  </si>
  <si>
    <t>MIGUEL ANTONIO</t>
  </si>
  <si>
    <t>CASTRO GIRALDO</t>
  </si>
  <si>
    <t xml:space="preserve">LUCY MARIA </t>
  </si>
  <si>
    <t>FERNANDEZ CORREA</t>
  </si>
  <si>
    <t>FLORENCIA DEL ROSARIO</t>
  </si>
  <si>
    <t>FUENTES MENESES</t>
  </si>
  <si>
    <t xml:space="preserve">LINDA OMAIRA </t>
  </si>
  <si>
    <t xml:space="preserve">MOORE RIVERA </t>
  </si>
  <si>
    <t>DELIA ELIZABETH</t>
  </si>
  <si>
    <t xml:space="preserve">MUÑOZ MUÑOZ </t>
  </si>
  <si>
    <t>NAVIA ARBOLEDA</t>
  </si>
  <si>
    <t xml:space="preserve">MARIA HELENA </t>
  </si>
  <si>
    <t xml:space="preserve">OCHOA CADAVID </t>
  </si>
  <si>
    <t xml:space="preserve">AMALIA </t>
  </si>
  <si>
    <t>QUIJANO FERNANDEZ</t>
  </si>
  <si>
    <t xml:space="preserve">CARMEN ELISA </t>
  </si>
  <si>
    <t xml:space="preserve">RIVAS AGREDO </t>
  </si>
  <si>
    <t xml:space="preserve">ELSY RUBIELA </t>
  </si>
  <si>
    <t>SANCHEZ CHACON</t>
  </si>
  <si>
    <t xml:space="preserve">JOSE ANTONIO </t>
  </si>
  <si>
    <t>SANCHEZ ZUÑIGA</t>
  </si>
  <si>
    <t xml:space="preserve">MARIELA </t>
  </si>
  <si>
    <t>ZAMBRANO CAICEDO</t>
  </si>
  <si>
    <t>MARIA DEL PILAR</t>
  </si>
  <si>
    <t>GALVIS DE PERAFAN</t>
  </si>
  <si>
    <t xml:space="preserve">ANA LUISA </t>
  </si>
  <si>
    <t xml:space="preserve">PAREDES GOMEZ </t>
  </si>
  <si>
    <t xml:space="preserve">ANA LUCIA </t>
  </si>
  <si>
    <t xml:space="preserve">AGREDO LARA </t>
  </si>
  <si>
    <t>LUCY ESPERANZA</t>
  </si>
  <si>
    <t xml:space="preserve">ARANDA OROZCO </t>
  </si>
  <si>
    <t>SANDRA CONSUELO</t>
  </si>
  <si>
    <t xml:space="preserve">ACOSTA PORRAS </t>
  </si>
  <si>
    <t>ESNEL ALEXANDER</t>
  </si>
  <si>
    <t>ARBOLEDA GAETH</t>
  </si>
  <si>
    <t>MARIA ALEJANDRA</t>
  </si>
  <si>
    <t xml:space="preserve">AYERBE CAMAYO </t>
  </si>
  <si>
    <t xml:space="preserve">MARIA ELVIRA </t>
  </si>
  <si>
    <t>BUSTAMANTE PLAZA</t>
  </si>
  <si>
    <t xml:space="preserve">JAIME ENRIQUE </t>
  </si>
  <si>
    <t>BALCAZAR RENGIFO</t>
  </si>
  <si>
    <t>ASTRID CRISTINA</t>
  </si>
  <si>
    <t xml:space="preserve">CAICEDO MUÑOZ </t>
  </si>
  <si>
    <t xml:space="preserve">CABEZAS RUIZ </t>
  </si>
  <si>
    <t>JESUS FERNANDO</t>
  </si>
  <si>
    <t xml:space="preserve">CAMPO BURBANO </t>
  </si>
  <si>
    <t xml:space="preserve">CONCHA TORRES </t>
  </si>
  <si>
    <t>YENNY CONSUELO</t>
  </si>
  <si>
    <t>ECHEVERRI BUCHELI</t>
  </si>
  <si>
    <t xml:space="preserve">DIEGO ENRIQUE </t>
  </si>
  <si>
    <t xml:space="preserve">JULIAN ANDRES </t>
  </si>
  <si>
    <t>FERNANDEZ LOPEZ</t>
  </si>
  <si>
    <t xml:space="preserve">GALVIS MUÑOZ </t>
  </si>
  <si>
    <t xml:space="preserve">GELACIO </t>
  </si>
  <si>
    <t>GALLEGO FERNANDEZ</t>
  </si>
  <si>
    <t xml:space="preserve">JOSE HILARION </t>
  </si>
  <si>
    <t>GARCIA BOLAÑOS</t>
  </si>
  <si>
    <t>MARIA CONSUELO</t>
  </si>
  <si>
    <t>GUEVARA HERMIDA</t>
  </si>
  <si>
    <t xml:space="preserve">IMBACHI CERON </t>
  </si>
  <si>
    <t xml:space="preserve">ALMA ROCIO </t>
  </si>
  <si>
    <t xml:space="preserve">LOZANO MUÑOZ </t>
  </si>
  <si>
    <t>MEDINA VILLAQUIRAN</t>
  </si>
  <si>
    <t>FRANCY ESMERALDA</t>
  </si>
  <si>
    <t xml:space="preserve">MERA LOPEZ </t>
  </si>
  <si>
    <t xml:space="preserve">MOLANO PIAMBA </t>
  </si>
  <si>
    <t>YANNETH DEL CARMEN</t>
  </si>
  <si>
    <t xml:space="preserve">MORAN MORENO </t>
  </si>
  <si>
    <t>MUÑOZ QUIÑONEZ</t>
  </si>
  <si>
    <t xml:space="preserve">JULIA RUBIELA </t>
  </si>
  <si>
    <t xml:space="preserve">MUÑOZ GARCIA </t>
  </si>
  <si>
    <t xml:space="preserve">MARIA ISABEL </t>
  </si>
  <si>
    <t xml:space="preserve">MUÑOZ PINO </t>
  </si>
  <si>
    <t xml:space="preserve">JOSE TOMAS </t>
  </si>
  <si>
    <t>MUÑOZ TERREROS</t>
  </si>
  <si>
    <t xml:space="preserve">NELSON JAIME </t>
  </si>
  <si>
    <t>OROZCO ALVAREZ</t>
  </si>
  <si>
    <t xml:space="preserve">DORA STELLA </t>
  </si>
  <si>
    <t xml:space="preserve">PAZ RUEDA </t>
  </si>
  <si>
    <t xml:space="preserve">PEÑA PRADO </t>
  </si>
  <si>
    <t xml:space="preserve">ROSCY YANETH </t>
  </si>
  <si>
    <t xml:space="preserve">PEÑA GUZMAN </t>
  </si>
  <si>
    <t xml:space="preserve">ZITA AMPARO </t>
  </si>
  <si>
    <t xml:space="preserve">PERAFAN CAMPO </t>
  </si>
  <si>
    <t xml:space="preserve">LIBIA MARIA </t>
  </si>
  <si>
    <t xml:space="preserve">PRADO CORTES </t>
  </si>
  <si>
    <t>VICTOR GONZALO</t>
  </si>
  <si>
    <t>RAMIREZ GUZMAN</t>
  </si>
  <si>
    <t>RODRIGUEZ CHAVES</t>
  </si>
  <si>
    <t>RIOMALO RIVERA</t>
  </si>
  <si>
    <t>SALAZAR FERNANDEZ</t>
  </si>
  <si>
    <t xml:space="preserve">SEGURA ZUÑIGA </t>
  </si>
  <si>
    <t xml:space="preserve">PEDRO JULIAN </t>
  </si>
  <si>
    <t xml:space="preserve">SALAS LOPEZ </t>
  </si>
  <si>
    <t>VELASCO EUSCATEGUI</t>
  </si>
  <si>
    <t xml:space="preserve">ALEX SIDNEY </t>
  </si>
  <si>
    <t>ZAMBRANO GUERRON</t>
  </si>
  <si>
    <t xml:space="preserve">OSCAR GERMAN </t>
  </si>
  <si>
    <t xml:space="preserve">ZAPATA RINCON </t>
  </si>
  <si>
    <t>BLANCA CECILIA</t>
  </si>
  <si>
    <t xml:space="preserve">CERON DAVID </t>
  </si>
  <si>
    <t>TERESITA DEL CARMEN</t>
  </si>
  <si>
    <t>SATIZABAL DE VASQUEZ</t>
  </si>
  <si>
    <t>MARLENI CONSUELO</t>
  </si>
  <si>
    <t>RIVERA MARTINEZ</t>
  </si>
  <si>
    <t xml:space="preserve">ANA MILENA </t>
  </si>
  <si>
    <t>CERON PALACIOS</t>
  </si>
  <si>
    <t xml:space="preserve">SANDRA </t>
  </si>
  <si>
    <t>ZAMBRANO ENRIQUEZ</t>
  </si>
  <si>
    <t xml:space="preserve">EVER JOSE </t>
  </si>
  <si>
    <t xml:space="preserve">LOPEZ RAMIREZ </t>
  </si>
  <si>
    <t>GABRIEL CAYETANO</t>
  </si>
  <si>
    <t xml:space="preserve">OBANDO MUÑOZ </t>
  </si>
  <si>
    <t xml:space="preserve">OMAR GENTIL </t>
  </si>
  <si>
    <t>SARMIENTO CABRERA</t>
  </si>
  <si>
    <t xml:space="preserve">OLGA </t>
  </si>
  <si>
    <t xml:space="preserve">SANDOVAL MERA </t>
  </si>
  <si>
    <t xml:space="preserve">MARIA TERESA </t>
  </si>
  <si>
    <t xml:space="preserve">VEGA ROJAS </t>
  </si>
  <si>
    <t xml:space="preserve">MARIBEL </t>
  </si>
  <si>
    <t xml:space="preserve">ORTEGA ROJAS </t>
  </si>
  <si>
    <t>JAVIER ENRIQUE</t>
  </si>
  <si>
    <t xml:space="preserve">MENDEZ MUÑOZ </t>
  </si>
  <si>
    <t xml:space="preserve">MARISOL </t>
  </si>
  <si>
    <t xml:space="preserve">VIDAL LOPEZ </t>
  </si>
  <si>
    <t xml:space="preserve">FERNANDO </t>
  </si>
  <si>
    <t>AGUILAR BERMEO</t>
  </si>
  <si>
    <t xml:space="preserve">SARA RAQUEL </t>
  </si>
  <si>
    <t>VERGARA MARTINEZ</t>
  </si>
  <si>
    <t xml:space="preserve">LUIS GERARDO </t>
  </si>
  <si>
    <t>MUÑOZ SANDOVAL</t>
  </si>
  <si>
    <t>ASTUDILLO SANDOVAL</t>
  </si>
  <si>
    <t xml:space="preserve">ERIKA </t>
  </si>
  <si>
    <t xml:space="preserve">VIVAS LEON </t>
  </si>
  <si>
    <t>YUSMI ELIZABETH</t>
  </si>
  <si>
    <t>VALENCIA SALINAS</t>
  </si>
  <si>
    <t xml:space="preserve">MYRIAM LUCIA </t>
  </si>
  <si>
    <t>SALDARRIAGA SALAZAR</t>
  </si>
  <si>
    <t xml:space="preserve">ALVAREZ </t>
  </si>
  <si>
    <t>BOLAÑOS GUACHETA</t>
  </si>
  <si>
    <t>GLADYS GERARDINA</t>
  </si>
  <si>
    <t>NOGUERA CHAMORRO</t>
  </si>
  <si>
    <t xml:space="preserve">SARA JIMENA </t>
  </si>
  <si>
    <t xml:space="preserve">PEREZ TIPAN </t>
  </si>
  <si>
    <t xml:space="preserve">DORA LILIANA </t>
  </si>
  <si>
    <t>HURTADO DORADO</t>
  </si>
  <si>
    <t xml:space="preserve">ALEXANDRA </t>
  </si>
  <si>
    <t xml:space="preserve">RIVERA PARRA </t>
  </si>
  <si>
    <t xml:space="preserve">ARY ARMANDO </t>
  </si>
  <si>
    <t xml:space="preserve">GARCIA BERMEO </t>
  </si>
  <si>
    <t xml:space="preserve">LILIA ADRIANA </t>
  </si>
  <si>
    <t>MUÑOZ VALENCIA</t>
  </si>
  <si>
    <t xml:space="preserve">ZARAMA TOBAR </t>
  </si>
  <si>
    <t>CARMEN JACQUELINE</t>
  </si>
  <si>
    <t xml:space="preserve">PINZON LOPEZ </t>
  </si>
  <si>
    <t>CARLOS ALBERTO</t>
  </si>
  <si>
    <t xml:space="preserve">DURAN LOPEZ </t>
  </si>
  <si>
    <t xml:space="preserve">ANA MERCEDES </t>
  </si>
  <si>
    <t>RIVERA CANENCIO</t>
  </si>
  <si>
    <t xml:space="preserve">CARMEN ELENA </t>
  </si>
  <si>
    <t>FAJARDO COLLAZOS</t>
  </si>
  <si>
    <t xml:space="preserve">CESAR ERNESTO </t>
  </si>
  <si>
    <t xml:space="preserve">RIVERA GOMEZ </t>
  </si>
  <si>
    <t xml:space="preserve">ZULMA LILIANA </t>
  </si>
  <si>
    <t>CHAMORRO MANQUILLO</t>
  </si>
  <si>
    <t xml:space="preserve">ASTRID NAYIBE </t>
  </si>
  <si>
    <t xml:space="preserve">OLAVE ORDOÑEZ </t>
  </si>
  <si>
    <t>SONIA PATRICIA</t>
  </si>
  <si>
    <t xml:space="preserve">ROMERO ESPAÑA </t>
  </si>
  <si>
    <t xml:space="preserve">CARLOS ALONSO </t>
  </si>
  <si>
    <t>VILLANUEVA BEDOYA</t>
  </si>
  <si>
    <t xml:space="preserve">LIGIA JANNET </t>
  </si>
  <si>
    <t xml:space="preserve">MUÑOZ AÑASCO </t>
  </si>
  <si>
    <t xml:space="preserve">EIDA AMPARO </t>
  </si>
  <si>
    <t>LOZANO ANGARITA</t>
  </si>
  <si>
    <t xml:space="preserve">NHORA CECILIA </t>
  </si>
  <si>
    <t>CABRERA TEJADA</t>
  </si>
  <si>
    <t>FRANCIA MARIETA</t>
  </si>
  <si>
    <t xml:space="preserve">SALAZAR </t>
  </si>
  <si>
    <t xml:space="preserve">CARLOS FELIPE </t>
  </si>
  <si>
    <t xml:space="preserve">CERON DORADO </t>
  </si>
  <si>
    <t>FRANCISCO JAVIER</t>
  </si>
  <si>
    <t xml:space="preserve">POSADA LOPEZ </t>
  </si>
  <si>
    <t xml:space="preserve">MARCO AURELIO </t>
  </si>
  <si>
    <t>ARTUNDUAGA LOMBO</t>
  </si>
  <si>
    <t>SEPULVEDA PEÑA</t>
  </si>
  <si>
    <t xml:space="preserve">ROCIO </t>
  </si>
  <si>
    <t xml:space="preserve">PAZ ALARCON </t>
  </si>
  <si>
    <t xml:space="preserve">LUIS HENRY </t>
  </si>
  <si>
    <t xml:space="preserve">ORTIZ SALAZAR </t>
  </si>
  <si>
    <t xml:space="preserve">KELLYSABET </t>
  </si>
  <si>
    <t xml:space="preserve">CHAVES REALPE </t>
  </si>
  <si>
    <t xml:space="preserve">OSCAR ANDRES </t>
  </si>
  <si>
    <t>ROJAS RESTREPO</t>
  </si>
  <si>
    <t>MOSQUERA VIDAL</t>
  </si>
  <si>
    <t>IBARRA SANCHEZ</t>
  </si>
  <si>
    <t>SANDRO ALBERTO</t>
  </si>
  <si>
    <t xml:space="preserve">GODOY BONILLA </t>
  </si>
  <si>
    <t xml:space="preserve">ALBENIS </t>
  </si>
  <si>
    <t xml:space="preserve">MEDINA CAMPO </t>
  </si>
  <si>
    <t xml:space="preserve">SONIA EUGENIA </t>
  </si>
  <si>
    <t xml:space="preserve">REYES ORDOÑEZ </t>
  </si>
  <si>
    <t xml:space="preserve">WILLIAM JOSE </t>
  </si>
  <si>
    <t xml:space="preserve">VIDAL CORREA </t>
  </si>
  <si>
    <t xml:space="preserve">SANDRA JANETH </t>
  </si>
  <si>
    <t xml:space="preserve">HIDALGO URREA </t>
  </si>
  <si>
    <t>YULDANA XIMENA</t>
  </si>
  <si>
    <t xml:space="preserve">SOTELO RUIZ </t>
  </si>
  <si>
    <t xml:space="preserve">MARTA CECILIA </t>
  </si>
  <si>
    <t xml:space="preserve">GARCIA ARIAS </t>
  </si>
  <si>
    <t>FERNANDEZ BUCHELI</t>
  </si>
  <si>
    <t xml:space="preserve">NELLY CECILIA </t>
  </si>
  <si>
    <t>URBANO FERNANDEZ</t>
  </si>
  <si>
    <t xml:space="preserve">HELVER HURIEL </t>
  </si>
  <si>
    <t xml:space="preserve">ASTRID MARIA </t>
  </si>
  <si>
    <t>IDROBO AVIRAMA</t>
  </si>
  <si>
    <t xml:space="preserve">CARLOS JAVIER </t>
  </si>
  <si>
    <t>MOLINA QUENGUAN</t>
  </si>
  <si>
    <t xml:space="preserve">LEONARDO </t>
  </si>
  <si>
    <t>PEÑALOZA CAICEDO</t>
  </si>
  <si>
    <t xml:space="preserve">ANDREIA </t>
  </si>
  <si>
    <t xml:space="preserve">HOYOS MUÑOZ </t>
  </si>
  <si>
    <t>NIEVES TEONILA</t>
  </si>
  <si>
    <t>WALTEROS VERGARA</t>
  </si>
  <si>
    <t>CAROLINA ISAEL</t>
  </si>
  <si>
    <t xml:space="preserve">BRAVO MOLINA </t>
  </si>
  <si>
    <t xml:space="preserve">LILI JOHANNA </t>
  </si>
  <si>
    <t>GOMEZ CASTRILLON</t>
  </si>
  <si>
    <t xml:space="preserve">RUBEN DARIO </t>
  </si>
  <si>
    <t xml:space="preserve">MENA GARCES </t>
  </si>
  <si>
    <t>TERESA CATALINA</t>
  </si>
  <si>
    <t xml:space="preserve">CLD </t>
  </si>
  <si>
    <t>VILLEGAS PALACIO</t>
  </si>
  <si>
    <t xml:space="preserve">BOTERO TOBON </t>
  </si>
  <si>
    <t xml:space="preserve">CASTAÑO ARIAS </t>
  </si>
  <si>
    <t xml:space="preserve">JUAN ARMANDO </t>
  </si>
  <si>
    <t xml:space="preserve">CARDONA LOPEZ </t>
  </si>
  <si>
    <t xml:space="preserve">LILIANA MARIA </t>
  </si>
  <si>
    <t xml:space="preserve">MEJIA BOTERO </t>
  </si>
  <si>
    <t>ACOSTA CADAVID</t>
  </si>
  <si>
    <t>FERNANDEZ RICARDO</t>
  </si>
  <si>
    <t xml:space="preserve">ALBA LUCIA </t>
  </si>
  <si>
    <t xml:space="preserve">ALVAREZ MEJIA </t>
  </si>
  <si>
    <t xml:space="preserve">GLORIA LUCIA </t>
  </si>
  <si>
    <t>RESTREPO VILLADA</t>
  </si>
  <si>
    <t>DURAN VALENCIA</t>
  </si>
  <si>
    <t>GUIOMAR CARMENZA</t>
  </si>
  <si>
    <t>MARULANDA MARQUEZ</t>
  </si>
  <si>
    <t>MYRIAM LILIANA</t>
  </si>
  <si>
    <t xml:space="preserve">CND </t>
  </si>
  <si>
    <t xml:space="preserve">FIERRO LOPEZ </t>
  </si>
  <si>
    <t>PATRICIA LUCIA</t>
  </si>
  <si>
    <t>SANCHEZ CONTRERAS</t>
  </si>
  <si>
    <t xml:space="preserve">JORGE EDUARDO </t>
  </si>
  <si>
    <t xml:space="preserve">PATIÑO RUIZ </t>
  </si>
  <si>
    <t xml:space="preserve">LUZ ESTHER </t>
  </si>
  <si>
    <t xml:space="preserve">LOPEZ HIGUERA </t>
  </si>
  <si>
    <t xml:space="preserve">JOSE ALBERTO </t>
  </si>
  <si>
    <t>ANGULO MARTINEZ</t>
  </si>
  <si>
    <t>GONZALEZ SUAREZ</t>
  </si>
  <si>
    <t xml:space="preserve">MARLEN </t>
  </si>
  <si>
    <t xml:space="preserve">ABRIL IBICA </t>
  </si>
  <si>
    <t xml:space="preserve">JOHN EDILTO </t>
  </si>
  <si>
    <t xml:space="preserve">PEREZ CHARRY </t>
  </si>
  <si>
    <t xml:space="preserve">LUIS HUMBERTO </t>
  </si>
  <si>
    <t>CASTAÑEDA GOMEZ</t>
  </si>
  <si>
    <t>GUILLERMO ALEJANDRO</t>
  </si>
  <si>
    <t>QUIROGA CHISCO</t>
  </si>
  <si>
    <t xml:space="preserve">ALBA LILIANA </t>
  </si>
  <si>
    <t>ZAMORA CORONADO</t>
  </si>
  <si>
    <t>MANUEL ANTONIO</t>
  </si>
  <si>
    <t xml:space="preserve">VEGA MORALES </t>
  </si>
  <si>
    <t xml:space="preserve">PEREA USECHE </t>
  </si>
  <si>
    <t>SERGIO ORLANDO</t>
  </si>
  <si>
    <t xml:space="preserve">OLAYA RINCON </t>
  </si>
  <si>
    <t xml:space="preserve">CASTAÑO GOMEZ </t>
  </si>
  <si>
    <t>GERMAN ENRIQUE</t>
  </si>
  <si>
    <t xml:space="preserve">FORERO RICO </t>
  </si>
  <si>
    <t xml:space="preserve">LIDA STELLA </t>
  </si>
  <si>
    <t xml:space="preserve">JIMENEZ PARRA </t>
  </si>
  <si>
    <t xml:space="preserve">HENRY ALBERTO </t>
  </si>
  <si>
    <t xml:space="preserve">BARON GALLO </t>
  </si>
  <si>
    <t>BECERRA BAUTISTA</t>
  </si>
  <si>
    <t xml:space="preserve">JOSE ALVARO </t>
  </si>
  <si>
    <t xml:space="preserve">PEDRAZA ROSAS </t>
  </si>
  <si>
    <t xml:space="preserve">LIBARDO </t>
  </si>
  <si>
    <t>GALEANO CAMACHO</t>
  </si>
  <si>
    <t xml:space="preserve">HENRY ARTURO </t>
  </si>
  <si>
    <t>GONZALEZ GAMBOA</t>
  </si>
  <si>
    <t xml:space="preserve">ORLANDO RAMON </t>
  </si>
  <si>
    <t>GUERRERO BERNAL</t>
  </si>
  <si>
    <t xml:space="preserve">CARLOS ANGEL </t>
  </si>
  <si>
    <t xml:space="preserve">PACHECO RAMOS </t>
  </si>
  <si>
    <t xml:space="preserve">EDGAR ALBERTO </t>
  </si>
  <si>
    <t>OTALORA SANCHEZ</t>
  </si>
  <si>
    <t>CARLOS ANTONIO</t>
  </si>
  <si>
    <t xml:space="preserve">VARGAS ROJAS </t>
  </si>
  <si>
    <t xml:space="preserve">LUIS JAIME </t>
  </si>
  <si>
    <t>SUAREZ FIGUEROA</t>
  </si>
  <si>
    <t xml:space="preserve">PEDRO PABLO </t>
  </si>
  <si>
    <t>ZAMBRANO CAVIEDES</t>
  </si>
  <si>
    <t xml:space="preserve">MUÑOZ JIMENEZ </t>
  </si>
  <si>
    <t>FARFAN BARACALDO</t>
  </si>
  <si>
    <t xml:space="preserve">HARBEY </t>
  </si>
  <si>
    <t>CORREDOR BELLO</t>
  </si>
  <si>
    <t xml:space="preserve">PEDRO JUAN </t>
  </si>
  <si>
    <t xml:space="preserve">OSORIO TORRES </t>
  </si>
  <si>
    <t>GAMBASICA NUMPAQUE</t>
  </si>
  <si>
    <t xml:space="preserve">RAMON </t>
  </si>
  <si>
    <t>MONTEALEGRE VARGAS</t>
  </si>
  <si>
    <t xml:space="preserve">JESUS ERNESTO </t>
  </si>
  <si>
    <t xml:space="preserve">VARGAS GAITAN </t>
  </si>
  <si>
    <t>CASTELLAR CONSUEGRA</t>
  </si>
  <si>
    <t>CIFUENTES ANGARITA</t>
  </si>
  <si>
    <t>CHIPATECUA PULIDO</t>
  </si>
  <si>
    <t>MATEUS HERNANDEZ</t>
  </si>
  <si>
    <t xml:space="preserve">HUGO FERNANDO </t>
  </si>
  <si>
    <t xml:space="preserve">RUIZ BELTRAN </t>
  </si>
  <si>
    <t>VALBUENA PARRA</t>
  </si>
  <si>
    <t xml:space="preserve">INGRID MERY </t>
  </si>
  <si>
    <t>VARGAS QUINTERO</t>
  </si>
  <si>
    <t xml:space="preserve">NORMA </t>
  </si>
  <si>
    <t>BAUTISTA MOLINA</t>
  </si>
  <si>
    <t>CALDERON AYALA</t>
  </si>
  <si>
    <t xml:space="preserve">SAMUEL </t>
  </si>
  <si>
    <t xml:space="preserve">JIMENEZ </t>
  </si>
  <si>
    <t xml:space="preserve">ISAIAS </t>
  </si>
  <si>
    <t>CHACON HERNANDEZ</t>
  </si>
  <si>
    <t xml:space="preserve">OSCAR EDUARDO </t>
  </si>
  <si>
    <t xml:space="preserve">DIAZ FRANKY </t>
  </si>
  <si>
    <t xml:space="preserve">JESUS ALBERTO </t>
  </si>
  <si>
    <t>MONCADA ANDRADE</t>
  </si>
  <si>
    <t xml:space="preserve">LUIS ENRIQUE </t>
  </si>
  <si>
    <t>RESTREPO TRUJILLO</t>
  </si>
  <si>
    <t xml:space="preserve">JORGE ALBERTO </t>
  </si>
  <si>
    <t xml:space="preserve">CELY BRICEÑO </t>
  </si>
  <si>
    <t>GIOVANNY ALBERTO</t>
  </si>
  <si>
    <t>PEÑUELA RINCON</t>
  </si>
  <si>
    <t xml:space="preserve">JORGE </t>
  </si>
  <si>
    <t xml:space="preserve">YOPASA YOPASA </t>
  </si>
  <si>
    <t>NESTOR ANTONIO</t>
  </si>
  <si>
    <t>CARDENAS BETANCUR</t>
  </si>
  <si>
    <t xml:space="preserve">MARLENY </t>
  </si>
  <si>
    <t xml:space="preserve">BECERRA AVILA </t>
  </si>
  <si>
    <t xml:space="preserve">ADRIANA </t>
  </si>
  <si>
    <t>CASTAÑEDA OLARTE</t>
  </si>
  <si>
    <t xml:space="preserve">LUZ AURORA </t>
  </si>
  <si>
    <t xml:space="preserve">NIÑO ORDUZ </t>
  </si>
  <si>
    <t xml:space="preserve">HUMBERTO </t>
  </si>
  <si>
    <t>SANCHEZ FERRUCCIO</t>
  </si>
  <si>
    <t xml:space="preserve">BARRERA MORA </t>
  </si>
  <si>
    <t xml:space="preserve">OSCAR ORLANDO </t>
  </si>
  <si>
    <t>ARGUELLO ZAMBRANO</t>
  </si>
  <si>
    <t>EDWIN MAURICIO</t>
  </si>
  <si>
    <t>RODRIGUEZ GOMEZ</t>
  </si>
  <si>
    <t xml:space="preserve">CARMEN ALCIRA </t>
  </si>
  <si>
    <t xml:space="preserve">FERRO GAITAN </t>
  </si>
  <si>
    <t xml:space="preserve">OMAR JAVIER </t>
  </si>
  <si>
    <t xml:space="preserve">PEREZ PINO </t>
  </si>
  <si>
    <t xml:space="preserve">JOSE SAUL </t>
  </si>
  <si>
    <t>LIZARAZO BELTRAN</t>
  </si>
  <si>
    <t xml:space="preserve">OMAR HERNANDO </t>
  </si>
  <si>
    <t>CARDENAS SANCHEZ</t>
  </si>
  <si>
    <t xml:space="preserve">GERMAN </t>
  </si>
  <si>
    <t xml:space="preserve">RENGIFO GOMEZ </t>
  </si>
  <si>
    <t xml:space="preserve">JOAQUIN </t>
  </si>
  <si>
    <t xml:space="preserve">ARGOTE PITA </t>
  </si>
  <si>
    <t>SANDRA VIRGINIA</t>
  </si>
  <si>
    <t xml:space="preserve">JARA TORRES </t>
  </si>
  <si>
    <t xml:space="preserve">NELSON JOSUE </t>
  </si>
  <si>
    <t>NARANJO MORENO</t>
  </si>
  <si>
    <t xml:space="preserve">JUAN MARIANO </t>
  </si>
  <si>
    <t>MALAGON SALAMANCA</t>
  </si>
  <si>
    <t xml:space="preserve">JAIRO </t>
  </si>
  <si>
    <t xml:space="preserve">PEREZ MOSCOSO </t>
  </si>
  <si>
    <t xml:space="preserve">RUTH </t>
  </si>
  <si>
    <t>ROJAS SARMIENTO</t>
  </si>
  <si>
    <t xml:space="preserve">ALONSO </t>
  </si>
  <si>
    <t>SUAREZ CUELLAR</t>
  </si>
  <si>
    <t xml:space="preserve">BALDOMERO </t>
  </si>
  <si>
    <t>RODRIGUEZ HERRERA</t>
  </si>
  <si>
    <t xml:space="preserve">GILBERTO </t>
  </si>
  <si>
    <t>CARREÑO CASTELLANOS</t>
  </si>
  <si>
    <t xml:space="preserve">JOSE OMAR </t>
  </si>
  <si>
    <t>MARTINEZ DE DUVAL</t>
  </si>
  <si>
    <t xml:space="preserve">LUZ MARY </t>
  </si>
  <si>
    <t xml:space="preserve">ORTIZ REYES </t>
  </si>
  <si>
    <t>CASTRO DE BERNAL</t>
  </si>
  <si>
    <t xml:space="preserve">LUCIA </t>
  </si>
  <si>
    <t>CALDERON BUENO</t>
  </si>
  <si>
    <t xml:space="preserve">MARTHA MARIA </t>
  </si>
  <si>
    <t>MELO RODRIGUEZ</t>
  </si>
  <si>
    <t xml:space="preserve">JORGE ENRIQUE </t>
  </si>
  <si>
    <t xml:space="preserve">MUNERA PATIÑO </t>
  </si>
  <si>
    <t xml:space="preserve">LUZ ALCIRA </t>
  </si>
  <si>
    <t>CANTOR LEGUIZAMO</t>
  </si>
  <si>
    <t xml:space="preserve">ELSA JUDITH </t>
  </si>
  <si>
    <t>RINCON RODRIGUEZ</t>
  </si>
  <si>
    <t xml:space="preserve">MYRIAM </t>
  </si>
  <si>
    <t>GAMA RODRIGUEZ</t>
  </si>
  <si>
    <t xml:space="preserve">EDGNA ROCIO </t>
  </si>
  <si>
    <t xml:space="preserve">TORO MARQUEZ </t>
  </si>
  <si>
    <t xml:space="preserve">YOLANDA ROCIO </t>
  </si>
  <si>
    <t xml:space="preserve">MORA SANCHEZ </t>
  </si>
  <si>
    <t>ALICIA MARGARITA</t>
  </si>
  <si>
    <t xml:space="preserve">CELY PLAZAS </t>
  </si>
  <si>
    <t>GLORIA ESPERANZA</t>
  </si>
  <si>
    <t>HINCAPIE GONZALEZ</t>
  </si>
  <si>
    <t>MARTHA JEANNETTE</t>
  </si>
  <si>
    <t>CHINCHILLA MORENO</t>
  </si>
  <si>
    <t xml:space="preserve">FLOR ANGELA </t>
  </si>
  <si>
    <t xml:space="preserve">RIVEROS REINA </t>
  </si>
  <si>
    <t>NANCY PATRICIA</t>
  </si>
  <si>
    <t xml:space="preserve">ZUÑIGA TORRES </t>
  </si>
  <si>
    <t xml:space="preserve">NOHORA ROCIO </t>
  </si>
  <si>
    <t>PIRAMANRIQUE QUIROGA</t>
  </si>
  <si>
    <t xml:space="preserve">CUBIDES LUGO </t>
  </si>
  <si>
    <t xml:space="preserve">CONSTANZA </t>
  </si>
  <si>
    <t>BERNAL QUINTERO</t>
  </si>
  <si>
    <t>ARANGO CESPEDES</t>
  </si>
  <si>
    <t>MARIA DEL CARMEN</t>
  </si>
  <si>
    <t>BURITICA HERNANDEZ</t>
  </si>
  <si>
    <t>SANCHEZ CAICEDO</t>
  </si>
  <si>
    <t>VELASQUEZ RAMIREZ</t>
  </si>
  <si>
    <t xml:space="preserve">WILCHES CARO </t>
  </si>
  <si>
    <t xml:space="preserve">MYRIAM TERESA </t>
  </si>
  <si>
    <t xml:space="preserve">NOVA MONTAÑO </t>
  </si>
  <si>
    <t xml:space="preserve">YAMILE </t>
  </si>
  <si>
    <t>SEGURA CUARTAS</t>
  </si>
  <si>
    <t>MARCELA ASTRID</t>
  </si>
  <si>
    <t>ORDOÑEZ HERNANDEZ</t>
  </si>
  <si>
    <t>PAEZ VILLAMIZAR</t>
  </si>
  <si>
    <t xml:space="preserve">FLOREZ RIOS </t>
  </si>
  <si>
    <t xml:space="preserve">LOZA PINTO </t>
  </si>
  <si>
    <t>MARTHA LILIANA</t>
  </si>
  <si>
    <t xml:space="preserve">BARBOSA ROJAS </t>
  </si>
  <si>
    <t xml:space="preserve">ANA JULIETA </t>
  </si>
  <si>
    <t>GONZALEZ GARAVITO</t>
  </si>
  <si>
    <t>XIOMARA ESTHER</t>
  </si>
  <si>
    <t>VALENCIA SARMIENTO</t>
  </si>
  <si>
    <t xml:space="preserve">JANETH </t>
  </si>
  <si>
    <t xml:space="preserve">BERNAL DIAZ </t>
  </si>
  <si>
    <t>PALACIOS HILARION</t>
  </si>
  <si>
    <t xml:space="preserve">RINCON MURCIA </t>
  </si>
  <si>
    <t>ADRIANA DEL PILAR</t>
  </si>
  <si>
    <t>PINEDA CAMARGO</t>
  </si>
  <si>
    <t>VENEGAS JIMENEZ</t>
  </si>
  <si>
    <t>NOHORA JEANNETTE</t>
  </si>
  <si>
    <t>MORALES DOMINGUEZ</t>
  </si>
  <si>
    <t xml:space="preserve">ARIZA MACIAS </t>
  </si>
  <si>
    <t>SANDRA ESPERANZA</t>
  </si>
  <si>
    <t>CARRANZA HERNANDEZ</t>
  </si>
  <si>
    <t xml:space="preserve">PINILLA CULMA </t>
  </si>
  <si>
    <t xml:space="preserve">YASMID </t>
  </si>
  <si>
    <t xml:space="preserve">LARROTTA SOTO </t>
  </si>
  <si>
    <t xml:space="preserve">ALBA LUZ </t>
  </si>
  <si>
    <t xml:space="preserve">UPEGUI TEJADA </t>
  </si>
  <si>
    <t xml:space="preserve">GUILLERMO </t>
  </si>
  <si>
    <t>ARANGO MARULANDA</t>
  </si>
  <si>
    <t xml:space="preserve">OLGA PATRICIA </t>
  </si>
  <si>
    <t>SABOGAL MORENO</t>
  </si>
  <si>
    <t xml:space="preserve">ANGELA JIMENA </t>
  </si>
  <si>
    <t>QUINTERO GARCIA</t>
  </si>
  <si>
    <t xml:space="preserve">LILIA TERESA </t>
  </si>
  <si>
    <t xml:space="preserve">PULIDO GOMEZ </t>
  </si>
  <si>
    <t>PLAZAS BALLESTEROS</t>
  </si>
  <si>
    <t xml:space="preserve">AURELIO </t>
  </si>
  <si>
    <t>FRANCISCO ALEXANDER</t>
  </si>
  <si>
    <t>BAQUERO GUTIERREZ</t>
  </si>
  <si>
    <t xml:space="preserve">MANUEL </t>
  </si>
  <si>
    <t>PRIETO MENDIETA</t>
  </si>
  <si>
    <t xml:space="preserve">JOSE ERNESTO </t>
  </si>
  <si>
    <t>GARNICA JIMENEZ</t>
  </si>
  <si>
    <t xml:space="preserve">NELSON </t>
  </si>
  <si>
    <t>APONTE BALLESTEROS</t>
  </si>
  <si>
    <t>ANDRES AVELINO</t>
  </si>
  <si>
    <t>SOLER GRIJALBA</t>
  </si>
  <si>
    <t xml:space="preserve">JOSE RAFAEL </t>
  </si>
  <si>
    <t>ROJAS MARTINEZ</t>
  </si>
  <si>
    <t>SANDRA CAROLINA</t>
  </si>
  <si>
    <t>TORRES RODRIGUEZ</t>
  </si>
  <si>
    <t xml:space="preserve">ESPERANZA </t>
  </si>
  <si>
    <t xml:space="preserve">ORTIZ GARNICA </t>
  </si>
  <si>
    <t>SONIA ESPERANZA</t>
  </si>
  <si>
    <t xml:space="preserve">DIAZ BUITRAGO </t>
  </si>
  <si>
    <t xml:space="preserve">YADY LILIANA </t>
  </si>
  <si>
    <t>FIGUEREDO FIGUEREDO</t>
  </si>
  <si>
    <t xml:space="preserve">NELIDA </t>
  </si>
  <si>
    <t>GONZALEZ CARDENAS</t>
  </si>
  <si>
    <t>DIANA CONSTANZA</t>
  </si>
  <si>
    <t xml:space="preserve">LEAL OTALORA </t>
  </si>
  <si>
    <t xml:space="preserve">DUILIA </t>
  </si>
  <si>
    <t>FERNANDEZ SANCHEZ</t>
  </si>
  <si>
    <t xml:space="preserve">MIRELLA </t>
  </si>
  <si>
    <t>RAMIREZ HERRERA</t>
  </si>
  <si>
    <t xml:space="preserve">ZANDHRA LUCIA </t>
  </si>
  <si>
    <t xml:space="preserve">RUIZ LARA </t>
  </si>
  <si>
    <t>MANRIQUE DELGADO</t>
  </si>
  <si>
    <t xml:space="preserve">SOSA GIL </t>
  </si>
  <si>
    <t xml:space="preserve">OLGA CRISTINA </t>
  </si>
  <si>
    <t xml:space="preserve">FORERO VARGAS </t>
  </si>
  <si>
    <t xml:space="preserve">AMANDA </t>
  </si>
  <si>
    <t>MARTINEZ RINCON</t>
  </si>
  <si>
    <t>MARTHA JANNETH</t>
  </si>
  <si>
    <t>SARMIENTO BEJARANO</t>
  </si>
  <si>
    <t xml:space="preserve">MYRIAM ASTRID </t>
  </si>
  <si>
    <t xml:space="preserve">BERNAL RUSSI </t>
  </si>
  <si>
    <t xml:space="preserve">NANCY </t>
  </si>
  <si>
    <t xml:space="preserve">CRUZ FONSECA </t>
  </si>
  <si>
    <t xml:space="preserve">NASLY JOHANNA </t>
  </si>
  <si>
    <t>BEJARANO URREGO</t>
  </si>
  <si>
    <t>MADIEDO BECERRA</t>
  </si>
  <si>
    <t>VILMA CRISTINA</t>
  </si>
  <si>
    <t>RODRIGUEZ HERNANDEZ</t>
  </si>
  <si>
    <t xml:space="preserve">DEISY YANIRA </t>
  </si>
  <si>
    <t>RAMIREZ MORENO</t>
  </si>
  <si>
    <t xml:space="preserve">LUZ MARYBELL </t>
  </si>
  <si>
    <t xml:space="preserve">NOVOA PINZON </t>
  </si>
  <si>
    <t xml:space="preserve">SONIA </t>
  </si>
  <si>
    <t xml:space="preserve">SOLANO ROA </t>
  </si>
  <si>
    <t xml:space="preserve">SOLER RUIZ </t>
  </si>
  <si>
    <t xml:space="preserve">YENNY MARCELA </t>
  </si>
  <si>
    <t>MORALES SANCHEZ</t>
  </si>
  <si>
    <t>MONICA CONSTANZA</t>
  </si>
  <si>
    <t>SANCHEZ VARGAS</t>
  </si>
  <si>
    <t xml:space="preserve">DORYS HELENA </t>
  </si>
  <si>
    <t>MALDONADO SABOGAL</t>
  </si>
  <si>
    <t>CAROL ALEXANDRA</t>
  </si>
  <si>
    <t xml:space="preserve">GARAY CORDOBA </t>
  </si>
  <si>
    <t xml:space="preserve">DIEGO FABIAN </t>
  </si>
  <si>
    <t>ANGARITA ARDILA</t>
  </si>
  <si>
    <t xml:space="preserve">SAYDA YAMILE </t>
  </si>
  <si>
    <t xml:space="preserve">PINEDA GUZMAN </t>
  </si>
  <si>
    <t xml:space="preserve">AMAYA DAZA </t>
  </si>
  <si>
    <t xml:space="preserve">DIANA GIZETH </t>
  </si>
  <si>
    <t>GONZALEZ GORDILLO</t>
  </si>
  <si>
    <t>BRAYAN ESTEBAN</t>
  </si>
  <si>
    <t xml:space="preserve">AYALA ALFONSO </t>
  </si>
  <si>
    <t>AGREDO CARRILLO</t>
  </si>
  <si>
    <t xml:space="preserve">YENNI MARITZA </t>
  </si>
  <si>
    <t xml:space="preserve">SGC2009TG00176 </t>
  </si>
  <si>
    <t xml:space="preserve">GOMEZ RAMIREZ </t>
  </si>
  <si>
    <t>DIANA CAROLINA</t>
  </si>
  <si>
    <t xml:space="preserve">AVILA CORONEL </t>
  </si>
  <si>
    <t>WILMAR ALFREDO</t>
  </si>
  <si>
    <t>CORTES ALVAREZ</t>
  </si>
  <si>
    <t>EDISON OSWALDO</t>
  </si>
  <si>
    <t xml:space="preserve">PARDO FAJARDO </t>
  </si>
  <si>
    <t xml:space="preserve">JEISON FERNEY </t>
  </si>
  <si>
    <t>CHAPARRO GALINDO</t>
  </si>
  <si>
    <t>CRISTIAN EDUARDO</t>
  </si>
  <si>
    <t xml:space="preserve">BARON GOMEZ </t>
  </si>
  <si>
    <t xml:space="preserve">FRANK YESID </t>
  </si>
  <si>
    <t xml:space="preserve">sgc2009tg00170 </t>
  </si>
  <si>
    <t xml:space="preserve">MEJIA SANCHEZ </t>
  </si>
  <si>
    <t>CARMEN DOLORES</t>
  </si>
  <si>
    <t>BELTRAN LINARES</t>
  </si>
  <si>
    <t xml:space="preserve">PEDRO JULIO </t>
  </si>
  <si>
    <t xml:space="preserve">LUZ DARY </t>
  </si>
  <si>
    <t xml:space="preserve">CELIS RINCON </t>
  </si>
  <si>
    <t xml:space="preserve">YAN RICARDO </t>
  </si>
  <si>
    <t>CINTRON MARTINEZ</t>
  </si>
  <si>
    <t xml:space="preserve">LUZ ELENIA </t>
  </si>
  <si>
    <t xml:space="preserve">SABIO MOYANO </t>
  </si>
  <si>
    <t xml:space="preserve">JUAN JOSE </t>
  </si>
  <si>
    <t>CASTELLANOS GARZON</t>
  </si>
  <si>
    <t xml:space="preserve">GIOVANNI </t>
  </si>
  <si>
    <t xml:space="preserve">RUIZ LAGUNA </t>
  </si>
  <si>
    <t xml:space="preserve">JAIRO ENRIQUE </t>
  </si>
  <si>
    <t>ORJUELA GONGORA</t>
  </si>
  <si>
    <t>JUAN FRANCISCO</t>
  </si>
  <si>
    <t>TACHACK NAVARRETE</t>
  </si>
  <si>
    <t xml:space="preserve">OSCAR EFREN </t>
  </si>
  <si>
    <t>BELLIDO JINETE</t>
  </si>
  <si>
    <t xml:space="preserve">NANCY STELLA </t>
  </si>
  <si>
    <t xml:space="preserve">DORADO COHEN </t>
  </si>
  <si>
    <t>MERCEDES TANYA GARIBALDY</t>
  </si>
  <si>
    <t xml:space="preserve">FRANCO CABRA </t>
  </si>
  <si>
    <t xml:space="preserve">PARRA BARRERA </t>
  </si>
  <si>
    <t>EDUARD ALBERTO</t>
  </si>
  <si>
    <t>CARDENAS HOLGUIN</t>
  </si>
  <si>
    <t>VICENTE MAURICIO</t>
  </si>
  <si>
    <t xml:space="preserve">RIVAS MURILLO </t>
  </si>
  <si>
    <t xml:space="preserve">JESUS EMILIO </t>
  </si>
  <si>
    <t>SANCHEZ MONTILLA</t>
  </si>
  <si>
    <t xml:space="preserve">CESAR AUGUSTO </t>
  </si>
  <si>
    <t>PIEDRAHITA ERAZO</t>
  </si>
  <si>
    <t xml:space="preserve">LUIS HERNAN </t>
  </si>
  <si>
    <t>GUTIERREZ CAÑON</t>
  </si>
  <si>
    <t xml:space="preserve">WILSON EFRAIN </t>
  </si>
  <si>
    <t xml:space="preserve">RAMIREZ GAYON </t>
  </si>
  <si>
    <t xml:space="preserve">VIASUS LOPEZ </t>
  </si>
  <si>
    <t xml:space="preserve">OMAR </t>
  </si>
  <si>
    <t>VASQUEZ GARCIA</t>
  </si>
  <si>
    <t xml:space="preserve">JUAN RICARDO </t>
  </si>
  <si>
    <t xml:space="preserve">FLOREZ PINEDA </t>
  </si>
  <si>
    <t>MARIA CLEMENCIA</t>
  </si>
  <si>
    <t>AGUIRRE CORRAL</t>
  </si>
  <si>
    <t>MONICA DEL PILAR</t>
  </si>
  <si>
    <t>FONSECA BUSTACARA</t>
  </si>
  <si>
    <t xml:space="preserve">NANCY LUCERO </t>
  </si>
  <si>
    <t xml:space="preserve">CASTILLO </t>
  </si>
  <si>
    <t>MALDONADO ZARATE</t>
  </si>
  <si>
    <t xml:space="preserve">LIGIA MARLENY </t>
  </si>
  <si>
    <t xml:space="preserve">MOTTA PERDOMO </t>
  </si>
  <si>
    <t xml:space="preserve">ALIRIO </t>
  </si>
  <si>
    <t>ORTIZ CALDERON</t>
  </si>
  <si>
    <t xml:space="preserve">ANGEL ALBERTO </t>
  </si>
  <si>
    <t xml:space="preserve">RIVERA SANTOS </t>
  </si>
  <si>
    <t xml:space="preserve">CUERVO AVILA </t>
  </si>
  <si>
    <t xml:space="preserve">HENRY OSVALDO </t>
  </si>
  <si>
    <t>CARDENAS SILVA</t>
  </si>
  <si>
    <t xml:space="preserve">BERNAL NEIRA </t>
  </si>
  <si>
    <t xml:space="preserve">PABLO ENRIQUE </t>
  </si>
  <si>
    <t>AREVALO GUERRERO</t>
  </si>
  <si>
    <t xml:space="preserve">MARIO ENRIQUE </t>
  </si>
  <si>
    <t>CASTILLO RODRIGUEZ</t>
  </si>
  <si>
    <t>WILSON GUILLERMO</t>
  </si>
  <si>
    <t xml:space="preserve">ROZO SANCHEZ </t>
  </si>
  <si>
    <t>MANCERA MANCERA</t>
  </si>
  <si>
    <t xml:space="preserve">NELLY ROCIO </t>
  </si>
  <si>
    <t>DELGADILLO URRUTIA</t>
  </si>
  <si>
    <t xml:space="preserve">MORENO SAA </t>
  </si>
  <si>
    <t xml:space="preserve">TATIANA </t>
  </si>
  <si>
    <t>GUERRERO FORERO</t>
  </si>
  <si>
    <t xml:space="preserve">LUIS ORLANDO </t>
  </si>
  <si>
    <t xml:space="preserve">REYES CRUZ </t>
  </si>
  <si>
    <t>ADRIANA ERLINDA</t>
  </si>
  <si>
    <t>BAQUERO ROMERO</t>
  </si>
  <si>
    <t>FRANKLIN ALIRIO</t>
  </si>
  <si>
    <t>GUERRERO SATUARIO</t>
  </si>
  <si>
    <t xml:space="preserve">MILLER JAVIER </t>
  </si>
  <si>
    <t>PEÑA RODRIGUEZ</t>
  </si>
  <si>
    <t>CLAUDIA MARCELA</t>
  </si>
  <si>
    <t>GALINDO MONTAÑA</t>
  </si>
  <si>
    <t>RUSSI CABALLERO</t>
  </si>
  <si>
    <t>NELSON OSWALDO</t>
  </si>
  <si>
    <t xml:space="preserve">PARRA CASTRO </t>
  </si>
  <si>
    <t xml:space="preserve">MOLINA DURAN </t>
  </si>
  <si>
    <t xml:space="preserve">EDITH JEANET </t>
  </si>
  <si>
    <t>SAAVEDRA VARGAS</t>
  </si>
  <si>
    <t xml:space="preserve">MILAGRO </t>
  </si>
  <si>
    <t xml:space="preserve">LOPEZ GIL </t>
  </si>
  <si>
    <t xml:space="preserve">BIBIANA </t>
  </si>
  <si>
    <t xml:space="preserve">MOLINA GOMEZ </t>
  </si>
  <si>
    <t>NANCY GABRIELA</t>
  </si>
  <si>
    <t>VELASQUEZ CORREDOR</t>
  </si>
  <si>
    <t>DIEGO ALEXANDER</t>
  </si>
  <si>
    <t>VILLAMIZAR DIAZ</t>
  </si>
  <si>
    <t xml:space="preserve">NELLY </t>
  </si>
  <si>
    <t xml:space="preserve">MORA RINCON </t>
  </si>
  <si>
    <t xml:space="preserve">JUAN CAMILO </t>
  </si>
  <si>
    <t xml:space="preserve">BEJARANO CHIA </t>
  </si>
  <si>
    <t>MARCELA DEL CARMEN</t>
  </si>
  <si>
    <t xml:space="preserve">RIVERA ROJAS </t>
  </si>
  <si>
    <t xml:space="preserve">EDWARD JULIAN </t>
  </si>
  <si>
    <t xml:space="preserve">CELEITA MESA </t>
  </si>
  <si>
    <t>HENRRY ALEXANDER</t>
  </si>
  <si>
    <t>GARCIA VALDERRAMA</t>
  </si>
  <si>
    <t xml:space="preserve">ROSA MERY </t>
  </si>
  <si>
    <t xml:space="preserve">CELIS RUIZ </t>
  </si>
  <si>
    <t>RODRIGUEZ RODRIGUEZ</t>
  </si>
  <si>
    <t>NORMAN GEOVANY</t>
  </si>
  <si>
    <t>INFANTE CUBILLOS</t>
  </si>
  <si>
    <t xml:space="preserve">DIEGO ANDRES </t>
  </si>
  <si>
    <t xml:space="preserve">GOMEZ SILVA </t>
  </si>
  <si>
    <t>GUILLERMO ANDRES</t>
  </si>
  <si>
    <t xml:space="preserve">GALINDO RUIZ </t>
  </si>
  <si>
    <t>JEISON SNEIDER</t>
  </si>
  <si>
    <t>BAUTISTA FRANCO</t>
  </si>
  <si>
    <t xml:space="preserve">ROSSE MARY </t>
  </si>
  <si>
    <t xml:space="preserve">VEGA ROMERO </t>
  </si>
  <si>
    <t xml:space="preserve">MARTHA ISABEL </t>
  </si>
  <si>
    <t>AMAYA ALBORNOZ</t>
  </si>
  <si>
    <t xml:space="preserve">WILLIAN </t>
  </si>
  <si>
    <t>VELASCO MARTINEZ</t>
  </si>
  <si>
    <t xml:space="preserve">ERICA ADRIANA </t>
  </si>
  <si>
    <t>CASTILLO JIMENEZ</t>
  </si>
  <si>
    <t xml:space="preserve">BERNAL MUÑOZ </t>
  </si>
  <si>
    <t>RAFAEL ALFONSO</t>
  </si>
  <si>
    <t>VELANDIA TORRES</t>
  </si>
  <si>
    <t>YANETH MERCEDES</t>
  </si>
  <si>
    <t>JIMENEZ MOSCOSO</t>
  </si>
  <si>
    <t xml:space="preserve">NIDYA </t>
  </si>
  <si>
    <t xml:space="preserve">PRIETO ORTIZ </t>
  </si>
  <si>
    <t xml:space="preserve">EDGAR ARTURO </t>
  </si>
  <si>
    <t xml:space="preserve">ARIAS MOTTA </t>
  </si>
  <si>
    <t>PINTOR AVELINO</t>
  </si>
  <si>
    <t xml:space="preserve">CESAR ROMAN </t>
  </si>
  <si>
    <t xml:space="preserve">OLARTE GACHA </t>
  </si>
  <si>
    <t>TORRES MORALES</t>
  </si>
  <si>
    <t>WILLIAM MAURICIO</t>
  </si>
  <si>
    <t>CASTAÑEDA POVEDA</t>
  </si>
  <si>
    <t>RAFAEL ANTONIO</t>
  </si>
  <si>
    <t>MONROY RODRIGUEZ</t>
  </si>
  <si>
    <t xml:space="preserve">ROMERO ROMERO </t>
  </si>
  <si>
    <t xml:space="preserve">DIAZ SARRIAS </t>
  </si>
  <si>
    <t>DORIAN ENRIQUE</t>
  </si>
  <si>
    <t xml:space="preserve">RANGEL CADENA </t>
  </si>
  <si>
    <t>DE LA PEÑA MORALES</t>
  </si>
  <si>
    <t xml:space="preserve">EDGAR SAUL </t>
  </si>
  <si>
    <t>HERNANDEZ MALDONADO</t>
  </si>
  <si>
    <t>ROBERT ALEJANDRO</t>
  </si>
  <si>
    <t xml:space="preserve">CASTRO MENDEZ </t>
  </si>
  <si>
    <t xml:space="preserve">JUAN MANUEL </t>
  </si>
  <si>
    <t xml:space="preserve">BARRIGA VEGA </t>
  </si>
  <si>
    <t xml:space="preserve">ASTRID </t>
  </si>
  <si>
    <t xml:space="preserve">PINZON LEON </t>
  </si>
  <si>
    <t xml:space="preserve">EDWIN HONORIO </t>
  </si>
  <si>
    <t>SARMIENTO PANIAGUA</t>
  </si>
  <si>
    <t xml:space="preserve">MARTHA </t>
  </si>
  <si>
    <t>MONTILLA LOPEZ</t>
  </si>
  <si>
    <t xml:space="preserve">SAAVEDRA RUIZ </t>
  </si>
  <si>
    <t xml:space="preserve">SANCHEZ CANO </t>
  </si>
  <si>
    <t xml:space="preserve">NANCY LUZ </t>
  </si>
  <si>
    <t xml:space="preserve">NRÑ </t>
  </si>
  <si>
    <t>SILVA GUERRERO</t>
  </si>
  <si>
    <t xml:space="preserve">MARIA INES </t>
  </si>
  <si>
    <t>PALACIOS MONCAYO</t>
  </si>
  <si>
    <t>NELSON GERARDO</t>
  </si>
  <si>
    <t>GUERRERO VELEZ</t>
  </si>
  <si>
    <t>REVELO NARVAEZ</t>
  </si>
  <si>
    <t xml:space="preserve">LOPEZ TORRES </t>
  </si>
  <si>
    <t xml:space="preserve">ALVARO FLAVIO </t>
  </si>
  <si>
    <t>BURBANO TIMANA</t>
  </si>
  <si>
    <t>ALEXANDER ARVEY</t>
  </si>
  <si>
    <t>ROSERO ESTUPIÑAN</t>
  </si>
  <si>
    <t>VIVIANA DEL CARMEN</t>
  </si>
  <si>
    <t>FERNANDEZ MUÑOZ</t>
  </si>
  <si>
    <t>ADRIANA ELIZABETH</t>
  </si>
  <si>
    <t xml:space="preserve">LOPEZ CHAVEZ </t>
  </si>
  <si>
    <t xml:space="preserve">VICUÑA JURADO </t>
  </si>
  <si>
    <t xml:space="preserve">ANA MATILDE </t>
  </si>
  <si>
    <t>MARTINEZ SALAS</t>
  </si>
  <si>
    <t xml:space="preserve">JUAN ALBERTO </t>
  </si>
  <si>
    <t>MARTINEZ ROSERO</t>
  </si>
  <si>
    <t>HERMES RICARDO</t>
  </si>
  <si>
    <t xml:space="preserve">MUÑOZ JURADO </t>
  </si>
  <si>
    <t>AGUIRRE JARAMILLO</t>
  </si>
  <si>
    <t xml:space="preserve">NANCY CECILIA </t>
  </si>
  <si>
    <t>BOLAÑOS CUASPUD</t>
  </si>
  <si>
    <t xml:space="preserve">ROSA NELI </t>
  </si>
  <si>
    <t xml:space="preserve">LOPEZ BOLAÑOS </t>
  </si>
  <si>
    <t>DEISY DEL CARMEN</t>
  </si>
  <si>
    <t xml:space="preserve">ROSERO CASTRO </t>
  </si>
  <si>
    <t>CLAUDIA ELISABETH</t>
  </si>
  <si>
    <t>MARROQUIN MARROQUIN</t>
  </si>
  <si>
    <t>BAYARDO ALCIBAR</t>
  </si>
  <si>
    <t xml:space="preserve">REVELO JURADO </t>
  </si>
  <si>
    <t xml:space="preserve">GUSTAVO ARIEL </t>
  </si>
  <si>
    <t>MARTINEZ DELGADO</t>
  </si>
  <si>
    <t xml:space="preserve">NESTOR DANILO </t>
  </si>
  <si>
    <t xml:space="preserve">ARIAS IGUAD </t>
  </si>
  <si>
    <t xml:space="preserve">JOSE ELIAS </t>
  </si>
  <si>
    <t>BUCHELI GARCIA</t>
  </si>
  <si>
    <t>ANDRES MAURICIO</t>
  </si>
  <si>
    <t xml:space="preserve">DELGADO YEPEZ </t>
  </si>
  <si>
    <t>MARIA ANTONIETA</t>
  </si>
  <si>
    <t xml:space="preserve">ORTIZ RUIZ </t>
  </si>
  <si>
    <t xml:space="preserve">YANNET ROCIO </t>
  </si>
  <si>
    <t>MENESES CIFUENTES</t>
  </si>
  <si>
    <t>WHILINGTON GIOVANNY</t>
  </si>
  <si>
    <t>PATIÑO BELALCAZAR</t>
  </si>
  <si>
    <t xml:space="preserve">RICARDO RAUL </t>
  </si>
  <si>
    <t xml:space="preserve">LOPEZ FLOREZ </t>
  </si>
  <si>
    <t xml:space="preserve">MILTON FABIO </t>
  </si>
  <si>
    <t xml:space="preserve">AUX CARDENAS </t>
  </si>
  <si>
    <t>LOREIDA SILVANA</t>
  </si>
  <si>
    <t>QUIROZ SANCHEZ</t>
  </si>
  <si>
    <t xml:space="preserve">RENE DONALDO </t>
  </si>
  <si>
    <t>SANTACRUZ ROSALES</t>
  </si>
  <si>
    <t xml:space="preserve">JOSE BOLIVAR </t>
  </si>
  <si>
    <t xml:space="preserve">OCAÑA BURBANO </t>
  </si>
  <si>
    <t>HAROLD EDGAR ALEJANDRO</t>
  </si>
  <si>
    <t>ZAMBRANO AREVALO</t>
  </si>
  <si>
    <t xml:space="preserve">ROSA ADELA </t>
  </si>
  <si>
    <t xml:space="preserve">NTS </t>
  </si>
  <si>
    <t xml:space="preserve">FORERO NEIRA </t>
  </si>
  <si>
    <t>AMANDA MERCEDES</t>
  </si>
  <si>
    <t>MARTINEZ URBINA</t>
  </si>
  <si>
    <t xml:space="preserve">MIRYAM </t>
  </si>
  <si>
    <t>SANABRIA LAGUADO</t>
  </si>
  <si>
    <t xml:space="preserve">BELKYS MARINA </t>
  </si>
  <si>
    <t xml:space="preserve">RAMIREZ SOTO </t>
  </si>
  <si>
    <t>MARINA ESPERANZA</t>
  </si>
  <si>
    <t>SILVA CARRILLO</t>
  </si>
  <si>
    <t xml:space="preserve">CLAUDIA IVETH </t>
  </si>
  <si>
    <t>ESPINEL SUAREZ</t>
  </si>
  <si>
    <t xml:space="preserve">GARCIA JAIMES </t>
  </si>
  <si>
    <t>SAAVEDRA RUEDA</t>
  </si>
  <si>
    <t xml:space="preserve">GLADYS ONEIDA </t>
  </si>
  <si>
    <t>BASTO CONTRERAS</t>
  </si>
  <si>
    <t xml:space="preserve">LUIS GREGORIO </t>
  </si>
  <si>
    <t>VILLAMIZAR JAIMES</t>
  </si>
  <si>
    <t xml:space="preserve">FRANCO DAZA </t>
  </si>
  <si>
    <t xml:space="preserve">MARTHA JUDITH </t>
  </si>
  <si>
    <t xml:space="preserve">MEZA ROLON </t>
  </si>
  <si>
    <t xml:space="preserve">MONROY ARIAS </t>
  </si>
  <si>
    <t xml:space="preserve">NUMA SANJUAN </t>
  </si>
  <si>
    <t>GLORIA BEATRIZ</t>
  </si>
  <si>
    <t>RAMIREZ SIERRA</t>
  </si>
  <si>
    <t xml:space="preserve">JESUS MANUEL </t>
  </si>
  <si>
    <t>SANTANDER BENCARDINO</t>
  </si>
  <si>
    <t>YAJAIRA TERESA</t>
  </si>
  <si>
    <t xml:space="preserve">CORREA </t>
  </si>
  <si>
    <t xml:space="preserve">JOSE LUIS </t>
  </si>
  <si>
    <t>AMARILES SAYAGO</t>
  </si>
  <si>
    <t xml:space="preserve">FABIO ARNALDO </t>
  </si>
  <si>
    <t xml:space="preserve">ROJAS YAÑEZ </t>
  </si>
  <si>
    <t>GABY ESTHER DEL SOCORRO</t>
  </si>
  <si>
    <t>FRANCO DE MALDONADO</t>
  </si>
  <si>
    <t xml:space="preserve">ZORAIDA </t>
  </si>
  <si>
    <t xml:space="preserve">NIÑO RAMIREZ </t>
  </si>
  <si>
    <t xml:space="preserve">JESUS ANTONIO </t>
  </si>
  <si>
    <t xml:space="preserve">TORRADO OLAYA </t>
  </si>
  <si>
    <t xml:space="preserve">SANDRA YANID </t>
  </si>
  <si>
    <t xml:space="preserve">PORRAS LOPEZ </t>
  </si>
  <si>
    <t>BARRERA VELANDIA</t>
  </si>
  <si>
    <t>MARLON ALCIDES</t>
  </si>
  <si>
    <t>HERNANDEZ ACOSTA</t>
  </si>
  <si>
    <t>LIBARDO ANTONIO</t>
  </si>
  <si>
    <t>BALLEN CASTILLO</t>
  </si>
  <si>
    <t>PAREDES HERNANDEZ</t>
  </si>
  <si>
    <t>PEINADO FAJARDO</t>
  </si>
  <si>
    <t xml:space="preserve">NINFA MARIA </t>
  </si>
  <si>
    <t>BELTRAN HERNANDEZ</t>
  </si>
  <si>
    <t xml:space="preserve">GALVIS CLARO </t>
  </si>
  <si>
    <t xml:space="preserve">WILLIAM </t>
  </si>
  <si>
    <t>GONZALEZ JAIME</t>
  </si>
  <si>
    <t xml:space="preserve">LILIANA </t>
  </si>
  <si>
    <t xml:space="preserve">JURADO SANIN </t>
  </si>
  <si>
    <t xml:space="preserve">OMAR ENRIQUE </t>
  </si>
  <si>
    <t>IBARRA CACERES</t>
  </si>
  <si>
    <t>SANCHEZ JAIMES</t>
  </si>
  <si>
    <t>TENJO CARRILLO</t>
  </si>
  <si>
    <t xml:space="preserve">RUTH BEPZAIDA </t>
  </si>
  <si>
    <t>CAICEDO VARGAS</t>
  </si>
  <si>
    <t xml:space="preserve">MARSELA </t>
  </si>
  <si>
    <t xml:space="preserve">FLOREZ PRADA </t>
  </si>
  <si>
    <t>MANUEL ORLANDO</t>
  </si>
  <si>
    <t xml:space="preserve">LEON PRIETO </t>
  </si>
  <si>
    <t xml:space="preserve">ORTIZ RANGEL </t>
  </si>
  <si>
    <t xml:space="preserve">YAMIRA ZULIMA </t>
  </si>
  <si>
    <t>SALAMANCA HERNANDEZ</t>
  </si>
  <si>
    <t>FUENTES BLANCO</t>
  </si>
  <si>
    <t>MARLON FERNANDO</t>
  </si>
  <si>
    <t>TORRES BAUTISTA</t>
  </si>
  <si>
    <t xml:space="preserve">CESAR ARBEY </t>
  </si>
  <si>
    <t xml:space="preserve">PEREZ TORO </t>
  </si>
  <si>
    <t>RODRIGUEZ TENJO</t>
  </si>
  <si>
    <t xml:space="preserve">SONIA MARGOTH </t>
  </si>
  <si>
    <t>ARENAS CONTRERAS</t>
  </si>
  <si>
    <t>MARLYND ZULEYMA</t>
  </si>
  <si>
    <t xml:space="preserve">FLOREZ MENA </t>
  </si>
  <si>
    <t xml:space="preserve">MARIA NUBIA </t>
  </si>
  <si>
    <t xml:space="preserve">MELO ISCALA </t>
  </si>
  <si>
    <t xml:space="preserve">RUFO ALBERTO </t>
  </si>
  <si>
    <t>VILLAMIZAR VARGAS</t>
  </si>
  <si>
    <t xml:space="preserve">SONIA YADIRA </t>
  </si>
  <si>
    <t>FERNANDEZ FOLIACO</t>
  </si>
  <si>
    <t>GLADYS FLORELIA</t>
  </si>
  <si>
    <t>GRANADOS MALDONADO</t>
  </si>
  <si>
    <t xml:space="preserve">MARTHA INES </t>
  </si>
  <si>
    <t xml:space="preserve">RINCON MORA </t>
  </si>
  <si>
    <t>WILLIAM ANTONIO</t>
  </si>
  <si>
    <t>SANCHEZ SUAREZ</t>
  </si>
  <si>
    <t xml:space="preserve">RAFAEL OMAR </t>
  </si>
  <si>
    <t>ATUESTA VARGAS</t>
  </si>
  <si>
    <t xml:space="preserve">BAUDILIO </t>
  </si>
  <si>
    <t>ESCOBAR GARCIA</t>
  </si>
  <si>
    <t xml:space="preserve">ESTHER </t>
  </si>
  <si>
    <t xml:space="preserve">ELSA AMPARO </t>
  </si>
  <si>
    <t xml:space="preserve">HEREDIA ABRIL </t>
  </si>
  <si>
    <t xml:space="preserve">WALKIRA </t>
  </si>
  <si>
    <t xml:space="preserve">MONTOYA PINO </t>
  </si>
  <si>
    <t xml:space="preserve">MARLLE </t>
  </si>
  <si>
    <t>CABALLERO ARIZA</t>
  </si>
  <si>
    <t>CARDENAS CARRILLO</t>
  </si>
  <si>
    <t xml:space="preserve">BEATRIZ </t>
  </si>
  <si>
    <t>MARCIALES RAMIREZ</t>
  </si>
  <si>
    <t xml:space="preserve">CARLOS JULIO </t>
  </si>
  <si>
    <t>BLANCO CONTRERAS</t>
  </si>
  <si>
    <t xml:space="preserve">EDUARDO </t>
  </si>
  <si>
    <t xml:space="preserve">FUENTES MEJIA </t>
  </si>
  <si>
    <t xml:space="preserve">JHON JAIRO </t>
  </si>
  <si>
    <t xml:space="preserve">DURAN NUÑEZ </t>
  </si>
  <si>
    <t>FRANKLIN ALBERTO</t>
  </si>
  <si>
    <t>HIGUERA GALVIS</t>
  </si>
  <si>
    <t>MARTHA CAROLINA</t>
  </si>
  <si>
    <t>GALLEGO QUINTERO</t>
  </si>
  <si>
    <t>RAQUEL EUGENIA</t>
  </si>
  <si>
    <t xml:space="preserve">VILLAMIZAR </t>
  </si>
  <si>
    <t>SANDRO ROBERTO</t>
  </si>
  <si>
    <t xml:space="preserve">MARTINEZ </t>
  </si>
  <si>
    <t xml:space="preserve">JESUS EDUARDO </t>
  </si>
  <si>
    <t>MIRANDA SANDOVAL</t>
  </si>
  <si>
    <t>GLORIA DEL PILAR</t>
  </si>
  <si>
    <t>CAMACHO SARMIENTO</t>
  </si>
  <si>
    <t xml:space="preserve">EDER ERNESTO </t>
  </si>
  <si>
    <t>BONILLA MARCIALES</t>
  </si>
  <si>
    <t xml:space="preserve">PICON SANCHEZ </t>
  </si>
  <si>
    <t xml:space="preserve">GOMEZ CORREA </t>
  </si>
  <si>
    <t xml:space="preserve">MARIN ALMEIDA </t>
  </si>
  <si>
    <t xml:space="preserve">JULIO CESAR </t>
  </si>
  <si>
    <t>OREJUELA CARDONA</t>
  </si>
  <si>
    <t xml:space="preserve">YALILA </t>
  </si>
  <si>
    <t xml:space="preserve">LOPEZ REYES </t>
  </si>
  <si>
    <t xml:space="preserve">DURAN RUBIO </t>
  </si>
  <si>
    <t>FIGUEREDO MENESES</t>
  </si>
  <si>
    <t xml:space="preserve">SONIA JIMENA </t>
  </si>
  <si>
    <t>CORONEL GUERRERO</t>
  </si>
  <si>
    <t>MARTIN GERARDO</t>
  </si>
  <si>
    <t xml:space="preserve">TABARES DURAN </t>
  </si>
  <si>
    <t>LIBARDO ALFONSO</t>
  </si>
  <si>
    <t>BALLESTEROS BOTELLO</t>
  </si>
  <si>
    <t>PORTILLA SIERRA</t>
  </si>
  <si>
    <t xml:space="preserve">DORIS </t>
  </si>
  <si>
    <t>ALARCON GRANADOS</t>
  </si>
  <si>
    <t xml:space="preserve">SADY GERARDO </t>
  </si>
  <si>
    <t>ARIAS RODRIGUEZ</t>
  </si>
  <si>
    <t>MONCADA VILLAMIZAR</t>
  </si>
  <si>
    <t xml:space="preserve">FABIO ROBERT </t>
  </si>
  <si>
    <t xml:space="preserve">GALINDO DIAZ </t>
  </si>
  <si>
    <t xml:space="preserve">JOSUE </t>
  </si>
  <si>
    <t xml:space="preserve">DURAN ALARCON </t>
  </si>
  <si>
    <t xml:space="preserve">JORGE RAMON </t>
  </si>
  <si>
    <t>QUINTERO TORRADO</t>
  </si>
  <si>
    <t xml:space="preserve">MARTHA ELENA </t>
  </si>
  <si>
    <t>RODRIGUEZ PEÑARANDA</t>
  </si>
  <si>
    <t xml:space="preserve">ANGARITA </t>
  </si>
  <si>
    <t>CARLOS ALFONSO</t>
  </si>
  <si>
    <t>GUERRERO QUINTERO</t>
  </si>
  <si>
    <t>EDISON ALFONSO</t>
  </si>
  <si>
    <t xml:space="preserve">LEAL JAUREGUI </t>
  </si>
  <si>
    <t>MARTHA ESMERALDA</t>
  </si>
  <si>
    <t>FLOREZ CEBALLOS</t>
  </si>
  <si>
    <t xml:space="preserve">RAMIREZ LEAL </t>
  </si>
  <si>
    <t xml:space="preserve">LESVIA AURORA </t>
  </si>
  <si>
    <t>TORRES JIMENEZ</t>
  </si>
  <si>
    <t>ASTRID PATRICIA</t>
  </si>
  <si>
    <t xml:space="preserve">ROA URIBE </t>
  </si>
  <si>
    <t xml:space="preserve">JONNY </t>
  </si>
  <si>
    <t>ARCINIEGAS LUNA</t>
  </si>
  <si>
    <t>TERECITA DEL PILAR</t>
  </si>
  <si>
    <t>BELTRAN CARDENAS</t>
  </si>
  <si>
    <t xml:space="preserve">NORHA MARINA </t>
  </si>
  <si>
    <t>MENDOZA MARENCO</t>
  </si>
  <si>
    <t xml:space="preserve">VICTOR MANUEL </t>
  </si>
  <si>
    <t xml:space="preserve">ORTIZ MENESES </t>
  </si>
  <si>
    <t>GUALDRON RUEDA</t>
  </si>
  <si>
    <t xml:space="preserve">JOSE ALIRIO </t>
  </si>
  <si>
    <t xml:space="preserve">QND </t>
  </si>
  <si>
    <t xml:space="preserve">CANO VILLA </t>
  </si>
  <si>
    <t>KATHERINE VANESSA</t>
  </si>
  <si>
    <t>TRUJILLO CARDONA</t>
  </si>
  <si>
    <t>EDINSON ALEXANDER</t>
  </si>
  <si>
    <t xml:space="preserve">PAEZ LINCE </t>
  </si>
  <si>
    <t xml:space="preserve">ANTONIO JOSE </t>
  </si>
  <si>
    <t>GIRALDO RESTREPO</t>
  </si>
  <si>
    <t xml:space="preserve">SGC2008TP00067 </t>
  </si>
  <si>
    <t>BETANCUR PEDROZA</t>
  </si>
  <si>
    <t xml:space="preserve">ROBINSON </t>
  </si>
  <si>
    <t xml:space="preserve">SGC2008TP00075 </t>
  </si>
  <si>
    <t>RIOS VELASQUEZ</t>
  </si>
  <si>
    <t>MIGUEL AUGUSTO</t>
  </si>
  <si>
    <t xml:space="preserve">SGC2009TP00019 </t>
  </si>
  <si>
    <t xml:space="preserve">CARO LONDOÑO </t>
  </si>
  <si>
    <t xml:space="preserve">ANDRES FELIPE </t>
  </si>
  <si>
    <t xml:space="preserve">SGC2008TP00043 </t>
  </si>
  <si>
    <t xml:space="preserve">RIS </t>
  </si>
  <si>
    <t xml:space="preserve">GOMEZ SANCHEZ </t>
  </si>
  <si>
    <t>OSPINA GIRALDO</t>
  </si>
  <si>
    <t>SALGADO VALENCIA</t>
  </si>
  <si>
    <t>MARIA PATRICIA</t>
  </si>
  <si>
    <t>CUARTAS ECHEVERRI</t>
  </si>
  <si>
    <t>BUITRAGO CHICA</t>
  </si>
  <si>
    <t>CARLOS FERNANDO</t>
  </si>
  <si>
    <t>GUTIERREZ ARIAS</t>
  </si>
  <si>
    <t xml:space="preserve">PATRICIA </t>
  </si>
  <si>
    <t>RESTREPO OSORIO</t>
  </si>
  <si>
    <t xml:space="preserve">BERTA STELLA </t>
  </si>
  <si>
    <t>BUITRAGO SANTORO</t>
  </si>
  <si>
    <t xml:space="preserve">MESA MONTAÑO </t>
  </si>
  <si>
    <t>NICOLAS GUILLERMO</t>
  </si>
  <si>
    <t xml:space="preserve">ARIAS ARIAS </t>
  </si>
  <si>
    <t>GERMAN WILLIAM</t>
  </si>
  <si>
    <t xml:space="preserve">GALLEGO HOYOS </t>
  </si>
  <si>
    <t xml:space="preserve">ORTIZ RAMIREZ </t>
  </si>
  <si>
    <t>MANUEL AUGUSTO</t>
  </si>
  <si>
    <t xml:space="preserve">PARDO IZA </t>
  </si>
  <si>
    <t xml:space="preserve">DIANA EUGENIA </t>
  </si>
  <si>
    <t xml:space="preserve">VILLA BEDOYA </t>
  </si>
  <si>
    <t xml:space="preserve">PATIÑO </t>
  </si>
  <si>
    <t xml:space="preserve">JULIANA </t>
  </si>
  <si>
    <t>CASTAÑO CUARTAS</t>
  </si>
  <si>
    <t xml:space="preserve">VELEZ RENDON </t>
  </si>
  <si>
    <t>BEDOYA SANCHEZ</t>
  </si>
  <si>
    <t>TRUJILLO FLOREZ</t>
  </si>
  <si>
    <t>BEATRIZ HELENA</t>
  </si>
  <si>
    <t xml:space="preserve">OSORIO OCAMPO </t>
  </si>
  <si>
    <t xml:space="preserve">BARBOSA GARAY </t>
  </si>
  <si>
    <t>CLAUDIA ISABEL</t>
  </si>
  <si>
    <t>SANCHEZ GALLEGO</t>
  </si>
  <si>
    <t>GONZALEZ VELASQUEZ</t>
  </si>
  <si>
    <t>FRANCIA MONICA</t>
  </si>
  <si>
    <t xml:space="preserve">MARIN TABARES </t>
  </si>
  <si>
    <t xml:space="preserve">ROMERO GARCIA </t>
  </si>
  <si>
    <t xml:space="preserve">ISAZA VARGAS </t>
  </si>
  <si>
    <t>QUICENO MURILLO</t>
  </si>
  <si>
    <t xml:space="preserve">MARIA SORANY </t>
  </si>
  <si>
    <t xml:space="preserve">OSPINA DAVILA </t>
  </si>
  <si>
    <t>BUITRAGO GOMEZ</t>
  </si>
  <si>
    <t xml:space="preserve">LUCY AMPARO </t>
  </si>
  <si>
    <t>MEDINA CASTAÑO</t>
  </si>
  <si>
    <t xml:space="preserve">DUVAN ALFONSO </t>
  </si>
  <si>
    <t>ROMERO VILLEGAS</t>
  </si>
  <si>
    <t>GLORIA EFIGENIA</t>
  </si>
  <si>
    <t>CASTAÑEDA CIFUENTES</t>
  </si>
  <si>
    <t xml:space="preserve">FANNY </t>
  </si>
  <si>
    <t xml:space="preserve">ALFONSO TORO </t>
  </si>
  <si>
    <t>LOAIZA TABORDA</t>
  </si>
  <si>
    <t xml:space="preserve">ALEJANDRO </t>
  </si>
  <si>
    <t xml:space="preserve">MACIAS DUQUE </t>
  </si>
  <si>
    <t xml:space="preserve">DIEGO </t>
  </si>
  <si>
    <t xml:space="preserve">PAREJA CORREA </t>
  </si>
  <si>
    <t xml:space="preserve">HENAO CERRO </t>
  </si>
  <si>
    <t xml:space="preserve">ORLINDA ROSAS </t>
  </si>
  <si>
    <t>HERRERA GRAJALES</t>
  </si>
  <si>
    <t xml:space="preserve">ANA JULIA </t>
  </si>
  <si>
    <t>TABARES LONDOÑO</t>
  </si>
  <si>
    <t xml:space="preserve">LILIAM RUTH </t>
  </si>
  <si>
    <t>TREJOS BERMUDEZ</t>
  </si>
  <si>
    <t xml:space="preserve">IRMA ENITH </t>
  </si>
  <si>
    <t>ESQUIVEL SANCHEZ</t>
  </si>
  <si>
    <t xml:space="preserve">OSORIO PINZON </t>
  </si>
  <si>
    <t xml:space="preserve">LOPEZ ALZATE </t>
  </si>
  <si>
    <t>BARRIGA ARENAS</t>
  </si>
  <si>
    <t xml:space="preserve">JAIME </t>
  </si>
  <si>
    <t>GUTIERREZ ACEVEDO</t>
  </si>
  <si>
    <t xml:space="preserve">RODOLFO </t>
  </si>
  <si>
    <t>CARDONA ECHEVERRY</t>
  </si>
  <si>
    <t xml:space="preserve">JHON BYRON </t>
  </si>
  <si>
    <t xml:space="preserve">VELEZ CASTRO </t>
  </si>
  <si>
    <t xml:space="preserve">ORLANDO </t>
  </si>
  <si>
    <t>JARAMILLO GARCIA</t>
  </si>
  <si>
    <t>MENESES PAREJA</t>
  </si>
  <si>
    <t>VELASQUEZ CARDENAS</t>
  </si>
  <si>
    <t xml:space="preserve">JAMES ARIEL </t>
  </si>
  <si>
    <t>MOSQUERA PIEDRAHITA</t>
  </si>
  <si>
    <t>DIEGO FERNANDO</t>
  </si>
  <si>
    <t>GONZALEZ CARDONA</t>
  </si>
  <si>
    <t>GALLEGO AGUDELO</t>
  </si>
  <si>
    <t xml:space="preserve">JORGE MARIO </t>
  </si>
  <si>
    <t>LOAIZA GONZALEZ</t>
  </si>
  <si>
    <t xml:space="preserve">CLAUDIA </t>
  </si>
  <si>
    <t xml:space="preserve">OSORIO BERNAL </t>
  </si>
  <si>
    <t xml:space="preserve">JOHN WILDER </t>
  </si>
  <si>
    <t>PULGARIN RAMIREZ</t>
  </si>
  <si>
    <t xml:space="preserve">JORGE IVAN </t>
  </si>
  <si>
    <t>MOLINA DELGADO</t>
  </si>
  <si>
    <t xml:space="preserve">LEONEL </t>
  </si>
  <si>
    <t>OCAMPO LONDOÑO</t>
  </si>
  <si>
    <t>ALVARO ENRIQUE</t>
  </si>
  <si>
    <t xml:space="preserve">PEREZ GOMEZ </t>
  </si>
  <si>
    <t xml:space="preserve">SUAREZ BOTERO </t>
  </si>
  <si>
    <t>GUTIERREZ HERRERA</t>
  </si>
  <si>
    <t xml:space="preserve">LOPEZ SIERRA </t>
  </si>
  <si>
    <t xml:space="preserve">MERCEDES ROSA </t>
  </si>
  <si>
    <t xml:space="preserve">ROA ROA </t>
  </si>
  <si>
    <t xml:space="preserve">SANDRA YOLIMA </t>
  </si>
  <si>
    <t>VELASQUEZ GARCIA</t>
  </si>
  <si>
    <t xml:space="preserve">JOSE BENJAMIN </t>
  </si>
  <si>
    <t>ALVAREZ LONDOÑO</t>
  </si>
  <si>
    <t>LOAIZA CUARTAS</t>
  </si>
  <si>
    <t>DANIEL HUMBERTO</t>
  </si>
  <si>
    <t>MONTAÑO ARBOLEDA</t>
  </si>
  <si>
    <t xml:space="preserve">ROBERTO CARLO </t>
  </si>
  <si>
    <t>MARTINEZ QUINTERO</t>
  </si>
  <si>
    <t>MORALES BURITICA</t>
  </si>
  <si>
    <t xml:space="preserve">BLANDON DIAZ </t>
  </si>
  <si>
    <t xml:space="preserve">TABORDA MEJIA </t>
  </si>
  <si>
    <t xml:space="preserve">JORGE HUGO </t>
  </si>
  <si>
    <t xml:space="preserve">CAICEDO LOPEZ </t>
  </si>
  <si>
    <t xml:space="preserve">ZORAIDA MARIA </t>
  </si>
  <si>
    <t>JURADO CARDONA</t>
  </si>
  <si>
    <t xml:space="preserve">SANDRA LORENA </t>
  </si>
  <si>
    <t>MEJIA GONZALEZ</t>
  </si>
  <si>
    <t xml:space="preserve">LOZANO FARIÑO </t>
  </si>
  <si>
    <t>SANDRA CLEMENCIA</t>
  </si>
  <si>
    <t xml:space="preserve">MEDINA RICO </t>
  </si>
  <si>
    <t xml:space="preserve">RAMIREZ OJEDA </t>
  </si>
  <si>
    <t xml:space="preserve">EMMA LUCIA </t>
  </si>
  <si>
    <t xml:space="preserve">RIVAS SOTO </t>
  </si>
  <si>
    <t xml:space="preserve">ROSA ELENA </t>
  </si>
  <si>
    <t xml:space="preserve">RUIZ GALVIS </t>
  </si>
  <si>
    <t xml:space="preserve">FABIAN </t>
  </si>
  <si>
    <t>TRUJILLO MARTINEZ</t>
  </si>
  <si>
    <t xml:space="preserve">CLAUDINA </t>
  </si>
  <si>
    <t>VALENCIA CANDAMIL</t>
  </si>
  <si>
    <t>VASQUEZ ARCILA</t>
  </si>
  <si>
    <t xml:space="preserve">JABBA RAMIREZ </t>
  </si>
  <si>
    <t>HERNANDEZ TORRES</t>
  </si>
  <si>
    <t>CARDONA RAMIREZ</t>
  </si>
  <si>
    <t>ARISTIZABAL BONILLA</t>
  </si>
  <si>
    <t xml:space="preserve">JORGE HERNAN </t>
  </si>
  <si>
    <t xml:space="preserve">MACHADO GOMEZ </t>
  </si>
  <si>
    <t>GONZALO ALEXANDER</t>
  </si>
  <si>
    <t xml:space="preserve">FAJARDO PARRA </t>
  </si>
  <si>
    <t>TABARES FLOREZ</t>
  </si>
  <si>
    <t>DIEGO ALEJANDRO</t>
  </si>
  <si>
    <t xml:space="preserve">VELEZ MUÑOZ </t>
  </si>
  <si>
    <t xml:space="preserve">LUIS ANDRES </t>
  </si>
  <si>
    <t xml:space="preserve">GARCIA PARRA </t>
  </si>
  <si>
    <t>GUTIERREZ DIAZ</t>
  </si>
  <si>
    <t xml:space="preserve">LOTERO MESA </t>
  </si>
  <si>
    <t>ANDRES ALBERTO</t>
  </si>
  <si>
    <t>CASTAÑO CEBALLOS</t>
  </si>
  <si>
    <t xml:space="preserve">RONALD ANDRES </t>
  </si>
  <si>
    <t>TABORDA ZAPATA</t>
  </si>
  <si>
    <t>FLOREZ AGUIRRE</t>
  </si>
  <si>
    <t xml:space="preserve">JOEL HERNANDO </t>
  </si>
  <si>
    <t>RAMIREZ ECHEVERRI</t>
  </si>
  <si>
    <t>LAURA PATRICIA</t>
  </si>
  <si>
    <t>GONZALEZ FAJARDO</t>
  </si>
  <si>
    <t xml:space="preserve">ANDERSON </t>
  </si>
  <si>
    <t xml:space="preserve">MARIN GALEANO </t>
  </si>
  <si>
    <t xml:space="preserve">TEJADA PARRA </t>
  </si>
  <si>
    <t xml:space="preserve">EDISON </t>
  </si>
  <si>
    <t xml:space="preserve">MONTOYA RIOS </t>
  </si>
  <si>
    <t xml:space="preserve">JOSE DARIO </t>
  </si>
  <si>
    <t>LOAIZA AMESQUITA</t>
  </si>
  <si>
    <t>MYRIAM PATRICIA</t>
  </si>
  <si>
    <t>ZAPATA GONZALEZ</t>
  </si>
  <si>
    <t xml:space="preserve">URIBE </t>
  </si>
  <si>
    <t>FERNANDO DE JESUS</t>
  </si>
  <si>
    <t>MANZANO DE LOPEZ</t>
  </si>
  <si>
    <t>ZAPATA GIRALDO</t>
  </si>
  <si>
    <t>GUSTAVO ENRIQUE</t>
  </si>
  <si>
    <t xml:space="preserve">MEJIA SUAREZ </t>
  </si>
  <si>
    <t xml:space="preserve">SIN NUMERO </t>
  </si>
  <si>
    <t>BUSTAMANTE LOPEZ</t>
  </si>
  <si>
    <t xml:space="preserve">MONTOYA GUANA </t>
  </si>
  <si>
    <t>GONZALEZ MARTINEZ</t>
  </si>
  <si>
    <t xml:space="preserve">JOHN EDISON </t>
  </si>
  <si>
    <t>MONTOYA GIRALDO</t>
  </si>
  <si>
    <t xml:space="preserve">HENRY </t>
  </si>
  <si>
    <t>TAPIAS MUÑETON</t>
  </si>
  <si>
    <t>RIVERA GIRALDO</t>
  </si>
  <si>
    <t xml:space="preserve">NATALIA </t>
  </si>
  <si>
    <t>JARAMILLO GALVIS</t>
  </si>
  <si>
    <t>HERNAN DE JESUS</t>
  </si>
  <si>
    <t>AGUIRRE LOAIZA</t>
  </si>
  <si>
    <t>SIN NUM</t>
  </si>
  <si>
    <t xml:space="preserve">BURITICA RUIZ </t>
  </si>
  <si>
    <t>LUCRECIA DEL SOCORRO</t>
  </si>
  <si>
    <t>TABORDA QUINTERO</t>
  </si>
  <si>
    <t xml:space="preserve">DIAZ MANZANO </t>
  </si>
  <si>
    <t xml:space="preserve">EDWIN GUSTAVO </t>
  </si>
  <si>
    <t xml:space="preserve">BETANCUR </t>
  </si>
  <si>
    <t xml:space="preserve">JUAN PABLO </t>
  </si>
  <si>
    <t xml:space="preserve">URREA RAMIREZ </t>
  </si>
  <si>
    <t xml:space="preserve">GOMEZ ARIAS </t>
  </si>
  <si>
    <t xml:space="preserve">E </t>
  </si>
  <si>
    <t>LOTERO HERRERA</t>
  </si>
  <si>
    <t xml:space="preserve">CATAÑO TORO </t>
  </si>
  <si>
    <t>JIMENEZ VALENCIA</t>
  </si>
  <si>
    <t xml:space="preserve">MORA RAMIREZ </t>
  </si>
  <si>
    <t xml:space="preserve">VELEZ DELGADO </t>
  </si>
  <si>
    <t xml:space="preserve">LUIS ANGEL </t>
  </si>
  <si>
    <t xml:space="preserve">STD </t>
  </si>
  <si>
    <t xml:space="preserve">SANCHEZ OJEDA </t>
  </si>
  <si>
    <t>PEREZ ESPINOSA</t>
  </si>
  <si>
    <t xml:space="preserve">CLEOMARY </t>
  </si>
  <si>
    <t>VERA GUTIERREZ</t>
  </si>
  <si>
    <t>ORTIZ TORREJANO</t>
  </si>
  <si>
    <t xml:space="preserve">CARLOS </t>
  </si>
  <si>
    <t>SANCHEZ LIZCANO</t>
  </si>
  <si>
    <t xml:space="preserve">CAMILO ANDRES </t>
  </si>
  <si>
    <t>DAVILA GARAVITO</t>
  </si>
  <si>
    <t xml:space="preserve">ROBERT DARVY </t>
  </si>
  <si>
    <t xml:space="preserve">DIAZ RUIZ </t>
  </si>
  <si>
    <t xml:space="preserve">CADENA SUAREZ </t>
  </si>
  <si>
    <t xml:space="preserve">MORENO DUARTE </t>
  </si>
  <si>
    <t xml:space="preserve">MANTILLA MEZA </t>
  </si>
  <si>
    <t xml:space="preserve">LIBIA </t>
  </si>
  <si>
    <t xml:space="preserve">GARCIA FLOREZ </t>
  </si>
  <si>
    <t>ARDILA HURTADO</t>
  </si>
  <si>
    <t>VELASQUEZ AMAYA</t>
  </si>
  <si>
    <t>SANABRIA CORSO</t>
  </si>
  <si>
    <t xml:space="preserve">ZULMA VIANETH </t>
  </si>
  <si>
    <t>CALDERON BARRERA</t>
  </si>
  <si>
    <t>CALDERON ESPEJO</t>
  </si>
  <si>
    <t xml:space="preserve">DIAZ BARRIOS </t>
  </si>
  <si>
    <t xml:space="preserve">OSCAR DAVID </t>
  </si>
  <si>
    <t>GALINDO SANCHEZ</t>
  </si>
  <si>
    <t xml:space="preserve">MARTHA LIGIA </t>
  </si>
  <si>
    <t>ARAQUE MENESES</t>
  </si>
  <si>
    <t xml:space="preserve">IVAN </t>
  </si>
  <si>
    <t>CASTAÑEDA DE RODRIGUEZ</t>
  </si>
  <si>
    <t xml:space="preserve">BLANCA SONIA </t>
  </si>
  <si>
    <t>REYES GUTIERREZ</t>
  </si>
  <si>
    <t>BEATRIZ CONSUELO</t>
  </si>
  <si>
    <t xml:space="preserve">MONROY CALA </t>
  </si>
  <si>
    <t xml:space="preserve">TLM </t>
  </si>
  <si>
    <t>CLAVIJO DE VARGAS</t>
  </si>
  <si>
    <t xml:space="preserve">MURCIA MORENO </t>
  </si>
  <si>
    <t>SONIA CRISTINA</t>
  </si>
  <si>
    <t xml:space="preserve">MENDEZ IBAÑEZ </t>
  </si>
  <si>
    <t>RODRIGUEZ RUIZ</t>
  </si>
  <si>
    <t xml:space="preserve">LIBIA OLFIR </t>
  </si>
  <si>
    <t>BERNAL RODRIGUEZ</t>
  </si>
  <si>
    <t>VANEGAS RODRIGUEZ</t>
  </si>
  <si>
    <t xml:space="preserve">HELENA </t>
  </si>
  <si>
    <t xml:space="preserve">BERNAL TRIANA </t>
  </si>
  <si>
    <t xml:space="preserve">ANGELICA </t>
  </si>
  <si>
    <t xml:space="preserve">BRIÑEZ GOMEZ </t>
  </si>
  <si>
    <t xml:space="preserve">MARIA EVA </t>
  </si>
  <si>
    <t xml:space="preserve">SANCHEZ VARON </t>
  </si>
  <si>
    <t>GLORIA MERCEDES</t>
  </si>
  <si>
    <t xml:space="preserve">ROJAS ORTIZ </t>
  </si>
  <si>
    <t xml:space="preserve">ZAMORA ARIAS </t>
  </si>
  <si>
    <t xml:space="preserve">HUGO HERNAN </t>
  </si>
  <si>
    <t xml:space="preserve">TORRES PEREZ </t>
  </si>
  <si>
    <t xml:space="preserve">JANNETH </t>
  </si>
  <si>
    <t xml:space="preserve">CRUZ CARVAJAL </t>
  </si>
  <si>
    <t xml:space="preserve">OSPINA LOPEZ </t>
  </si>
  <si>
    <t xml:space="preserve">NIDIA ROSARIO </t>
  </si>
  <si>
    <t>MARTINEZ BENITEZ</t>
  </si>
  <si>
    <t>CASTILLA ALDANA</t>
  </si>
  <si>
    <t xml:space="preserve">LEONOR ISABEL </t>
  </si>
  <si>
    <t>MESA RODRIGUEZ</t>
  </si>
  <si>
    <t xml:space="preserve">OMAIRA </t>
  </si>
  <si>
    <t>BRICEÑO CABRERA</t>
  </si>
  <si>
    <t xml:space="preserve">FRANCY ELENA </t>
  </si>
  <si>
    <t>PIEDRAHITA VARON</t>
  </si>
  <si>
    <t>NOVOA RICAURTE</t>
  </si>
  <si>
    <t>MARTHA ESPERANZA</t>
  </si>
  <si>
    <t xml:space="preserve">ROMERO VARON </t>
  </si>
  <si>
    <t xml:space="preserve">JULIO ENRIQUE </t>
  </si>
  <si>
    <t>VILLANUEVA ORTIZ</t>
  </si>
  <si>
    <t xml:space="preserve">LENIS SALAZAR </t>
  </si>
  <si>
    <t>ADRIANA MARCELA</t>
  </si>
  <si>
    <t>TRUJILLO SALAS</t>
  </si>
  <si>
    <t>CUEVAS ESPINOSA</t>
  </si>
  <si>
    <t>LILIA ESPERANZA</t>
  </si>
  <si>
    <t xml:space="preserve">MOLINA ZARTA </t>
  </si>
  <si>
    <t xml:space="preserve">INES LUCIA </t>
  </si>
  <si>
    <t xml:space="preserve">CLAVIJO BRAVO </t>
  </si>
  <si>
    <t xml:space="preserve">EFRAIN </t>
  </si>
  <si>
    <t xml:space="preserve">AMADO APONTE </t>
  </si>
  <si>
    <t xml:space="preserve">DANILO </t>
  </si>
  <si>
    <t>SABOGAL GARCIA</t>
  </si>
  <si>
    <t xml:space="preserve">YENY ZULENA </t>
  </si>
  <si>
    <t>BERNAL ESQUIVEL</t>
  </si>
  <si>
    <t xml:space="preserve">DIDIER ALEXIS </t>
  </si>
  <si>
    <t>MURILLO LESMES</t>
  </si>
  <si>
    <t>DANIEL AUGUSTO</t>
  </si>
  <si>
    <t xml:space="preserve">TORRES </t>
  </si>
  <si>
    <t>SANABRIA CESPEDES</t>
  </si>
  <si>
    <t>LORENA ALEJANDRA</t>
  </si>
  <si>
    <t>ACOSTA BELTRAN</t>
  </si>
  <si>
    <t>MAYRA ALEJANDRA</t>
  </si>
  <si>
    <t>SANCHEZ MEDINA</t>
  </si>
  <si>
    <t xml:space="preserve">MARCUS RODDY </t>
  </si>
  <si>
    <t>RODRIGUEZ RUBIO</t>
  </si>
  <si>
    <t xml:space="preserve">GOMEZ LOZANO </t>
  </si>
  <si>
    <t xml:space="preserve">JOHN WEMER </t>
  </si>
  <si>
    <t>CUBIDES BERMUDEZ</t>
  </si>
  <si>
    <t xml:space="preserve">BENICIO </t>
  </si>
  <si>
    <t>RONCANCIO GONZALEZ</t>
  </si>
  <si>
    <t xml:space="preserve">OSCAR IVAN </t>
  </si>
  <si>
    <t xml:space="preserve">SANCHEZ MORA </t>
  </si>
  <si>
    <t>MAURICIO ANDRES</t>
  </si>
  <si>
    <t>HOLGUIN GUZMAN</t>
  </si>
  <si>
    <t xml:space="preserve">SANDRA MILENA </t>
  </si>
  <si>
    <t xml:space="preserve">ALVIS ORTIZ </t>
  </si>
  <si>
    <t xml:space="preserve">FABIO ENRIQUE </t>
  </si>
  <si>
    <t>RINCON ESPINOSA</t>
  </si>
  <si>
    <t xml:space="preserve">GARCIA OCHOA </t>
  </si>
  <si>
    <t xml:space="preserve">DINA SOFIA </t>
  </si>
  <si>
    <t xml:space="preserve">SOTO PRADA </t>
  </si>
  <si>
    <t>GUERRERO MAYUSA</t>
  </si>
  <si>
    <t xml:space="preserve">GEOVANY </t>
  </si>
  <si>
    <t>CORTES BARRAGAN</t>
  </si>
  <si>
    <t xml:space="preserve">NOEL FERNANDO </t>
  </si>
  <si>
    <t xml:space="preserve">RUIZ BOLIVAR </t>
  </si>
  <si>
    <t xml:space="preserve">CAÑON TOBAR </t>
  </si>
  <si>
    <t xml:space="preserve">AVILA MORENO </t>
  </si>
  <si>
    <t>VALERO GONZALEZ</t>
  </si>
  <si>
    <t>LEONARDO ALEXANDER</t>
  </si>
  <si>
    <t xml:space="preserve">MUÑOZ CARMONA </t>
  </si>
  <si>
    <t xml:space="preserve">YEFRI </t>
  </si>
  <si>
    <t xml:space="preserve">ROJAS GOMEZ </t>
  </si>
  <si>
    <t>ADRIANA CAROLINA</t>
  </si>
  <si>
    <t>CHALARCA MORENO</t>
  </si>
  <si>
    <t>CLAUDIA NATALIA</t>
  </si>
  <si>
    <t>LOZANO LIZCANO</t>
  </si>
  <si>
    <t xml:space="preserve">FALLA HERRERA </t>
  </si>
  <si>
    <t>SANCHEZ GUERRERO</t>
  </si>
  <si>
    <t xml:space="preserve">CRUZ TEJADA </t>
  </si>
  <si>
    <t>ECHEVERRY FRANCO</t>
  </si>
  <si>
    <t xml:space="preserve">PAOLA JOHANNA </t>
  </si>
  <si>
    <t>GUZMAN OLIVEROS</t>
  </si>
  <si>
    <t xml:space="preserve">TORRES DIAZ </t>
  </si>
  <si>
    <t>JOHANA DEL PILAR</t>
  </si>
  <si>
    <t xml:space="preserve">TORRES AVILA </t>
  </si>
  <si>
    <t>GERMAN GIOVANNY</t>
  </si>
  <si>
    <t xml:space="preserve">ORTIZ VARGAS </t>
  </si>
  <si>
    <t xml:space="preserve">LUIS ARTURO </t>
  </si>
  <si>
    <t>MALAVER GARCIA</t>
  </si>
  <si>
    <t>CHAMORRO ROJAS</t>
  </si>
  <si>
    <t>CAMILO ALEJANDRO</t>
  </si>
  <si>
    <t>TORRES RAMIREZ</t>
  </si>
  <si>
    <t xml:space="preserve">JENNY MARCELA </t>
  </si>
  <si>
    <t xml:space="preserve">TELLEZ RIVERA </t>
  </si>
  <si>
    <t>JORGE JHONATAN</t>
  </si>
  <si>
    <t xml:space="preserve">OLAYA HERRERA </t>
  </si>
  <si>
    <t xml:space="preserve">DIANA LIZETH </t>
  </si>
  <si>
    <t>SERRATO CAPERA</t>
  </si>
  <si>
    <t xml:space="preserve">FABIAN ANDRES </t>
  </si>
  <si>
    <t>CASABIANCA CONTRERAS</t>
  </si>
  <si>
    <t>ALEJANDRA VICTORIA</t>
  </si>
  <si>
    <t>MARTINEZ CASTRO</t>
  </si>
  <si>
    <t>JESSICA FERNANDA</t>
  </si>
  <si>
    <t>ALVIS ASCENCIO</t>
  </si>
  <si>
    <t>ANDRES LEONARDO</t>
  </si>
  <si>
    <t>RODRIGUEZ ROJAS</t>
  </si>
  <si>
    <t xml:space="preserve">LUIS ALFONSO </t>
  </si>
  <si>
    <t>CALDERON MEDINA</t>
  </si>
  <si>
    <t xml:space="preserve">LUIS ANTONIO </t>
  </si>
  <si>
    <t xml:space="preserve">SANTOS PATIÑO </t>
  </si>
  <si>
    <t xml:space="preserve">EDWARD CAMILO </t>
  </si>
  <si>
    <t xml:space="preserve">DIAZ GARZON </t>
  </si>
  <si>
    <t xml:space="preserve">CARLOS ANDRES </t>
  </si>
  <si>
    <t xml:space="preserve">CUELLAR CAÑON </t>
  </si>
  <si>
    <t>VALENCIA RODRIGUEZ</t>
  </si>
  <si>
    <t>ANGELICA LISBET</t>
  </si>
  <si>
    <t xml:space="preserve">ARIZA SOLANO </t>
  </si>
  <si>
    <t>ESPINOSA TOVAR</t>
  </si>
  <si>
    <t xml:space="preserve">EDGAR MANUEL </t>
  </si>
  <si>
    <t>RINCON SAAVEDRA</t>
  </si>
  <si>
    <t xml:space="preserve">JONATHAN </t>
  </si>
  <si>
    <t>CASTILLO AGUIAR</t>
  </si>
  <si>
    <t>RUBIANO ROBLES</t>
  </si>
  <si>
    <t>GUZMAN NAVARRO</t>
  </si>
  <si>
    <t>CUELLAR MENESES</t>
  </si>
  <si>
    <t xml:space="preserve">ALVARO ANDRES </t>
  </si>
  <si>
    <t>RODRIGUEZ TORRES</t>
  </si>
  <si>
    <t xml:space="preserve">ANA PATRICIA </t>
  </si>
  <si>
    <t>RAMIREZ CARBONELL</t>
  </si>
  <si>
    <t>FIERRO SALINAS</t>
  </si>
  <si>
    <t xml:space="preserve">ANDRES </t>
  </si>
  <si>
    <t>MARTINEZ ORDOÑEZ</t>
  </si>
  <si>
    <t xml:space="preserve">GLORIA JANETH </t>
  </si>
  <si>
    <t>DIAZ GUTIERREZ</t>
  </si>
  <si>
    <t>EDNA ALEJANDRA</t>
  </si>
  <si>
    <t>BLANDON HERNANDEZ</t>
  </si>
  <si>
    <t>DANIEL ALEXANDER</t>
  </si>
  <si>
    <t xml:space="preserve">VIDAL VARGAS </t>
  </si>
  <si>
    <t xml:space="preserve">ERASO CLAVIJO </t>
  </si>
  <si>
    <t>DIEGO HERNANDO</t>
  </si>
  <si>
    <t>PATARROYO TORRES</t>
  </si>
  <si>
    <t>STEPHANIE CAROLINA</t>
  </si>
  <si>
    <t>BARRIOS GONZALEZ</t>
  </si>
  <si>
    <t>EDWIN HUMBERTO</t>
  </si>
  <si>
    <t>BELTRAN BUITRAGO</t>
  </si>
  <si>
    <t>VERGARA RAMIREZ</t>
  </si>
  <si>
    <t xml:space="preserve">IVAN YESID </t>
  </si>
  <si>
    <t xml:space="preserve">BASTIDAS PEÑA </t>
  </si>
  <si>
    <t xml:space="preserve">PEDRAZA MARIN </t>
  </si>
  <si>
    <t>VIVIANA ANDREA</t>
  </si>
  <si>
    <t xml:space="preserve">OCHOA YEPES </t>
  </si>
  <si>
    <t>YIMER FERNANDO</t>
  </si>
  <si>
    <t xml:space="preserve">YATE LEDESMA </t>
  </si>
  <si>
    <t xml:space="preserve">JOHN CRISTIAN </t>
  </si>
  <si>
    <t xml:space="preserve">FORERO MICAN </t>
  </si>
  <si>
    <t xml:space="preserve">YESID </t>
  </si>
  <si>
    <t xml:space="preserve">TORRES CRUZ </t>
  </si>
  <si>
    <t>DELGADILLO SARMIENTO</t>
  </si>
  <si>
    <t xml:space="preserve">FLORESMIRO </t>
  </si>
  <si>
    <t>VILLALBA CUEVAS</t>
  </si>
  <si>
    <t>YANETH ESTHER LUCIA</t>
  </si>
  <si>
    <t xml:space="preserve">GOMEZ ROMERO </t>
  </si>
  <si>
    <t xml:space="preserve">LUCENA HADIT </t>
  </si>
  <si>
    <t>GUZMAN TRUJILLO</t>
  </si>
  <si>
    <t xml:space="preserve">BONILLA MARIN </t>
  </si>
  <si>
    <t xml:space="preserve">YESID AURELIO </t>
  </si>
  <si>
    <t>BOCANEGRA DE PERCHI</t>
  </si>
  <si>
    <t xml:space="preserve">MARIA JANETH </t>
  </si>
  <si>
    <t>MURCIA RESTREPO</t>
  </si>
  <si>
    <t xml:space="preserve">RUTH NELLY </t>
  </si>
  <si>
    <t>GUARNIZO PRECIADO</t>
  </si>
  <si>
    <t xml:space="preserve">SARA TULIA </t>
  </si>
  <si>
    <t xml:space="preserve">ROJAS CASAGUA </t>
  </si>
  <si>
    <t xml:space="preserve">ALBINO </t>
  </si>
  <si>
    <t xml:space="preserve">VELA BANGUERO </t>
  </si>
  <si>
    <t xml:space="preserve">JOSE ELBER </t>
  </si>
  <si>
    <t xml:space="preserve">DELGADO CRUZ </t>
  </si>
  <si>
    <t>ADRIANA MILENA</t>
  </si>
  <si>
    <t>DE ANTONIO DIAZ</t>
  </si>
  <si>
    <t xml:space="preserve">MILENA </t>
  </si>
  <si>
    <t>HINCAPIE ARISTIZABAL</t>
  </si>
  <si>
    <t xml:space="preserve">RIVERA CASTRO </t>
  </si>
  <si>
    <t xml:space="preserve">GIANCARLO </t>
  </si>
  <si>
    <t>CASTILLO MONTEALEGRE</t>
  </si>
  <si>
    <t>ROCIO DEL PILAR</t>
  </si>
  <si>
    <t>CARVAJAL PRADA</t>
  </si>
  <si>
    <t>RODRIGUEZ ANDRADE</t>
  </si>
  <si>
    <t xml:space="preserve">EDWIN JAVIER </t>
  </si>
  <si>
    <t xml:space="preserve">OSPINA URUEÑA </t>
  </si>
  <si>
    <t xml:space="preserve">EVER </t>
  </si>
  <si>
    <t xml:space="preserve">HUEPA BRIÑEZ </t>
  </si>
  <si>
    <t xml:space="preserve">RICARDO </t>
  </si>
  <si>
    <t>VELASQUEZ SUAREZ</t>
  </si>
  <si>
    <t>CEBALLOS LOPEZ</t>
  </si>
  <si>
    <t xml:space="preserve">MAYERLI </t>
  </si>
  <si>
    <t>CASTAÑEDA ORTIZ</t>
  </si>
  <si>
    <t>MONTAÑA MURILLO</t>
  </si>
  <si>
    <t xml:space="preserve">MARCELA </t>
  </si>
  <si>
    <t>CASTILLO ARGUELLO</t>
  </si>
  <si>
    <t xml:space="preserve">CESAR ALBERTO </t>
  </si>
  <si>
    <t>ARAGON GRAJALES</t>
  </si>
  <si>
    <t>ROMERO BARRETO</t>
  </si>
  <si>
    <t>AMEZQUITA RODRIGUEZ</t>
  </si>
  <si>
    <t xml:space="preserve">JENNYFER </t>
  </si>
  <si>
    <t>ESCANDON CIFUENTES</t>
  </si>
  <si>
    <t xml:space="preserve">YELIPZA </t>
  </si>
  <si>
    <t xml:space="preserve">LOZANO MATTA </t>
  </si>
  <si>
    <t>RAMIREZ SANCHEZ</t>
  </si>
  <si>
    <t>HOFFMANN HUMBERTO</t>
  </si>
  <si>
    <t xml:space="preserve">MORALES MELO </t>
  </si>
  <si>
    <t>PINEDA CASTELLANOS</t>
  </si>
  <si>
    <t xml:space="preserve">ERVIN JAMITH </t>
  </si>
  <si>
    <t xml:space="preserve">VARON VANEGAS </t>
  </si>
  <si>
    <t xml:space="preserve">JORGE ANDRES </t>
  </si>
  <si>
    <t>MONTES BURITICA</t>
  </si>
  <si>
    <t>JAVIER MAURICIO</t>
  </si>
  <si>
    <t>SAENZ MARTINEZ</t>
  </si>
  <si>
    <t xml:space="preserve">LUIS CARLOS </t>
  </si>
  <si>
    <t>MENDOZA ARDILA</t>
  </si>
  <si>
    <t xml:space="preserve">JOSE JULIAN </t>
  </si>
  <si>
    <t>CARBALLO MATIZ</t>
  </si>
  <si>
    <t xml:space="preserve">DAZA MARTINEZ </t>
  </si>
  <si>
    <t>DIEGO HUMBERTO</t>
  </si>
  <si>
    <t>GUTIERREZ RIOS</t>
  </si>
  <si>
    <t xml:space="preserve">CLAUDIA ROCIO </t>
  </si>
  <si>
    <t>POLANIA CESPEDES</t>
  </si>
  <si>
    <t>MILTON FERNANDO</t>
  </si>
  <si>
    <t>TRUJILLO VARON</t>
  </si>
  <si>
    <t xml:space="preserve">DIDIER </t>
  </si>
  <si>
    <t>LADINO PORTELA</t>
  </si>
  <si>
    <t>YIVIANA NARDELLY</t>
  </si>
  <si>
    <t>VASQUEZ GUZMAN</t>
  </si>
  <si>
    <t>OSCAR FERNANDO</t>
  </si>
  <si>
    <t>GONZALEZ CORTES</t>
  </si>
  <si>
    <t xml:space="preserve">NOLBERTO </t>
  </si>
  <si>
    <t>SUAREZ CASTAÑEDA</t>
  </si>
  <si>
    <t xml:space="preserve">NEYITH DAYAN </t>
  </si>
  <si>
    <t xml:space="preserve">SERNA SOSA </t>
  </si>
  <si>
    <t xml:space="preserve">HECTOR FABIAN </t>
  </si>
  <si>
    <t>ZARATE MARMOLEJO</t>
  </si>
  <si>
    <t>GUILLERMO ALBERTO</t>
  </si>
  <si>
    <t xml:space="preserve">SANCHEZ ROJAS </t>
  </si>
  <si>
    <t>DIANA CATERINE</t>
  </si>
  <si>
    <t>TORRES ESCOBAR</t>
  </si>
  <si>
    <t xml:space="preserve">WILMAR </t>
  </si>
  <si>
    <t>HURTADO ACOSTA</t>
  </si>
  <si>
    <t>NELSON FERNANDO</t>
  </si>
  <si>
    <t>MARTINEZ CALDERON</t>
  </si>
  <si>
    <t xml:space="preserve">JOHN HENRY </t>
  </si>
  <si>
    <t>CUELLAR OLIVAR</t>
  </si>
  <si>
    <t xml:space="preserve">ZABALA PEÑA </t>
  </si>
  <si>
    <t xml:space="preserve">OSCAR FABIAN </t>
  </si>
  <si>
    <t>COMBITA ZAMBRANO</t>
  </si>
  <si>
    <t xml:space="preserve">RUBIO BONILLA </t>
  </si>
  <si>
    <t xml:space="preserve">OSCAR ADOLFO </t>
  </si>
  <si>
    <t>CONTRERAS RODRIGUEZ</t>
  </si>
  <si>
    <t xml:space="preserve">HECTOR </t>
  </si>
  <si>
    <t>HERNANDEZ NARIÑO</t>
  </si>
  <si>
    <t xml:space="preserve">TARCISIO </t>
  </si>
  <si>
    <t>VASQUEZ GONZALEZ</t>
  </si>
  <si>
    <t xml:space="preserve">RIVAS RAYO </t>
  </si>
  <si>
    <t xml:space="preserve">HAMES </t>
  </si>
  <si>
    <t>BAUTISTA CARDOSO</t>
  </si>
  <si>
    <t xml:space="preserve">LUIS EDUARDO </t>
  </si>
  <si>
    <t>VILLARREAL ORTIZ</t>
  </si>
  <si>
    <t xml:space="preserve">AIDA VIVIANA </t>
  </si>
  <si>
    <t>HOLGUIN TORRES</t>
  </si>
  <si>
    <t xml:space="preserve">OLGA BEATRIZ </t>
  </si>
  <si>
    <t>70810-00115</t>
  </si>
  <si>
    <t>2000-05-05 00:00:00.000</t>
  </si>
  <si>
    <t>SALAMANCA URUEÑA</t>
  </si>
  <si>
    <t>EDUARD ALEKSEI</t>
  </si>
  <si>
    <t>CANIZALES CANIZALES</t>
  </si>
  <si>
    <t xml:space="preserve">PAVA DIAZ </t>
  </si>
  <si>
    <t>JHONSON FERLEY</t>
  </si>
  <si>
    <t>VARGAS CASTAÑEDA</t>
  </si>
  <si>
    <t>CARLOS HUMBERTO</t>
  </si>
  <si>
    <t xml:space="preserve">VLL </t>
  </si>
  <si>
    <t xml:space="preserve">VASQUEZ PEREZ </t>
  </si>
  <si>
    <t>TABARQUINO GIRALDO</t>
  </si>
  <si>
    <t xml:space="preserve">OCTAVIO </t>
  </si>
  <si>
    <t xml:space="preserve">ROSERO LOPEZ </t>
  </si>
  <si>
    <t xml:space="preserve">SGC2009TG00080 </t>
  </si>
  <si>
    <t>CANTOR MONTENEGRO</t>
  </si>
  <si>
    <t xml:space="preserve">DERLY JOHANNA </t>
  </si>
  <si>
    <t>CASTAÑEDA CARDONA</t>
  </si>
  <si>
    <t xml:space="preserve">ARGEMIRO </t>
  </si>
  <si>
    <t>GRISALES DUQUE</t>
  </si>
  <si>
    <t>PANESSO ARCILA</t>
  </si>
  <si>
    <t>RENGIFO GUTIERREZ</t>
  </si>
  <si>
    <t xml:space="preserve">EDMUNDO </t>
  </si>
  <si>
    <t>CHAVERRA CAICEDO</t>
  </si>
  <si>
    <t>GERARDO HERNAN</t>
  </si>
  <si>
    <t>SERNA BERMUDEZ</t>
  </si>
  <si>
    <t xml:space="preserve">HECTOR FABIO </t>
  </si>
  <si>
    <t xml:space="preserve">PLAZA SERRANO </t>
  </si>
  <si>
    <t>TRUJILLO GONZALEZ</t>
  </si>
  <si>
    <t xml:space="preserve">JENNY </t>
  </si>
  <si>
    <t>ZAMBRANO GALLEGO</t>
  </si>
  <si>
    <t xml:space="preserve">FREDY </t>
  </si>
  <si>
    <t>ARBOLEDA GIRON</t>
  </si>
  <si>
    <t>LINA ESPERANZA</t>
  </si>
  <si>
    <t>GRANADA PERNIA</t>
  </si>
  <si>
    <t xml:space="preserve">RONAL JAVIER </t>
  </si>
  <si>
    <t xml:space="preserve">GARCIA LOMBO </t>
  </si>
  <si>
    <t xml:space="preserve">GABRIEL </t>
  </si>
  <si>
    <t xml:space="preserve">MURIEL TASCON </t>
  </si>
  <si>
    <t xml:space="preserve">AGREDO COBO </t>
  </si>
  <si>
    <t xml:space="preserve">BARRERA MUÑOZ </t>
  </si>
  <si>
    <t xml:space="preserve">JHONY </t>
  </si>
  <si>
    <t xml:space="preserve">CAÑA SANDOVAL </t>
  </si>
  <si>
    <t xml:space="preserve">HAROLD </t>
  </si>
  <si>
    <t xml:space="preserve">MEDINA MUÑOZ </t>
  </si>
  <si>
    <t>OSCAR HERNANDO</t>
  </si>
  <si>
    <t>SALAZAR ANGULO</t>
  </si>
  <si>
    <t>JIMENEZ MEDINA</t>
  </si>
  <si>
    <t xml:space="preserve">MANZONI </t>
  </si>
  <si>
    <t xml:space="preserve">URQUIJO MEJIA </t>
  </si>
  <si>
    <t>JHONATAN EMILIO</t>
  </si>
  <si>
    <t>MADRID CORDOBA</t>
  </si>
  <si>
    <t xml:space="preserve">ISAAC </t>
  </si>
  <si>
    <t xml:space="preserve">GOMEZ MEDINA </t>
  </si>
  <si>
    <t xml:space="preserve">ULISES </t>
  </si>
  <si>
    <t xml:space="preserve">LOZANO URIBE </t>
  </si>
  <si>
    <t xml:space="preserve">MARITZA </t>
  </si>
  <si>
    <t>PIEDRAHITA OSORIO</t>
  </si>
  <si>
    <t>NELLY PATRICIA</t>
  </si>
  <si>
    <t>GONZALEZ SALCEDO</t>
  </si>
  <si>
    <t xml:space="preserve">NORA LIGIA </t>
  </si>
  <si>
    <t>MARMOLEJO VICTORIA</t>
  </si>
  <si>
    <t xml:space="preserve">MONROY TASAMA </t>
  </si>
  <si>
    <t xml:space="preserve">RAUL </t>
  </si>
  <si>
    <t>LOAIZA VILLAMIL</t>
  </si>
  <si>
    <t xml:space="preserve">WILSON </t>
  </si>
  <si>
    <t>MURGUEITIO DE MORALES</t>
  </si>
  <si>
    <t xml:space="preserve">STELLA </t>
  </si>
  <si>
    <t>SARRIA GUTIERREZ</t>
  </si>
  <si>
    <t xml:space="preserve">OSCAR </t>
  </si>
  <si>
    <t xml:space="preserve">VASQUEZ GOMEZ </t>
  </si>
  <si>
    <t xml:space="preserve">CRISTINA </t>
  </si>
  <si>
    <t xml:space="preserve">SGC2008TP00019 </t>
  </si>
  <si>
    <t>251061-031666</t>
  </si>
  <si>
    <t>CND</t>
  </si>
  <si>
    <t>RUIZ SIMANCAS</t>
  </si>
  <si>
    <t>JAIME ENRIQUE</t>
  </si>
  <si>
    <t>TECNICO PROF. EN LA ESPECIALIDAD DE DIBUJO DE INGENIERIA MECANICA Y ARQUITECTURA</t>
  </si>
  <si>
    <t>TECNICO PROFESIONAL EN DELINEANTE DE ARQUITECTURA E INGENIERIA Y DECORACION</t>
  </si>
  <si>
    <t>REGISTRO DE ENTRADA</t>
  </si>
  <si>
    <t>AREA / SECCIONAL</t>
  </si>
  <si>
    <t>GESTION ADMINISTRATIVA</t>
  </si>
  <si>
    <t>AÑO</t>
  </si>
  <si>
    <t>MES</t>
  </si>
  <si>
    <t>DIA</t>
  </si>
  <si>
    <t>NT*</t>
  </si>
  <si>
    <t>&lt;Escriba el objeto de inventario&gt;</t>
  </si>
  <si>
    <t>RESPONSABLE DE LOS DOCUMENTOS</t>
  </si>
  <si>
    <t>Transferencia Documental programada</t>
  </si>
  <si>
    <t>OBJETO</t>
  </si>
  <si>
    <t xml:space="preserve">Traslado de custodia de documentos a otras Entidades </t>
  </si>
  <si>
    <t>NT= Numero de transferencia</t>
  </si>
  <si>
    <t>Inventario Documental</t>
  </si>
  <si>
    <t>Recepción de archivos</t>
  </si>
  <si>
    <t>CONSECUTIVO</t>
  </si>
  <si>
    <t>FECHAS EXTREMAS</t>
  </si>
  <si>
    <t>Unid Conserv</t>
  </si>
  <si>
    <t>Traslado temporal de documentos</t>
  </si>
  <si>
    <t>No.  consecutivo</t>
  </si>
  <si>
    <t>Codigo</t>
  </si>
  <si>
    <t>NOMBRE DE LA SERIE O CONTENIDO</t>
  </si>
  <si>
    <t>Columna1</t>
  </si>
  <si>
    <t>Desde</t>
  </si>
  <si>
    <t>Hasta</t>
  </si>
  <si>
    <t>Inicial</t>
  </si>
  <si>
    <t>Final</t>
  </si>
  <si>
    <t>Tomo / Vol</t>
  </si>
  <si>
    <t>Ca</t>
  </si>
  <si>
    <t>Lg</t>
  </si>
  <si>
    <t>Az</t>
  </si>
  <si>
    <t>Em</t>
  </si>
  <si>
    <t>Cj</t>
  </si>
  <si>
    <t>MT</t>
  </si>
  <si>
    <t>Folios / Series Cons</t>
  </si>
  <si>
    <t>Observaciones</t>
  </si>
  <si>
    <t>No. Caja*</t>
  </si>
  <si>
    <t>Proced*</t>
  </si>
  <si>
    <t>Entrega de Cargo</t>
  </si>
  <si>
    <t>M.P 05470-00755</t>
  </si>
  <si>
    <t xml:space="preserve">ACOSTA MONTOYA MARTHA LUCIA </t>
  </si>
  <si>
    <t>X</t>
  </si>
  <si>
    <t xml:space="preserve">CC 43063515 / Tecnico Profesional Intermedio En Decoradora Y Delineante De Arquitectura (Academia Superior De Artes De Medellin) - ANT </t>
  </si>
  <si>
    <t>M.P 05430-00499</t>
  </si>
  <si>
    <t xml:space="preserve">AGUDELO ZAPATA LUZ MARINA </t>
  </si>
  <si>
    <t xml:space="preserve">CC 32519726 / Tecnico Profesional Intermedio En Dibujo Arquitectonico (Academia Superior De Artes De Medellin) - ANT </t>
  </si>
  <si>
    <t>M.P 05405-00219</t>
  </si>
  <si>
    <t xml:space="preserve">ALZATE ANGARITA MARTHA LUCIA </t>
  </si>
  <si>
    <t xml:space="preserve">CC 43074518 / Tecnico Profesional En Arte Y Decoracion Arquitectonica (Academia Superior De Artes De Medellin) - ANT </t>
  </si>
  <si>
    <t>M.P 05444-00703</t>
  </si>
  <si>
    <t>ARBOLEDA GALVIS CLARA PATRICIA</t>
  </si>
  <si>
    <t xml:space="preserve">CC 42985271 / Tecnico Profesional Intermedio En Decoracion Y Dibujo Arquitectonico (Academia Superior De Artes De Medellin) - ANT </t>
  </si>
  <si>
    <t>M.P 05470-00868</t>
  </si>
  <si>
    <t xml:space="preserve">ARIAS PEREZ PATRICY </t>
  </si>
  <si>
    <t xml:space="preserve">CC 42879050 / Tecnico Profesional Intermedio En Decoradora Y Delineante De Arquitectura (Academia Superior De Artes De Medellin) - ANT </t>
  </si>
  <si>
    <t>M.P 05470-00820</t>
  </si>
  <si>
    <t xml:space="preserve">ARISTIZABAL ARBELAEZ GLORIA ELENA </t>
  </si>
  <si>
    <t xml:space="preserve">CC 43026960 / Tecnico Profesional Intermedio En Decoradora Y Delineante De Arquitectura (Academia Superior De Artes De Medellin) - ANT </t>
  </si>
  <si>
    <t>M.P 05804-01032</t>
  </si>
  <si>
    <t>BAQUERO NAVALES MONICA PATRICIA</t>
  </si>
  <si>
    <t xml:space="preserve">CC 32180679 / Tecnologo Delineante De Arquitectura E Ingenieria (Colegio Mayor De Antioquia) - ANT </t>
  </si>
  <si>
    <t>M.P 05405-00163</t>
  </si>
  <si>
    <t>BETANCUR ALZATE BLANCA ERNESTINA</t>
  </si>
  <si>
    <t xml:space="preserve">CC 32417119 / Dibujante De Arquitectura (Academia Superior De Artes) - ANT </t>
  </si>
  <si>
    <t>M.P 05405-00200</t>
  </si>
  <si>
    <t xml:space="preserve">BETANCUR ESTRADA GLORIA LUZ </t>
  </si>
  <si>
    <t xml:space="preserve">CC 32427530 / Delineante De Arquitectura (Colegio Mayor De Cultura Femenina De Antioquia) - ANT </t>
  </si>
  <si>
    <t>M.P 05405-00169</t>
  </si>
  <si>
    <t>CABANZO MOLINA MARIA VILMA ARLENE</t>
  </si>
  <si>
    <t xml:space="preserve">CC 32528353 / Dibujante De Arquitectura (Academia Superior De Artes) - ANT </t>
  </si>
  <si>
    <t>M.P 05405-00210</t>
  </si>
  <si>
    <t xml:space="preserve">CADAVID ESCOBAR LINA MARIA </t>
  </si>
  <si>
    <t xml:space="preserve">CC 43529620 / Tecnico Profesional En Arte Y Decoracion Arquitectonica (Academia Superior De Artes De Medellin) - ANT </t>
  </si>
  <si>
    <t>M.P 05405-00217</t>
  </si>
  <si>
    <t xml:space="preserve">CAICEDO VILLEGAS MARIA ELSY </t>
  </si>
  <si>
    <t xml:space="preserve">CC 42968133 / Tecnico Profesional Intermedio En Decoracion Y Dibujo Arquitectonico (Academia Superior De Artes De Medellin) - ANT </t>
  </si>
  <si>
    <t>M.P 05405-00182</t>
  </si>
  <si>
    <t xml:space="preserve">CAÑAS MARIN BLANCA DORIS </t>
  </si>
  <si>
    <t xml:space="preserve">CC 39166537 / Tecnico Profesional En Arte Y Decoracion Arquitectonica (Academia Superior De Artes De Medellin) - ANT </t>
  </si>
  <si>
    <t>M.P 05405-00180</t>
  </si>
  <si>
    <t xml:space="preserve">CARDONA MORENO ANGELA MARIA </t>
  </si>
  <si>
    <t xml:space="preserve">CC 42969699 / Tecnico Profesional Intermedio En Dibujo Arquitectonico (Academia Superior De Artes De Medellin) - ANT </t>
  </si>
  <si>
    <t>M.P 05408-00392</t>
  </si>
  <si>
    <t xml:space="preserve">CORREA LOPEZ MARTHA ALICIA </t>
  </si>
  <si>
    <t xml:space="preserve">CC 21398840 / Dibujante De Arquitectura (Academia Superior De Artes) - ANT </t>
  </si>
  <si>
    <t>M.P 05444-00710</t>
  </si>
  <si>
    <t>CUARTAS POSADA ANGELA PATRICIA</t>
  </si>
  <si>
    <t xml:space="preserve">CC 43038535 / Tecnico Profesional Intermedio En Decoracion Y Dibujo Arquitectonico (Academia Superior De Artes De Medellin) - ANT </t>
  </si>
  <si>
    <t>M.P 05804-01033</t>
  </si>
  <si>
    <t>DIAZ RUEDA FRANCIA YASMIN</t>
  </si>
  <si>
    <t xml:space="preserve">CC 43834341 / Tecnologo Delineante De Arquitectura E Ingenieria (Colegio Mayor De Antioquia) - ANT </t>
  </si>
  <si>
    <t>M.P 05416-00461</t>
  </si>
  <si>
    <t xml:space="preserve">DUARTE ROMERO ALBA ALCIRA </t>
  </si>
  <si>
    <t xml:space="preserve">CC 43003115 / Tecnico Profesional Intermedio En Dibujo Arquitectonico (Academia Superior De Artes De Medellin) - ANT </t>
  </si>
  <si>
    <t>M.P 05414-00401</t>
  </si>
  <si>
    <t xml:space="preserve">DUQUE JIMENEZ LUZ ADELA </t>
  </si>
  <si>
    <t xml:space="preserve">CC 32415363 / Delineante De Arquitectura (Colegio Mayor De Antioquia) - ANT </t>
  </si>
  <si>
    <t>M.P 05804-01049</t>
  </si>
  <si>
    <t>DUQUE QUINTERO JANNETH ZORAIDA</t>
  </si>
  <si>
    <t xml:space="preserve">CC 43584431 / Tecnologo Delineante De Arquitectura E Ingenieria (Colegio Mayor De Antioquia) - ANT </t>
  </si>
  <si>
    <t>M.P 05470-00848</t>
  </si>
  <si>
    <t xml:space="preserve">FAJARDO VELEZ MARIA ROCIO </t>
  </si>
  <si>
    <t xml:space="preserve">CC 42995284 / Tecnico Profesional Intermedio En Decoradora Y Delineante De Arquitectura (Academia Superior De Artes De Medellin) - ANT </t>
  </si>
  <si>
    <t>M.P 05412-00396</t>
  </si>
  <si>
    <t xml:space="preserve">FERNANDEZ ARBOLEDA LIGIA ELENA </t>
  </si>
  <si>
    <t xml:space="preserve">CC 32534205 / Tecnico Profesional Intermedio En Decoracion Y Dibujo Arquitectonico (Academia Superior De Artes De Medellin) - ANT </t>
  </si>
  <si>
    <t>M.P 05405-00190</t>
  </si>
  <si>
    <t xml:space="preserve">FRANCO GARCIA LORENZA </t>
  </si>
  <si>
    <t xml:space="preserve">CC 31400296 / Tecnico Profesional Intermedio En Decoracion Y Dibujo Arquitectonico (Academia Superior De Artes De Medellin) - ANT </t>
  </si>
  <si>
    <t>M.P 05421-00553</t>
  </si>
  <si>
    <t xml:space="preserve">GARCIA GONZALEZ MARIA PIEDAD </t>
  </si>
  <si>
    <t xml:space="preserve">CC 43039807 / Tecnico Profesional Intermedio En Decoracion Y Dibujo Arquitectonico (Academia Superior De Artes De Medellin) - ANT </t>
  </si>
  <si>
    <t>M.P 05405-00109</t>
  </si>
  <si>
    <t xml:space="preserve">GAVIRIA BERRIO BEATRIZ ELENA </t>
  </si>
  <si>
    <t xml:space="preserve">CC 32493596 / Decoradora Y Delineante De Arquitectura (Academia Superior De Artes) - ANT </t>
  </si>
  <si>
    <t>M.P 05408-00441</t>
  </si>
  <si>
    <t xml:space="preserve">GIRALDO MORENO MARIA EDITH </t>
  </si>
  <si>
    <t xml:space="preserve">CC 37222427 / Dibujante De Arquitectura (Academia Superior De Artes) - ANT </t>
  </si>
  <si>
    <t>M.P 05405-00204</t>
  </si>
  <si>
    <t xml:space="preserve">GOMEZ GIRALDO AURA CECILIA </t>
  </si>
  <si>
    <t xml:space="preserve">CC 43031677 / Tecnico Profesional Intermedio En Decoracion Y Dibujo Arquitectonico (Academia Superior De Artes De Medellin) - ANT </t>
  </si>
  <si>
    <t>M.P 05405-00193</t>
  </si>
  <si>
    <t>GONZALEZ HERRERA MARTHA CECILIA</t>
  </si>
  <si>
    <t xml:space="preserve">CC 32483884 / Tecnico Profesional Intermedio En Dibujo Arquitectonico (Academia Superior De Artes De Medellin) - ANT </t>
  </si>
  <si>
    <t>M.P 05406-00225</t>
  </si>
  <si>
    <t xml:space="preserve">HENAO OCHOA LIBIA EUGENIA </t>
  </si>
  <si>
    <t xml:space="preserve">CC 32414415 / Delineante De Arquitectura (Colegio Mayor De Cultura Femenina De Antioquia) - ANT </t>
  </si>
  <si>
    <t>M.P 05432-00596</t>
  </si>
  <si>
    <t xml:space="preserve">HENAO ROJAS ROSANA </t>
  </si>
  <si>
    <t xml:space="preserve">CC 32320407 / Tecnico Profesional En Diseño Y Decoracion De Espacios Arquitectonicos (Academia Superior De Artes De Medellin) - ANT </t>
  </si>
  <si>
    <t>M.P 05405-00216</t>
  </si>
  <si>
    <t>HOLGUIN CUERVO MARTHA CECILIA</t>
  </si>
  <si>
    <t xml:space="preserve">CC 32406405 / Dibujante De Arquitectura (Academia Superior De Artes) - ANT </t>
  </si>
  <si>
    <t>M.P 05405-00211</t>
  </si>
  <si>
    <t xml:space="preserve">JARAMILLO GIRALDO LUZ AMPARO </t>
  </si>
  <si>
    <t xml:space="preserve">CC 42865790 / Tecnico Profesional Intermedio En Dibujo Arquitectonico (Academia Superior De Artes De Medellin) - ANT </t>
  </si>
  <si>
    <t>M.P 05405-00192</t>
  </si>
  <si>
    <t xml:space="preserve">JARAMILLO PEREZ MARIA CECILIA </t>
  </si>
  <si>
    <t xml:space="preserve">CC 32446409 / Decoradora Y Delineante De Arquitectura (Academia Superior De Artes) - ANT </t>
  </si>
  <si>
    <t>M.P 05405-00168</t>
  </si>
  <si>
    <t>JARAMILLO VELASQUEZ PIEDAD DEL SOCORRO</t>
  </si>
  <si>
    <t xml:space="preserve">CC 32463466 / Decoradora Y Delineante De Arquitectura (Academia Superior De Artes) - ANT </t>
  </si>
  <si>
    <t>M.P 05405-00186</t>
  </si>
  <si>
    <t xml:space="preserve">LONDOÑO VALLEJO ELVIA ELENA </t>
  </si>
  <si>
    <t xml:space="preserve">CC 43020929 / Tecnico Profesional Intermedio En Decoradora Y Delineante De Arquitectura (Academia Superior De Artes De Medellin) - ANT </t>
  </si>
  <si>
    <t>M.P 05421-00136</t>
  </si>
  <si>
    <t xml:space="preserve">MARTINEZ RESTREPO OLGA LUCIA </t>
  </si>
  <si>
    <t xml:space="preserve">CC 42880217 / Tecnico Profesional Intermedio En Decoradora Y Delineante De Arquitectura (Academia Superior De Artes De Medellin) - ANT </t>
  </si>
  <si>
    <t>M.P 05432-00502</t>
  </si>
  <si>
    <t xml:space="preserve">PANIAGUA POSADA SANDRA INES </t>
  </si>
  <si>
    <t xml:space="preserve">CC 43734136 / Tecnico Profesional En Diseño Y Decoracion De Espacios Arquitectonicos (Academia Superior De Artes De Medellin) - ANT </t>
  </si>
  <si>
    <t>M.P 00000-00209</t>
  </si>
  <si>
    <t xml:space="preserve">MEJIA ARANGO FELIX </t>
  </si>
  <si>
    <t xml:space="preserve">CC 830055 / Arquitecto (Sin Titulo) (Practica) - ANT </t>
  </si>
  <si>
    <t>M.P 05815-01076</t>
  </si>
  <si>
    <t>MEJIA MUÑOZ CLAUDIA PATRICIA</t>
  </si>
  <si>
    <t xml:space="preserve">CC 43105937 / Tecnico Profesional En Delineante Constructor (Corporacion Academia Superior De Artes De Medellin) - ANT </t>
  </si>
  <si>
    <t>M.P 05809-01077</t>
  </si>
  <si>
    <t>NADER SOTOMAYOR YANETH ESTRELLA</t>
  </si>
  <si>
    <t xml:space="preserve">CC 39269915 / Tecnico Profesional Delineante De Arquitectura E Ingenieria (Academia Superior De Artes De Medellin) - ANT </t>
  </si>
  <si>
    <t>M.P 05405-00194</t>
  </si>
  <si>
    <t xml:space="preserve">MEJIA PINEDA MARTHA NELLY </t>
  </si>
  <si>
    <t xml:space="preserve">CC 42988381 / Tecnico Profesional Intermedio En Decoracion Y Dibujo Arquitectonico (Academia Superior De Artes De Medellin) - ANT </t>
  </si>
  <si>
    <t>M.P 05405-00214</t>
  </si>
  <si>
    <t>MONTOYA MONTOYA MARIA INES DEL SOCORRO</t>
  </si>
  <si>
    <t xml:space="preserve">CC 32463465 / Decoradora Y Delineante De Arquitectura (Academia Superior De Artes) - ANT </t>
  </si>
  <si>
    <t>M.P 05430-00802</t>
  </si>
  <si>
    <t xml:space="preserve">NANCLARES GOMEZ JULIA ROSA </t>
  </si>
  <si>
    <t xml:space="preserve">CC 32419664 / Tecnico Profesional Intermedio En Dibujo Arquitectonico (Academia Superior De Artes De Medellin) - ANT </t>
  </si>
  <si>
    <t>M.P 05405-00167</t>
  </si>
  <si>
    <t xml:space="preserve">OSORNO QUINTERO MARIA GLORIA </t>
  </si>
  <si>
    <t xml:space="preserve">CC 32478583 / Tecnico Profesional Intermedio En Dibujo Arquitectonico (Academia Superior De Artes De Medellin) - ANT </t>
  </si>
  <si>
    <t>M.P 05470-00890</t>
  </si>
  <si>
    <t>PALACIO LEMOS VICTORIA EUGENIA</t>
  </si>
  <si>
    <t xml:space="preserve">CC 42874884 / Tecnico Profesional Intermedio En Decoradora Y Delineante De Arquitectura (Academia Superior De Artes De Medellin) - ANT </t>
  </si>
  <si>
    <t>M.P 05419-00135</t>
  </si>
  <si>
    <t>PALACIO PALACIO HILDA PATRICIA DE LA ESPERANZA</t>
  </si>
  <si>
    <t xml:space="preserve">CC 42880218 / Tecnico Profesional Intermedio En Decoradora Y Delineante De Arquitectura (Academia Superior De Artes De Medellin) - ANT </t>
  </si>
  <si>
    <t>M.P 05809-001131</t>
  </si>
  <si>
    <t>PATIÑO ARANGO SIRLEY CRISTINA</t>
  </si>
  <si>
    <t xml:space="preserve">CC 42777508 / Tecnico Profesional En Delineante De Arquitectura E Ingenieria (Academia Superior De Artes De Medellin) - ANT </t>
  </si>
  <si>
    <t>M.P 05405-00218</t>
  </si>
  <si>
    <t xml:space="preserve">PEREZ BAENA MARTA ELENA </t>
  </si>
  <si>
    <t xml:space="preserve">CC 32516081 / Decoradora Y Delineante De Arquitectura (Academia Superior De Artes) - ANT </t>
  </si>
  <si>
    <t>M.P 05405-00202</t>
  </si>
  <si>
    <t xml:space="preserve">PEREZ MONTOYA ADRIANA MARIA </t>
  </si>
  <si>
    <t xml:space="preserve">CC 45455111 / Tecnico Profesional En Arte Y Decoracion Arquitectonica (Academia Superior De Artes De Medellin) - ANT </t>
  </si>
  <si>
    <t>M.P 05405-00207</t>
  </si>
  <si>
    <t>PUERTA AGUDELO GILMA DEL SOCORRO</t>
  </si>
  <si>
    <t xml:space="preserve">CC 21574549 / Tecnico Profesional Intermedio En Decoracion Y Dibujo Arquitectonico (Academia Superior De Artes De Medellin) - ANT </t>
  </si>
  <si>
    <t>M.P 05414-00440</t>
  </si>
  <si>
    <t xml:space="preserve">RAMIREZ CANO LUZ MARINA </t>
  </si>
  <si>
    <t xml:space="preserve">CC 42751191 / Decoradora Y Delineante De Arquitectura (Academia Superior De Artes) - ANT </t>
  </si>
  <si>
    <t>M.P 05405-00213</t>
  </si>
  <si>
    <t>RAMIREZ CHALARCA MARIA ESPERANZA</t>
  </si>
  <si>
    <t xml:space="preserve">CC 24954647 / Decoradora Y Delineante De Arquitectura (Academia Superior De Artes) - ANT </t>
  </si>
  <si>
    <t>M.P 05804-001205</t>
  </si>
  <si>
    <t xml:space="preserve">RAMIREZ CONDE MAGDA JIMENA </t>
  </si>
  <si>
    <t xml:space="preserve">CC 43734742 / Tecnologo Delineante De Arquitectura E Ingenieria (Colegio Mayor De Antioquia) - ANT </t>
  </si>
  <si>
    <t>M.P 05408-00584</t>
  </si>
  <si>
    <t xml:space="preserve">RAMIREZ DE MONTES ROSA AMPARO </t>
  </si>
  <si>
    <t xml:space="preserve">CC 24705666 / Dibujante De Arquitectura (Academia Superior De Artes) - ANT </t>
  </si>
  <si>
    <t>M.P 05444-00705</t>
  </si>
  <si>
    <t xml:space="preserve">RESTREPO ESCOBAR SILVIA ELENA </t>
  </si>
  <si>
    <t xml:space="preserve">CC 43042965 / Tecnico Profesional Intermedio En Decoracion Y Dibujo Arquitectonico (Academia Superior De Artes De Medellin) - ANT </t>
  </si>
  <si>
    <t>M.P 05405-00138</t>
  </si>
  <si>
    <t xml:space="preserve">RUIZ GIRALDO MARIA ELENA </t>
  </si>
  <si>
    <t xml:space="preserve">CC 21266306 / Delineante De Arquitectura (Colegio Mayor De Cultura Femenina De Antioquia) - ANT </t>
  </si>
  <si>
    <t>M.P 05405-00137</t>
  </si>
  <si>
    <t xml:space="preserve">RUIZ GIRALDO CARMENZA </t>
  </si>
  <si>
    <t xml:space="preserve">CC 21341720 / Delineante De Arquitectura (Colegio Mayor De Cultura Femenina De Antioquia) - ANT </t>
  </si>
  <si>
    <t>M.P 05813-01082</t>
  </si>
  <si>
    <t xml:space="preserve">SANTA MEJIA LUZ ELENA </t>
  </si>
  <si>
    <t xml:space="preserve">CC 43006749 / Tecnico Profesional Intermedio En Delineante De Arquitectura E Ingenieria (Academia Superior De Artes De Medellin) - ANT </t>
  </si>
  <si>
    <t>M.P 05414-00438</t>
  </si>
  <si>
    <t>SIERRA RODRIGUEZ CONSUELO DE LA CRUZ</t>
  </si>
  <si>
    <t xml:space="preserve">CC 42871098 / Decoradora Y Delineante De Arquitectura (Academia Superior De Artes De Medellin) - ANT </t>
  </si>
  <si>
    <t>M.P 05430-00821</t>
  </si>
  <si>
    <t>TOBON ARANGO BLANCA EUGENIA</t>
  </si>
  <si>
    <t xml:space="preserve">CC 42870351 / Tecnico Profesional Intermedio En Dibujo Arquitectonico (Academia Superior De Artes De Medellin) - ANT </t>
  </si>
  <si>
    <t>M.P 05803-01035</t>
  </si>
  <si>
    <t xml:space="preserve">TOBON BUSTAMANTE ALEXANDER </t>
  </si>
  <si>
    <t xml:space="preserve">CC 71734145 / Tecnico Profesional En Delineante De Arquitectura E Ingenieria (Corporacion Academia Superior De Artes De Medellin) - ANT </t>
  </si>
  <si>
    <t>M.P 05433-00503</t>
  </si>
  <si>
    <t xml:space="preserve">TOLEDO DUGARTE JACQUELINE </t>
  </si>
  <si>
    <t xml:space="preserve">CC 43042412 / Tecnico Profesional En Arte Y Decoracion Arquitectonica (Academia Superior De Artes De Medellin) - ANT </t>
  </si>
  <si>
    <t>M.P 05405-00165</t>
  </si>
  <si>
    <t xml:space="preserve">TORO VALENCIA LUZ HELENA </t>
  </si>
  <si>
    <t xml:space="preserve">CC 21332747 / Licenciado En Dibujo Arquitectonico Y Decoracion (Corporacion Academia Superior De Artes) - ANT </t>
  </si>
  <si>
    <t>M.P 05444-00768</t>
  </si>
  <si>
    <t>TRIVIÑO JARAMILLO CLAUDIA CECILIA</t>
  </si>
  <si>
    <t xml:space="preserve">CC 42875281 / Tecnico Profesional Intermedio En Decoracion Y Dibujo Arquitectonico (Academia Superior De Artes De Medellin) - ANT </t>
  </si>
  <si>
    <t>M.P 05804-01050</t>
  </si>
  <si>
    <t xml:space="preserve">UMBACIA OLIVO JUAN CARLOS </t>
  </si>
  <si>
    <t xml:space="preserve">CC 18008875 / Tecnologo Delineante De Arquitectura E Ingenieria (Colegio Mayor De Antioquia) - ANT </t>
  </si>
  <si>
    <t>M.P 05405-00206</t>
  </si>
  <si>
    <t>URIBE CORREA BEATRIZ EUGENIA</t>
  </si>
  <si>
    <t xml:space="preserve">CC 42877553 / Tecnico Profesional Intermedio En Decoradora Y Delineante De Arquitectura (Academia Superior De Artes De Medellin) - ANT </t>
  </si>
  <si>
    <t>M.P 05405-00188</t>
  </si>
  <si>
    <t>VELEZ BETANCUR GLORIA CECILIA</t>
  </si>
  <si>
    <t xml:space="preserve">CC 32493554 / Decoradora Y Delineante De Arquitectura (Academia Superior De Artes) - ANT </t>
  </si>
  <si>
    <t>M.P 05405-00199</t>
  </si>
  <si>
    <t>VILLA VELASQUEZ BEATRIZ DEL SOCORRO</t>
  </si>
  <si>
    <t xml:space="preserve">CC 32400629 / Delineante De Arquitectura (Colegio Mayor De Cultura Femenina De Antioquia) - ANT </t>
  </si>
  <si>
    <t>M.P 05414-00435</t>
  </si>
  <si>
    <t xml:space="preserve">YEPES GIL MYRIAM ELENA </t>
  </si>
  <si>
    <t xml:space="preserve">CC 32489617 / Delineante De Arquitectura (Colegio Mayor De Antioquia) - ANT </t>
  </si>
  <si>
    <t>M.P 05405-00385</t>
  </si>
  <si>
    <t xml:space="preserve">ZAPATA NARANJO PIEDAD ROCIO </t>
  </si>
  <si>
    <t xml:space="preserve">CC 41488441 / Decoradora Y Delineante De Arquitectura (Academia Superior De Artes) - ANT </t>
  </si>
  <si>
    <t>M.P 05405-00181</t>
  </si>
  <si>
    <t xml:space="preserve">ZULUAGA AMAYA ANGELA MARIA </t>
  </si>
  <si>
    <t xml:space="preserve">CC 22068807 / Tecnico Profesional Intermedio En Dibujo Arquitectonico (Academia Superior De Artes De Medellin) - ANT </t>
  </si>
  <si>
    <t>M.P 05804-001281</t>
  </si>
  <si>
    <t>JARAMILLO VERGARA DIANA PATRICIA</t>
  </si>
  <si>
    <t xml:space="preserve">CC 43677288 / Tecnologo Delineante De Arquitectura E Ingenieria (Colegio Mayor De Antioquia) - ANT </t>
  </si>
  <si>
    <t>M.P 05804-001282</t>
  </si>
  <si>
    <t xml:space="preserve">VASQUEZ GIRALDO GLORIA ELENA </t>
  </si>
  <si>
    <t xml:space="preserve">CC 43810382 / Tecnologo Delineante De Arquitectura E Ingenieria (Colegio Mayor De Antioquia) - ANT </t>
  </si>
  <si>
    <t>M.P 05813-001276</t>
  </si>
  <si>
    <t>CARVAJAL ARISTIZABAL NANCY MARIA DE FATIMA</t>
  </si>
  <si>
    <t xml:space="preserve">CC 42875415 / Tecnico Profesional Intermedio En Delineante De Arquitectura E Ingenieria (Academia Superior De Artes De Medellin) - ANT </t>
  </si>
  <si>
    <t>M.P 05803-001278</t>
  </si>
  <si>
    <t xml:space="preserve">ZULUAGA QUINTERO MARIA EUGENIA </t>
  </si>
  <si>
    <t xml:space="preserve">CC 43040704 / Tecnico Profesional En Delineante De Arquitectura E Ingenieria (Academia Superior De Artes De Medellin) - ANT </t>
  </si>
  <si>
    <t>M.P 05803-001279</t>
  </si>
  <si>
    <t>ZULUAGA QUINTERO CLAUDIA PATRICIA</t>
  </si>
  <si>
    <t xml:space="preserve">CC 43612292 / Tecnico Profesional En Delineante De Arquitectura E Ingenieria (Corporacion Academia Superior De Artes De Medellin) - ANT </t>
  </si>
  <si>
    <t>M.P 05804-001280</t>
  </si>
  <si>
    <t xml:space="preserve">GOMEZ VALENZUELA ANGELA MARIA </t>
  </si>
  <si>
    <t xml:space="preserve">CC 42973897 / Tecnologo Delineante De Arquitectura E Ingenieria (Colegio Mayor De Antioquia) - ANT </t>
  </si>
  <si>
    <t>M.P 05803-001277</t>
  </si>
  <si>
    <t>RIOS OCHOA LILIANA PATRICIA</t>
  </si>
  <si>
    <t xml:space="preserve">CC 43809405 / Tecnico Profesional En Delineante De Arquitectura E Ingenieria (Corporacion Academia Superior De Artes De Medellin) - ANT </t>
  </si>
  <si>
    <t>M.P 05823-001352</t>
  </si>
  <si>
    <t xml:space="preserve">BAENA VALENCIA CECILIA </t>
  </si>
  <si>
    <t xml:space="preserve">CC 32349630 / Tecnico Profesional Intermedio En Delineante De Arquitectura E Ingenieria (Academia Superior De Artes De Medellin) - ANT </t>
  </si>
  <si>
    <t>M.P 05823-001355</t>
  </si>
  <si>
    <t xml:space="preserve">MONTAÑO GOMEZ ANGELA MARIA </t>
  </si>
  <si>
    <t xml:space="preserve">CC 42882738 / Tecnico Profesional Intermedio En Delineante De Arquitectura E Ingenieria (Academia Superior De Artes De Medellin) - ANT </t>
  </si>
  <si>
    <t>M.P 05803-001353</t>
  </si>
  <si>
    <t xml:space="preserve">FARACO VERA CARMEN </t>
  </si>
  <si>
    <t xml:space="preserve">CC 42879400 / Tecnico Profesional En Delineante De Arquitectura E Ingenieria (Academia Superior De Artes De Medellin) - ANT </t>
  </si>
  <si>
    <t>M.P 05803-001354</t>
  </si>
  <si>
    <t>HERNANDEZ ARTEAGA SONIA DEL SOCORRO</t>
  </si>
  <si>
    <t xml:space="preserve">CC 32518970 / Tecnico Profesional En Delineante De Arquitectura E Ingenieria (Academia Superior De Artes De Medellin) - ANT </t>
  </si>
  <si>
    <t>M.P 05808-001461</t>
  </si>
  <si>
    <t xml:space="preserve">OSPINA DUQUE ANGELA MARIA </t>
  </si>
  <si>
    <t xml:space="preserve">CC 42994200 / Delineante De Arquitectura E Ingenieria (Colegio Mayor De Cultura Femenina De Antioquia) - ANT </t>
  </si>
  <si>
    <t>M.P 05804-001459</t>
  </si>
  <si>
    <t>BUSTAMANTE HERRON DIANA CRISTINA</t>
  </si>
  <si>
    <t xml:space="preserve">CC 42890975 / Tecnologo Delineante De Arquitectura E Ingenieria (Colegio Mayor De Antioquia) - ANT </t>
  </si>
  <si>
    <t>M.P 05804-001460</t>
  </si>
  <si>
    <t xml:space="preserve">DUQUE ZULUAGA LUZ PATRICIA </t>
  </si>
  <si>
    <t xml:space="preserve">CC 42881746 / Tecnologo Delineante De Arquitectura E Ingenieria (Colegio Mayor De Antioquia) - ANT </t>
  </si>
  <si>
    <t>M.P 05808-001456</t>
  </si>
  <si>
    <t xml:space="preserve">ARISTIZABAL HENAO CARLOS MARIO </t>
  </si>
  <si>
    <t xml:space="preserve">CC 70121625 / Delineante De Arquitectura E Ingenieria (Instituto De Artes) - ANT </t>
  </si>
  <si>
    <t>M.P 05800-001462</t>
  </si>
  <si>
    <t xml:space="preserve">ROBLEDO PEREZ MARIA LUCIA </t>
  </si>
  <si>
    <t xml:space="preserve">CC 21394706 / Tecnologo En Delineante De Arquitectura E Ingenieria (Colegio Mayor De Antioquia) - ANT </t>
  </si>
  <si>
    <t>M.P 05803-001457</t>
  </si>
  <si>
    <t xml:space="preserve">VIANA MARTINEZ LUZ DEISY </t>
  </si>
  <si>
    <t xml:space="preserve">CC 42675421 / Tecnico Profesional En Delineante De Arquitectura E Ingenieria (Corporacion Educativa Instituto Tecnico Superior De Artes) - ANT </t>
  </si>
  <si>
    <t>M.P 05803-001458</t>
  </si>
  <si>
    <t xml:space="preserve">ARRUBLA YANGUAS DORIS ELENA </t>
  </si>
  <si>
    <t xml:space="preserve">CC 42772619 / Tecnico Profesional En Delineante De Arquitectura E Ingenieria (Corporacion Educativa Instituto Tecnico Superior De Artes) - ANT </t>
  </si>
  <si>
    <t>M.P 05809-001515</t>
  </si>
  <si>
    <t xml:space="preserve">ALVAREZ BERMUDEZ SILVIA ELENA </t>
  </si>
  <si>
    <t xml:space="preserve">CC 42893300 / Tecnico Profesional En Delineante De Arquitectura E Ingenieria (Corporacion Academia Superior De Artes De Medellin) - ANT </t>
  </si>
  <si>
    <t>M.P 05804-001658</t>
  </si>
  <si>
    <t xml:space="preserve">QUINTERO POSADA GLORIA MARIA </t>
  </si>
  <si>
    <t xml:space="preserve">CC 42996645 / Tecnologo Delineante De Arquitectura E Ingenieria (Colegio Mayor De Antioquia) - ANT </t>
  </si>
  <si>
    <t>M.P 05804-001657</t>
  </si>
  <si>
    <t xml:space="preserve">LONDOÑO BEDOYA LUIS ALBERTO </t>
  </si>
  <si>
    <t xml:space="preserve">CC 71775589 / Tecnologo Delineante De Arquitectura E Ingenieria (Colegio Mayor De Antioquia) - ANT </t>
  </si>
  <si>
    <t>M.P 05823-001656</t>
  </si>
  <si>
    <t xml:space="preserve">MESA DELGADO ADRIANA MARIA </t>
  </si>
  <si>
    <t xml:space="preserve">CC 42887784 / Tecnico Profesional Intermedio En Delineante De Arquitectura E Ingenieria (Academia Superior De Artes De Medellin) - ANT </t>
  </si>
  <si>
    <t>M.P 05804-001922</t>
  </si>
  <si>
    <t xml:space="preserve">ARBOLEDA GARCIA LORENA </t>
  </si>
  <si>
    <t xml:space="preserve">CC 32205031 / Tecnologo Delineante De Arquitectura E Ingenieria (Colegio Mayor De Antioquia) - ANT </t>
  </si>
  <si>
    <t>M.P 05804-001923</t>
  </si>
  <si>
    <t>VASQUEZ FRANCO LUISA FERNANDA</t>
  </si>
  <si>
    <t xml:space="preserve">CC 43220546 / Tecnologo Delineante De Arquitectura E Ingenieria (Colegio Mayor De Antioquia) - ANT </t>
  </si>
  <si>
    <t>M.P 05804-003219</t>
  </si>
  <si>
    <t xml:space="preserve">PEREZ AGUSTIN EMERSON </t>
  </si>
  <si>
    <t xml:space="preserve">CC 98615420 / Tecnologo Delineante De Arquitectura E Ingenieria (Colegio Mayor De Antioquia) - ANT </t>
  </si>
  <si>
    <t>M.P 05804-003220</t>
  </si>
  <si>
    <t xml:space="preserve">PALACIO BETANCUR JOHN JAIRO </t>
  </si>
  <si>
    <t xml:space="preserve">CC 71673159 / Tecnologo Delineante De Arquitectura E Ingenieria (Colegio Mayor De Antioquia) - ANT </t>
  </si>
  <si>
    <t>M.P 05438-003921</t>
  </si>
  <si>
    <t>VELEZ MORALES MARIA CRISTINA</t>
  </si>
  <si>
    <t xml:space="preserve">CC 43079687 / Tecnico Profesional Intermedio Delineante De Arquitectura E Ingenieria (Corporacion Educativa Instituto Tecnico Superior De Artes) - ANT </t>
  </si>
  <si>
    <t>M.P 05804-003382</t>
  </si>
  <si>
    <t xml:space="preserve">PEREZ SALAZAR JHONY ALVEIRO </t>
  </si>
  <si>
    <t xml:space="preserve">CC 98625378 / Tecnologo Delineante De Arquitectura E Ingenieria (Colegio Mayor De Antioquia) - ANT </t>
  </si>
  <si>
    <t>M.P 05808-003924</t>
  </si>
  <si>
    <t xml:space="preserve">VELEZ MORALES MATILDE </t>
  </si>
  <si>
    <t xml:space="preserve">CC 42989585 / Delineante De Arquitectura E Ingenieria (Instituto De Artes) - ANT </t>
  </si>
  <si>
    <t>M.P 05800-004303</t>
  </si>
  <si>
    <t xml:space="preserve">SANCHEZ POSADA ANA MARIA </t>
  </si>
  <si>
    <t xml:space="preserve">CC 43978539 / Tecnologo En Delineantes De Arquitectura E Ingenieria (Institucion Universitaria Colegio Mayor De Antioquia) - ANT </t>
  </si>
  <si>
    <t>M.P 05800-004600</t>
  </si>
  <si>
    <t>ORTEGA RICO SILVIA CAROLINA</t>
  </si>
  <si>
    <t xml:space="preserve">CC 43704721 / Tecnologo En Delineantes De Arquitectura E Ingenieria (Institucion Universitaria Colegio Mayor De Antioquia) - ANT </t>
  </si>
  <si>
    <t>M.P 05406-007043</t>
  </si>
  <si>
    <t>MAYA OSPINA CARLOS EDUARDO</t>
  </si>
  <si>
    <t xml:space="preserve">CC 71765791 / Tecnologo Delineante De Arquitectura E Ingenieria (Colegio Mayor De Antioquia) - ANT </t>
  </si>
  <si>
    <t>M.P 05813-004601</t>
  </si>
  <si>
    <t xml:space="preserve">GALEANO RODRIGUEZ JOHN FREYDER </t>
  </si>
  <si>
    <t xml:space="preserve">CC 71643470 / Tecnico Profesional Intermedio En Delineante De Arquitectura E Ingenieria (Corporacion Academia Superior De Artes) - ANT </t>
  </si>
  <si>
    <t>M.P 05431-007387</t>
  </si>
  <si>
    <t xml:space="preserve">RIVAS TOBON CARLOS MARIO </t>
  </si>
  <si>
    <t xml:space="preserve">CC 71644073 / Tecnico Profesional En Delineante De Arquitectura E Ingenieria (Academia Superior De Artes De Medellin) - ANT </t>
  </si>
  <si>
    <t>M.P 05431-007521</t>
  </si>
  <si>
    <t xml:space="preserve">ORTIZ ESTRADA GABRIEL JAIME </t>
  </si>
  <si>
    <t xml:space="preserve">CC 71615395 / Tecnico Profesional En Delineante De Arquitectura E Ingenieria (Corporacion Educativa Instituto Tecnico Superior De Artes) - ANT </t>
  </si>
  <si>
    <t>M.P 05438-007523</t>
  </si>
  <si>
    <t xml:space="preserve">SANCHEZ VILLEGAS LUZ VICTORIA </t>
  </si>
  <si>
    <t xml:space="preserve">CC 43089922 / Tecnico Profesional Intermedio En Delineante De Arquitectura E Ingenieria (Academia Superior De Artes De Medellin) - ANT </t>
  </si>
  <si>
    <t>M.P 05406-007526</t>
  </si>
  <si>
    <t xml:space="preserve">HOYOS RESTREPO CARLOS ARTURO </t>
  </si>
  <si>
    <t xml:space="preserve">CC 71790304 / Tecnologo Delineante De Arquitectura E Ingenieria (Colegio Mayor De Antioquia) - ANT </t>
  </si>
  <si>
    <t>M.P 05431-007647</t>
  </si>
  <si>
    <t xml:space="preserve">NARVAEZ BETANCUR LINA MARCELA </t>
  </si>
  <si>
    <t xml:space="preserve">CC 43104971 / Tecnico Profesional En Delineante De Arquitectura E Ingenieria (Corporacion Academia Superior De Artes De Medellin) - ANT </t>
  </si>
  <si>
    <t>M.P 05803-007649</t>
  </si>
  <si>
    <t xml:space="preserve">POSADA HERRERA BEATRIZ ELENA </t>
  </si>
  <si>
    <t xml:space="preserve">CC 43523176 / Tecnico Profesional En Delineante De Arquitectura E Ingenieria (Academia Superior De Artes De Medellin) - ANT </t>
  </si>
  <si>
    <t>M.P 05405-00001</t>
  </si>
  <si>
    <t xml:space="preserve">NIETO ARANGO JAVIER ALONSO </t>
  </si>
  <si>
    <t xml:space="preserve">CC 98571633 / Tecnico Profesional En Delineante De Arquitectura E Ingenieria (Academia Superior De Artes De Medellin) - ANT </t>
  </si>
  <si>
    <t>M.P 05405-00143</t>
  </si>
  <si>
    <t xml:space="preserve">ROLDAN ROLDAN LUZ MARINA </t>
  </si>
  <si>
    <t xml:space="preserve">CC 32522580 / Delineante De Arquitectura E Ingenieria (Instituto De Artes) - ANT </t>
  </si>
  <si>
    <t>M.P 05405-00090</t>
  </si>
  <si>
    <t xml:space="preserve">VELEZ VASQUEZ LUZ MARINA </t>
  </si>
  <si>
    <t xml:space="preserve">CC 42989818 / Delineante De Arquitectura E Ingenieria (Instituto De Artes) - ANT </t>
  </si>
  <si>
    <t>M.P 05405-00107</t>
  </si>
  <si>
    <t>ARANGO DIAZ GLORIA PATRICIA</t>
  </si>
  <si>
    <t xml:space="preserve">CC 43034614 / Tecnico Profesional Intermedio En Delineante De Arquitectura E Ingenieria (Academia Superior De Artes De Medellin) - ANT </t>
  </si>
  <si>
    <t>M.P 05405-00108</t>
  </si>
  <si>
    <t xml:space="preserve">ESCOBAR ARANGO LILIANA MARIA DE LA CHINCA </t>
  </si>
  <si>
    <t xml:space="preserve">CC 43064206 / Tecnico Profesional En Delineante De Arquitectura E Ingenieria (Academia Superior De Artes De Medellin) - ANT </t>
  </si>
  <si>
    <t>M.P 05406-00110</t>
  </si>
  <si>
    <t xml:space="preserve">VALLEJO HERRERA MARIA GISELA </t>
  </si>
  <si>
    <t xml:space="preserve">CC 43504867 / Tecnico Profesional En Delineante De Arquitectura E Ingenieria (Academia Superior De Artes De Medellin) - ANT </t>
  </si>
  <si>
    <t>M.P 05405-00141</t>
  </si>
  <si>
    <t>BARRIOS OROZCO PATRICIA DEL ROSARIO</t>
  </si>
  <si>
    <t xml:space="preserve">CC 43001912 / Tecnico Profesional En Delineante De Arquitectura E Ingenieria (Academia Superior De Artes De Medellin) - ANT </t>
  </si>
  <si>
    <t>M.P 05405-00142</t>
  </si>
  <si>
    <t xml:space="preserve">VILLA VILLA SALVADOR </t>
  </si>
  <si>
    <t xml:space="preserve">CC 71642912 / Tecnico Profesional En Delineante De Arquitectura E Ingenieria (Academia Superior De Artes De Medellin) - ANT </t>
  </si>
  <si>
    <t>M.P 05405-00140</t>
  </si>
  <si>
    <t>CORREA ULLOA BIBIANA DE LOS DOLORES</t>
  </si>
  <si>
    <t xml:space="preserve">CC 43054637 / Tecnico Profesional Intermedio En Delineante De Arquitectura E Ingenieria (Academia Superior De Artes De Medellin) - ANT </t>
  </si>
  <si>
    <t>M.P 05406-00162</t>
  </si>
  <si>
    <t>MEJIA CORTES GLADYS BEATRIZ</t>
  </si>
  <si>
    <t xml:space="preserve">CC 43045755 / Tecnologo Delineante De Arquitectura E Ingenieria (Colegio Mayor De Antioquia) - ANT </t>
  </si>
  <si>
    <t>M.P 05405-00166</t>
  </si>
  <si>
    <t>OCHOA CARDONA MARYORI DEL SOCORRO</t>
  </si>
  <si>
    <t xml:space="preserve">CC 21399257 / Tecnico Profesional Intermedio En Delineante De Arquitectura E Ingenieria (Academia Superior De Artes De Medellin) - ANT </t>
  </si>
  <si>
    <t>M.P 05405-00164</t>
  </si>
  <si>
    <t>HERNANDEZ CANO BEATRIZ ADRIANA</t>
  </si>
  <si>
    <t xml:space="preserve">CC 43078637 / Tecnico Profesional En Delineante De Arquitectura E Ingenieria (Academia Superior De Artes De Medellin) - ANT </t>
  </si>
  <si>
    <t>M.P 05405-00201</t>
  </si>
  <si>
    <t>MONTOYA SALINAS MARIA ROCIO DEL SOCORRO</t>
  </si>
  <si>
    <t xml:space="preserve">CC 32461002 / Delineante De Arquitectura E Ingenieria (Colegio Mayor De Cultura Femenina De Antioquia) - ANT </t>
  </si>
  <si>
    <t>M.P 05405-00198</t>
  </si>
  <si>
    <t xml:space="preserve">CARMONA BERNAL LUIS FERNANDO </t>
  </si>
  <si>
    <t xml:space="preserve">CC 15376178 / Delineante De Arquitectura E Ingenieria (Instituto De Artes) - ANT </t>
  </si>
  <si>
    <t>M.P 05405-00195</t>
  </si>
  <si>
    <t xml:space="preserve">RESTREPO GOMEZ OLGA CECILIA </t>
  </si>
  <si>
    <t xml:space="preserve">CC 43055314 / Tecnico Profesional En Delineante De Arquitectura E Ingenieria (Academia Superior De Artes De Medellin) - ANT </t>
  </si>
  <si>
    <t>M.P 05405-00196</t>
  </si>
  <si>
    <t>PUENTE GOMEZ SERGIO ALBERTO</t>
  </si>
  <si>
    <t xml:space="preserve">CC 98543465 / Tecnico Profesional En Delineante De Arquitectura E Ingenieria (Academia Superior De Artes De Medellin) - ANT </t>
  </si>
  <si>
    <t>M.P 05405-00197</t>
  </si>
  <si>
    <t xml:space="preserve">ZAPATA ARANGO ANA MARIA </t>
  </si>
  <si>
    <t xml:space="preserve">CC 42876178 / Tecnico Profesional Intermedio Delineante De Arquitectura E Ingenieria (Corporacion Educativa Instituto Tecnico Superior De Artes) - ANT </t>
  </si>
  <si>
    <t>M.P 05405-00189</t>
  </si>
  <si>
    <t xml:space="preserve">RAMIREZ PINTO GLORIA ELENA </t>
  </si>
  <si>
    <t xml:space="preserve">CC 42770973 / Tecnico Profesional En Delineante De Arquitectura E Ingenieria (Academia Superior De Artes De Medellin) - ANT </t>
  </si>
  <si>
    <t>M.P 05405-00191</t>
  </si>
  <si>
    <t xml:space="preserve">OROZCO GOMEZ LUZ ADRIANA </t>
  </si>
  <si>
    <t xml:space="preserve">CC 43083603 / Tecnico Profesional En Delineante De Arquitectura E Ingenieria (Academia Superior De Artes De Medellin) - ANT </t>
  </si>
  <si>
    <t>M.P 05405-00187</t>
  </si>
  <si>
    <t xml:space="preserve">CANO CARDONA GABRIELA </t>
  </si>
  <si>
    <t xml:space="preserve">CC 21686424 / Tecnico Profesional Intermedio En Delineante De Arquitectura E Ingenieria (Academia Superior De Artes De Medellin) - ANT </t>
  </si>
  <si>
    <t>M.P 05405-00183</t>
  </si>
  <si>
    <t xml:space="preserve">SALAZAR VELASQUEZ CLAUDIA INES </t>
  </si>
  <si>
    <t xml:space="preserve">CC 43078263 / Tecnico Profesional En Delineante De Arquitectura E Ingenieria (Academia Superior De Artes De Medellin) - ANT </t>
  </si>
  <si>
    <t>M.P 05405-00184</t>
  </si>
  <si>
    <t xml:space="preserve">FERNANDEZ ARCILA CLAUDIA MARIA </t>
  </si>
  <si>
    <t xml:space="preserve">CC 42758040 / Tecnico Profesional Intermedio En Delineante De Arquitectura E Ingenieria (Academia Superior De Artes De Medellin) - ANT </t>
  </si>
  <si>
    <t>M.P 05405-00185</t>
  </si>
  <si>
    <t>MEJIA SALGADO DIANA ELIZABETH</t>
  </si>
  <si>
    <t xml:space="preserve">CC 43435604 / Tecnico Profesional En Delineante De Arquitectura E Ingenieria (Corporacion Educativa Instituto Tecnico Superior De Artes) - ANT </t>
  </si>
  <si>
    <t>M.P 05406-00226</t>
  </si>
  <si>
    <t xml:space="preserve">RESTREPO BUILES LINA MARIA </t>
  </si>
  <si>
    <t xml:space="preserve">CC 42897080 / Tecnologo Delineante De Arquitectura E Ingenieria (Colegio Mayor De Antioquia) - ANT </t>
  </si>
  <si>
    <t>M.P 05406-00227</t>
  </si>
  <si>
    <t xml:space="preserve">CARDENAS CARDENAS SANDRA ISABEL </t>
  </si>
  <si>
    <t xml:space="preserve">CC 42788614 / Tecnologo Delineante De Arquitectura E Ingenieria (Colegio Mayor De Antioquia) - ANT </t>
  </si>
  <si>
    <t>M.P 05406-00222</t>
  </si>
  <si>
    <t xml:space="preserve">PARRA RAMIREZ DORA INES </t>
  </si>
  <si>
    <t xml:space="preserve">CC 43529732 / Tecnologo Delineante De Arquitectura E Ingenieria (Colegio Mayor De Antioquia) - ANT </t>
  </si>
  <si>
    <t>M.P 05406-00223</t>
  </si>
  <si>
    <t>ROMERO BUITRAGO ISABEL CRISTINA</t>
  </si>
  <si>
    <t xml:space="preserve">CC 43550521 / Tecnologo Delineante De Arquitectura E Ingenieria (Colegio Mayor De Antioquia) - ANT </t>
  </si>
  <si>
    <t>M.P 05406-00224</t>
  </si>
  <si>
    <t xml:space="preserve">RESTREPO TOBON MARIA JOSE </t>
  </si>
  <si>
    <t xml:space="preserve">CC 32543705 / Tecnologo Delineante De Arquitectura E Ingenieria (Colegio Mayor De Antioquia) - ANT </t>
  </si>
  <si>
    <t>M.P 05405-00230</t>
  </si>
  <si>
    <t xml:space="preserve">GOMEZ MEJIA MARIA PIEDAD </t>
  </si>
  <si>
    <t xml:space="preserve">CC 43023238 / Tecnico Profesional Intermedio Delineante De Arquitectura E Ingenieria (Corporacion Educativa Instituto Tecnico Superior De Artes) - ANT </t>
  </si>
  <si>
    <t>M.P 05405-00231</t>
  </si>
  <si>
    <t xml:space="preserve">MESA MORENO MARTA LUZ </t>
  </si>
  <si>
    <t xml:space="preserve">CC 43728370 / Tecnico Profesional En Delineante De Arquitectura E Ingenieria (Corporacion Educativa Instituto Tecnico Superior De Artes) - ANT </t>
  </si>
  <si>
    <t>M.P 05406-00221</t>
  </si>
  <si>
    <t xml:space="preserve">OSPINA PEREZ DORA INES </t>
  </si>
  <si>
    <t xml:space="preserve">CC 21396603 / Tecnologo Delineante De Arquitectura E Ingenieria (Colegio Mayor De Antioquia) - ANT </t>
  </si>
  <si>
    <t>M.P 05405-00220</t>
  </si>
  <si>
    <t xml:space="preserve">ATEHORTUA MORALES RUTH MAGALI </t>
  </si>
  <si>
    <t xml:space="preserve">CC 42895818 / Tecnico Profesional En Delineante De Arquitectura E Ingenieria (Academia Superior De Artes De Medellin) - ANT </t>
  </si>
  <si>
    <t>M.P 05405-00228</t>
  </si>
  <si>
    <t xml:space="preserve">PEREZ GIL ALBA DIONNE </t>
  </si>
  <si>
    <t xml:space="preserve">CC 43017095 / Tecnico Profesional En Delineante De Arquitectura E Ingenieria (Corporacion Educativa Instituto Tecnico Superior De Artes) - ANT </t>
  </si>
  <si>
    <t>M.P 05405-00229</t>
  </si>
  <si>
    <t xml:space="preserve">CORREAL ARANGO JUAN CARLOS </t>
  </si>
  <si>
    <t xml:space="preserve">CC 70561718 / Tecnico Profesional Intermedio En Delineante De Arquitectura E Ingenieria (Corporacion Educativa Instituto Tecnico Superior De Artes) - ANT </t>
  </si>
  <si>
    <t>M.P 05405-00215</t>
  </si>
  <si>
    <t>PEREZ GIL MARIA JEANNETTE</t>
  </si>
  <si>
    <t xml:space="preserve">CC 32528416 / Tecnico Profesional Intermedio En Delineante De Arquitectura E Ingenieria (Academia Superior De Artes De Medellin) - ANT </t>
  </si>
  <si>
    <t>M.P 05405-00212</t>
  </si>
  <si>
    <t xml:space="preserve">GONZALEZ ARANGO LUZ MARINA </t>
  </si>
  <si>
    <t xml:space="preserve">CC 42682910 / Tecnico Profesional En Delineante De Arquitectura E Ingenieria (Academia Superior De Artes De Medellin) - ANT </t>
  </si>
  <si>
    <t>M.P 05405-00208</t>
  </si>
  <si>
    <t xml:space="preserve">ZAPATA OSPINA GLORIA MARIA </t>
  </si>
  <si>
    <t xml:space="preserve">CC 42885169 / Tecnico Profesional Intermedio En Delineante De Arquitectura E Ingenieria (Academia Superior De Artes De Medellin) - ANT </t>
  </si>
  <si>
    <t>M.P 05405-00209</t>
  </si>
  <si>
    <t xml:space="preserve">BENITEZ MARIN JOSE GABRIEL </t>
  </si>
  <si>
    <t xml:space="preserve">CC 3354091 / Tecnico Profesional Intermedio En Delineante De Arquitectura E Ingenieria (Academia Superior De Artes De Medellin) - ANT </t>
  </si>
  <si>
    <t>M.P 05405-00205</t>
  </si>
  <si>
    <t xml:space="preserve">CORREA ECHEVERRI BEATRIZ ELENA </t>
  </si>
  <si>
    <t xml:space="preserve">CC 39169117 / Tecnico Profesional En Delineante De Arquitectura E Ingenieria (Academia Superior De Artes De Medellin) - ANT </t>
  </si>
  <si>
    <t>M.P 05405-00203</t>
  </si>
  <si>
    <t>ECHAVARRIA BELTRAN ANA ISABEL DEL SOCORRO</t>
  </si>
  <si>
    <t xml:space="preserve">CC 43064785 / Tecnico Profesional Intermedio En Delineante De Arquitectura E Ingenieria (Academia Superior De Artes De Medellin) - ANT </t>
  </si>
  <si>
    <t>M.P 05405-00386</t>
  </si>
  <si>
    <t>SERPA CONTRERAS ROSARIO DEL SOCORRO</t>
  </si>
  <si>
    <t xml:space="preserve">CC 34976154 / Tecnico Profesional Intermedio En Delineante De Arquitectura E Ingenieria (Corporacion Educativa Instituto Tecnico Superior De Artes) - ANT </t>
  </si>
  <si>
    <t>M.P 05405-00390</t>
  </si>
  <si>
    <t xml:space="preserve">RESTREPO MESA JULIAN </t>
  </si>
  <si>
    <t xml:space="preserve">CC 70128535 / Tecnico Profesional En Delineante De Arquitectura E Ingenieria (Corporacion Educativa Instituto Tecnico Superior De Artes) - ANT </t>
  </si>
  <si>
    <t>M.P 05405-00391</t>
  </si>
  <si>
    <t xml:space="preserve">BARRERA GALEANO PIEDAD OTILIA </t>
  </si>
  <si>
    <t xml:space="preserve">CC 43042039 / Tecnico Profesional En Delineante De Arquitectura E Ingenieria (Corporacion Educativa Instituto Tecnico Superior De Artes) - ANT </t>
  </si>
  <si>
    <t>M.P 05405-00389</t>
  </si>
  <si>
    <t xml:space="preserve">GARCIA BETANCUR CLARA INES </t>
  </si>
  <si>
    <t xml:space="preserve">CC 42875152 / Tecnico Profesional En Delineante De Arquitectura E Ingenieria (Corporacion Educativa Instituto Tecnico Superior De Artes) - ANT </t>
  </si>
  <si>
    <t>M.P 05405-00399</t>
  </si>
  <si>
    <t>URIBE MIRA CLAUDIA ANA MARIA</t>
  </si>
  <si>
    <t xml:space="preserve">CC 32323454 / Tecnico Profesional En Delineante De Arquitectura E Ingenieria (Corporacion Educativa Instituto Tecnico Superior De Artes) - ANT </t>
  </si>
  <si>
    <t>M.P 05405-00400</t>
  </si>
  <si>
    <t>FLOREZ PIEDRAHITA MARGARITA MARIA</t>
  </si>
  <si>
    <t xml:space="preserve">CC 43052195 / Tecnico Profesional En Delineante De Arquitectura E Ingenieria (Corporacion Educativa Instituto Tecnico Superior De Artes) - ANT </t>
  </si>
  <si>
    <t>M.P 05405-00395</t>
  </si>
  <si>
    <t xml:space="preserve">PEREZ JARAMILLO HENRY ALONSO </t>
  </si>
  <si>
    <t xml:space="preserve">CC 71691636 / Tecnico Profesional En Delineante De Arquitectura E Ingenieria (Academia Superior De Artes De Medellin) - ANT </t>
  </si>
  <si>
    <t>M.P 05405-00397</t>
  </si>
  <si>
    <t xml:space="preserve">LOPEZ ORTIZ LUZ MARINA </t>
  </si>
  <si>
    <t xml:space="preserve">CC 42968369 / Tecnico Profesional En Delineante De Arquitectura E Ingenieria (Academia Superior De Artes De Medellin) - ANT </t>
  </si>
  <si>
    <t>M.P 05405-00398</t>
  </si>
  <si>
    <t xml:space="preserve">AMADOR RODRIGUEZ MONICA ESTELA </t>
  </si>
  <si>
    <t xml:space="preserve">CC 43074677 / Tecnico Profesional En Delineante De Arquitectura E Ingenieria (Corporacion Educativa Instituto Tecnico Superior De Artes) - ANT </t>
  </si>
  <si>
    <t>M.P 05405-00393</t>
  </si>
  <si>
    <t>CORREA COLORADO GERARDO WILSON</t>
  </si>
  <si>
    <t xml:space="preserve">CC 71692977 / Tecnico Profesional En Delineante De Arquitectura E Ingenieria (Academia Superior De Artes De Medellin) - ANT </t>
  </si>
  <si>
    <t>M.P 05405-00394</t>
  </si>
  <si>
    <t>JURADO ZAPATA GLORIA PATRICIA</t>
  </si>
  <si>
    <t xml:space="preserve">CC 43061125 / Tecnico Profesional Intermedio En Delineante De Arquitectura E Ingenieria (Academia Superior De Artes De Medellin) - ANT </t>
  </si>
  <si>
    <t>M.P 05406-00436</t>
  </si>
  <si>
    <t xml:space="preserve">CATAÑO SANCHEZ VITALIA </t>
  </si>
  <si>
    <t xml:space="preserve">CC 43074031 / Tecnologo Delineante De Arquitectura E Ingenieria (Colegio Mayor De Antioquia) - ANT </t>
  </si>
  <si>
    <t>M.P 05405-00433</t>
  </si>
  <si>
    <t>ARBOLEDA ALZATE MARGARITA MARIA</t>
  </si>
  <si>
    <t xml:space="preserve">CC 43563214 / Tecnico Profesional En Delineante De Arquitectura E Ingenieria (Academia Superior De Artes De Medellin) - ANT </t>
  </si>
  <si>
    <t>M.P 05405-00434</t>
  </si>
  <si>
    <t xml:space="preserve">ERAZO CARRASQUILLA YESID ALBERTO </t>
  </si>
  <si>
    <t xml:space="preserve">CC 71653627 / Tecnico Profesional En Delineante De Arquitectura E Ingenieria (Academia Superior De Artes De Medellin) - ANT </t>
  </si>
  <si>
    <t>M.P 05405-00437</t>
  </si>
  <si>
    <t>VASQUEZ MESA NORA DEL SOCORRO</t>
  </si>
  <si>
    <t xml:space="preserve">CC 32472493 / Delineante De Arquitectura E Ingenieria (Instituto De Artes) - ANT </t>
  </si>
  <si>
    <t>M.P 05405-00432</t>
  </si>
  <si>
    <t xml:space="preserve">LOPEZ ORTIZ BERTHA LIGIA </t>
  </si>
  <si>
    <t xml:space="preserve">CC 42821441 / Tecnico Profesional Intermedio En Delineante De Arquitectura E Ingenieria (Academia Superior De Artes De Medellin) - ANT </t>
  </si>
  <si>
    <t>M.P 05406-00449</t>
  </si>
  <si>
    <t xml:space="preserve">MUÑOZ RIOS OLGA LUCIA </t>
  </si>
  <si>
    <t xml:space="preserve">CC 42788776 / Tecnologo Delineante De Arquitectura E Ingenieria (Colegio Mayor De Antioquia) - ANT </t>
  </si>
  <si>
    <t>M.P 05406-00450</t>
  </si>
  <si>
    <t xml:space="preserve">ALVAREZ MARIN SANDRA MARIA </t>
  </si>
  <si>
    <t xml:space="preserve">CC 43498061 / Tecnologo Delineante De Arquitectura E Ingenieria (Colegio Mayor De Antioquia) - ANT </t>
  </si>
  <si>
    <t>M.P 05406-00446</t>
  </si>
  <si>
    <t xml:space="preserve">CALLE GARZON BELINDA </t>
  </si>
  <si>
    <t xml:space="preserve">CC 43072912 / Tecnologo Delineante De Arquitectura E Ingenieria (Colegio Mayor De Antioquia) - ANT </t>
  </si>
  <si>
    <t>M.P 05406-00447</t>
  </si>
  <si>
    <t>LOAIZA HENAO GLORIA CECILIA</t>
  </si>
  <si>
    <t xml:space="preserve">CC 42983405 / Tecnologo Delineante De Arquitectura E Ingenieria (Colegio Mayor De Antioquia) - ANT </t>
  </si>
  <si>
    <t>M.P 05406-00448</t>
  </si>
  <si>
    <t xml:space="preserve">CUARTAS MUÑOZ GLORIA INES </t>
  </si>
  <si>
    <t xml:space="preserve">CC 43083062 / Tecnologo Delineante De Arquitectura E Ingenieria (Colegio Mayor De Antioquia) - ANT </t>
  </si>
  <si>
    <t>M.P 05405-00454</t>
  </si>
  <si>
    <t xml:space="preserve">HENAO ECHAVARRIA LUIS ALBERTO </t>
  </si>
  <si>
    <t xml:space="preserve">CC 3348711 / Delineante De Arquitectura E Ingenieria (Instituto De Artes) - ANT </t>
  </si>
  <si>
    <t>M.P 05406-00444</t>
  </si>
  <si>
    <t xml:space="preserve">ROMERO CARRILLO ADRIANA MARIA </t>
  </si>
  <si>
    <t xml:space="preserve">CC 43007670 / Tecnologo Delineante De Arquitectura E Ingenieria (Colegio Mayor De Antioquia) - ANT </t>
  </si>
  <si>
    <t>M.P 05406-00445</t>
  </si>
  <si>
    <t xml:space="preserve">SALAZAR HENAO ASTRID HELENA </t>
  </si>
  <si>
    <t xml:space="preserve">CC 43063138 / Tecnologo Delineante De Arquitectura E Ingenieria (Colegio Mayor De Antioquia) - ANT </t>
  </si>
  <si>
    <t>M.P 05405-00451</t>
  </si>
  <si>
    <t xml:space="preserve">ARANGO FONNEGRA ANA BEATRIZ </t>
  </si>
  <si>
    <t xml:space="preserve">CC 32543842 / Delineante De Arquitectura E Ingenieria (Instituto De Artes) - ANT </t>
  </si>
  <si>
    <t>M.P 05405-00452</t>
  </si>
  <si>
    <t xml:space="preserve">RUIZ MEDINA ALVARO </t>
  </si>
  <si>
    <t xml:space="preserve">CC 70513485 / Tecnico Profesional Intermedio En Delineante De Arquitectura E Ingenieria (Corporacion Educativa Instituto Tecnico Superior De Artes) - ANT </t>
  </si>
  <si>
    <t>M.P 05405-00453</t>
  </si>
  <si>
    <t xml:space="preserve">CARDONA SANCHEZ BEATRIZ ELENA </t>
  </si>
  <si>
    <t xml:space="preserve">CC 42869594 / Tecnico Profesional En Delineante De Arquitectura E Ingenieria (Corporacion Educativa Instituto Tecnico Superior De Artes) - ANT </t>
  </si>
  <si>
    <t>M.P 05405-00439</t>
  </si>
  <si>
    <t>ZAPATA MESA GLADIS ESTELLA</t>
  </si>
  <si>
    <t xml:space="preserve">CC 43078466 / Tecnico Profesional En Delineante De Arquitectura E Ingenieria (Academia Superior De Artes De Medellin) - ANT </t>
  </si>
  <si>
    <t>M.P 05405-00442</t>
  </si>
  <si>
    <t xml:space="preserve">PALACIO LOPEZ MARIA LOURDES </t>
  </si>
  <si>
    <t xml:space="preserve">CC 43043835 / Tecnico Profesional Intermedio En Delineante De Arquitectura E Ingenieria (Academia Superior De Artes De Medellin) - ANT </t>
  </si>
  <si>
    <t>M.P 05405-00443</t>
  </si>
  <si>
    <t xml:space="preserve">VASQUEZ VELEZ MARIA CECILIA </t>
  </si>
  <si>
    <t xml:space="preserve">CC 42760050 / Tecnico Profesional Intermedio En Delineante De Arquitectura E Ingenieria (Academia Superior De Artes De Medellin) - ANT </t>
  </si>
  <si>
    <t>M.P 05405-00464</t>
  </si>
  <si>
    <t xml:space="preserve">SANCHEZ GIRALDO MARIA ELENA </t>
  </si>
  <si>
    <t xml:space="preserve">CC 42869438 / Tecnico Profesional En Delineante De Arquitectura E Ingenieria (Corporacion Educativa Instituto Tecnico Superior De Artes) - ANT </t>
  </si>
  <si>
    <t>M.P 05405-00462</t>
  </si>
  <si>
    <t xml:space="preserve">CANO SEPULVEDA ALBA PATRICIA </t>
  </si>
  <si>
    <t xml:space="preserve">CC 21500158 / Tecnico Profesional Intermedio En Delineante De Arquitectura E Ingenieria (Corporacion Educativa Instituto Tecnico Superior De Artes) - ANT </t>
  </si>
  <si>
    <t>M.P 05405-00463</t>
  </si>
  <si>
    <t xml:space="preserve">DUQUE MONTOYA ANGELA MARIA </t>
  </si>
  <si>
    <t xml:space="preserve">CC 43081712 / Tecnico Profesional Delineante De Arquitectura E Ingenieria (Corporacion Educativa Instituto Tecnico Superior De Artes) - ANT </t>
  </si>
  <si>
    <t>M.P 05405-00551</t>
  </si>
  <si>
    <t>ESCOBAR SIERRA CLARA HORTENCIA</t>
  </si>
  <si>
    <t xml:space="preserve">CC 43015715 / Tecnico Profesional En Delineante De Arquitectura E Ingenieria (Corporacion Educativa Instituto Tecnico Superior De Artes) - ANT </t>
  </si>
  <si>
    <t>M.P 05406-00488</t>
  </si>
  <si>
    <t>MONTOYA HERRERA JORGE HUMBERTO</t>
  </si>
  <si>
    <t xml:space="preserve">CC 98588537 / Tecnologo Delineante De Arquitectura E Ingenieria (Colegio Mayor De Antioquia) - ANT </t>
  </si>
  <si>
    <t>M.P 05405-00489</t>
  </si>
  <si>
    <t xml:space="preserve">MORALES VARGAS ALBA ROCIO </t>
  </si>
  <si>
    <t xml:space="preserve">CC 22129928 / Tecnico Profesional En Delineante De Arquitectura E Ingenieria (Corporacion Academia Superior De Artes De Medellin) - ANT </t>
  </si>
  <si>
    <t>M.P 05406-00486</t>
  </si>
  <si>
    <t>SERNA BOTERO GLADIS EUGENIA</t>
  </si>
  <si>
    <t xml:space="preserve">CC 43568128 / Tecnologo Delineante De Arquitectura E Ingenieria (Colegio Mayor De Antioquia) - ANT </t>
  </si>
  <si>
    <t>M.P 05406-00487</t>
  </si>
  <si>
    <t>MARTINEZ ARBELAEZ GERLAINE DE JESUS</t>
  </si>
  <si>
    <t xml:space="preserve">CC 43518148 / Tecnologo Delineante De Arquitectura E Ingenieria (Colegio Mayor De Antioquia) - ANT </t>
  </si>
  <si>
    <t>M.P 05405-00492</t>
  </si>
  <si>
    <t xml:space="preserve">RIOS MESA LUIS FERNANDO </t>
  </si>
  <si>
    <t xml:space="preserve">CC 71715735 / Tecnico Profesional En Delineante De Arquitectura E Ingenieria (Corporacion Educativa Instituto Tecnico Superior De Artes) - ANT </t>
  </si>
  <si>
    <t>M.P 05405-00491</t>
  </si>
  <si>
    <t>MONTOYA ARROYAVE GLORIA PATRICIA</t>
  </si>
  <si>
    <t xml:space="preserve">CC 42774145 / Tecnico Profesional En Delineante De Arquitectura E Ingenieria (Academia Superior De Artes De Medellin) - ANT </t>
  </si>
  <si>
    <t>M.P 05434-00512</t>
  </si>
  <si>
    <t>MEJIA JIMENEZ MARTHA LUCIA DE LA CRUZ</t>
  </si>
  <si>
    <t xml:space="preserve">CC 43002956 / Tecnico Profesional En Delineante De Arquitectura E Ingenieria (Corporacion Educativa Instituto Tecnico Superior De Artes) - ANT </t>
  </si>
  <si>
    <t>M.P 05434-00510</t>
  </si>
  <si>
    <t xml:space="preserve">ECHEVERRI CARTAGENA BLANCA LUCIA </t>
  </si>
  <si>
    <t xml:space="preserve">CC 43083245 / Tecnico Profesional En Delineante De Arquitectura E Ingenieria (Corporacion Educativa Instituto Tecnico Superior De Artes) - ANT </t>
  </si>
  <si>
    <t>M.P 05434-00511</t>
  </si>
  <si>
    <t xml:space="preserve">MEJIA ANGEL ADRIANA MARIA </t>
  </si>
  <si>
    <t xml:space="preserve">CC 42882687 / Tecnico Profesional Delineante De Arquitectura E Ingenieria (Corporacion Educativa Instituto Tecnico Superior De Artes) - ANT </t>
  </si>
  <si>
    <t>M.P 05431-00500</t>
  </si>
  <si>
    <t xml:space="preserve">GONZALEZ CANO CLARA ISABEL </t>
  </si>
  <si>
    <t xml:space="preserve">CC 21409702 / Tecnico Profesional En Delineante De Arquitectura E Ingenieria (Corporacion Academia Superior De Artes De Medellin) - ANT </t>
  </si>
  <si>
    <t>M.P 05431-00501</t>
  </si>
  <si>
    <t xml:space="preserve">HINCAPIE TIRADO MONICA </t>
  </si>
  <si>
    <t xml:space="preserve">CC 43555313 / Tecnico Profesional En Delineante De Arquitectura E Ingenieria (Corporacion Academia Superior De Artes De Medellin) - ANT </t>
  </si>
  <si>
    <t>M.P 05406-00508</t>
  </si>
  <si>
    <t xml:space="preserve">TAMAYO ACEVEDO ANGELA MARIA </t>
  </si>
  <si>
    <t xml:space="preserve">CC 42822343 / Tecnologo Delineante De Arquitectura E Ingenieria (Colegio Mayor De Antioquia) - ANT </t>
  </si>
  <si>
    <t>M.P 05406-00509</t>
  </si>
  <si>
    <t>VILLA MEJIA IVONE ALEXANDRA</t>
  </si>
  <si>
    <t xml:space="preserve">CC 43728217 / Tecnologo Delineante De Arquitectura E Ingenieria (Colegio Mayor De Antioquia) - ANT </t>
  </si>
  <si>
    <t>M.P 05406-00505</t>
  </si>
  <si>
    <t>GIRALDO GARCIA ADRIANA PATRICIA</t>
  </si>
  <si>
    <t xml:space="preserve">CC 43728500 / Tecnologo Delineante De Arquitectura E Ingenieria (Colegio Mayor De Antioquia) - ANT </t>
  </si>
  <si>
    <t>M.P 05406-00506</t>
  </si>
  <si>
    <t>MORALES SIERRA BEATRIZ ALEIDA</t>
  </si>
  <si>
    <t xml:space="preserve">CC 43506462 / Tecnologo Delineante De Arquitectura E Ingenieria (Colegio Mayor De Antioquia) - ANT </t>
  </si>
  <si>
    <t>M.P 05406-00507</t>
  </si>
  <si>
    <t>ORTEGA MACIAS ELKIN FERNANDO</t>
  </si>
  <si>
    <t xml:space="preserve">CC 71692772 / Tecnologo Delineante De Arquitectura E Ingenieria (Colegio Mayor De Antioquia) - ANT </t>
  </si>
  <si>
    <t>M.P 05406-00504</t>
  </si>
  <si>
    <t>BUILES ALVAREZ TERESITA DE JESUS</t>
  </si>
  <si>
    <t xml:space="preserve">CC 43520703 / Tecnologo Delineante De Arquitectura E Ingenieria (Colegio Mayor De Antioquia) - ANT </t>
  </si>
  <si>
    <t>M.P 05434-00547</t>
  </si>
  <si>
    <t xml:space="preserve">CALLEJAS RAMIREZ YASMIN </t>
  </si>
  <si>
    <t xml:space="preserve">CC 43802101 / Tecnico Profesional En Delineante De Arquitectura E Ingenieria (Corporacion Academia Superior De Artes De Medellin) - ANT </t>
  </si>
  <si>
    <t>M.P 05434-00548</t>
  </si>
  <si>
    <t>SALINAS ATEHORTUA JOHNNY ALBEIRO</t>
  </si>
  <si>
    <t xml:space="preserve">CC 8741086 / Tecnico Profesional Intermedio En Delineante De Arquitectura E Ingenieria (Academia Superior De Artes De Medellin) - ANT </t>
  </si>
  <si>
    <t>M.P 05406-00549</t>
  </si>
  <si>
    <t>MOLINA BUILES MARTHA CECILIA</t>
  </si>
  <si>
    <t xml:space="preserve">CC 43533841 / Tecnologo Delineante De Arquitectura E Ingenieria (Colegio Mayor De Antioquia) - ANT </t>
  </si>
  <si>
    <t>M.P 05431-00550</t>
  </si>
  <si>
    <t>GONZALEZ SALDARRIAGA GUSTAVO ADOLFO</t>
  </si>
  <si>
    <t xml:space="preserve">CC 71628369 / Tecnico Profesional En Delineante De Arquitectura E Ingenieria (Academia Superior De Artes De Medellin) - ANT </t>
  </si>
  <si>
    <t>M.P 05431-00653</t>
  </si>
  <si>
    <t xml:space="preserve">NARANJO MUÑOZ GABRIEL JAIME </t>
  </si>
  <si>
    <t xml:space="preserve">CC 71693314 / Tecnico Profesional En Delineante De Arquitectura E Ingenieria (Corporacion Educativa Instituto Tecnico Superior De Artes) - ANT </t>
  </si>
  <si>
    <t>M.P 05431-00654</t>
  </si>
  <si>
    <t>TAMAYO BOLIVAR MARTHA CECILIA</t>
  </si>
  <si>
    <t xml:space="preserve">CC 21479305 / Tecnico Profesional En Delineante De Arquitectura E Ingenieria (Corporacion Educativa Instituto Tecnico Superior De Artes) - ANT </t>
  </si>
  <si>
    <t>M.P 05438-00651</t>
  </si>
  <si>
    <t>GALEANO ARISTIZABAL JUAN GUILLERMO</t>
  </si>
  <si>
    <t xml:space="preserve">CC 71597979 / Tecnico Profesional Intermedio En Delineante De Arquitectura E Ingenieria (Corporacion Educativa Instituto Tecnico Superior De Artes) - ANT </t>
  </si>
  <si>
    <t>M.P 05431-00642</t>
  </si>
  <si>
    <t>PEREA RODRIGUEZ GELMY DEL CARMEN</t>
  </si>
  <si>
    <t xml:space="preserve">CC 43813010 / Tecnico Profesional En Delineante De Arquitectura E Ingenieria (Corporacion Academia Superior De Artes De Medellin) - ANT </t>
  </si>
  <si>
    <t>M.P 05431-00643</t>
  </si>
  <si>
    <t xml:space="preserve">PEREZ ZAPATA JUAN FERNANDO </t>
  </si>
  <si>
    <t xml:space="preserve">CC 71710217 / Tecnico Profesional En Delineante De Arquitectura E Ingenieria (Academia Superior De Artes De Medellin) - ANT </t>
  </si>
  <si>
    <t>M.P 05431-00652</t>
  </si>
  <si>
    <t xml:space="preserve">HERNANDEZ MATHIEU ANGELA MARIA </t>
  </si>
  <si>
    <t xml:space="preserve">CC 43725945 / Tecnico Profesional En Delineante De Arquitectura E Ingenieria (Corporacion Educativa Instituto Tecnico Superior De Artes) - ANT </t>
  </si>
  <si>
    <t>M.P 05431-00639</t>
  </si>
  <si>
    <t xml:space="preserve">ORTIZ BERMUDEZ MARIA ELENA </t>
  </si>
  <si>
    <t xml:space="preserve">CC 42882831 / Tecnico Profesional En Delineante De Arquitectura E Ingenieria (Academia Superior De Artes De Medellin) - ANT </t>
  </si>
  <si>
    <t>M.P 05431-00640</t>
  </si>
  <si>
    <t xml:space="preserve">OROZCO HENAO BEATRIZ ELENA </t>
  </si>
  <si>
    <t xml:space="preserve">CC 43099161 / Tecnico Profesional En Delineante De Arquitectura E Ingenieria (Academia Superior De Artes De Medellin) - ANT </t>
  </si>
  <si>
    <t>M.P 05431-00641</t>
  </si>
  <si>
    <t>PAJOY OROZCO SANDRA CRISTINA</t>
  </si>
  <si>
    <t xml:space="preserve">CC 43504285 / Tecnico Profesional En Delineante De Arquitectura E Ingenieria (Academia Superior De Artes De Medellin) - ANT </t>
  </si>
  <si>
    <t>M.P 05431-00636</t>
  </si>
  <si>
    <t>ESCUDERO SEPULVEDA SANDY JACKELINNE</t>
  </si>
  <si>
    <t xml:space="preserve">CC 43525502 / Tecnico Profesional En Delineante De Arquitectura E Ingenieria (Academia Superior De Artes De Medellin) - ANT </t>
  </si>
  <si>
    <t>M.P 05431-00637</t>
  </si>
  <si>
    <t>FRANCO BEDOYA LUZMILA ISABEL</t>
  </si>
  <si>
    <t xml:space="preserve">CC 43099617 / Tecnico Profesional En Delineante De Arquitectura E Ingenieria (Academia Superior De Artes De Medellin) - ANT </t>
  </si>
  <si>
    <t>M.P 05431-00638</t>
  </si>
  <si>
    <t xml:space="preserve">JARAMILLO QUINTERO ELIZABETH </t>
  </si>
  <si>
    <t xml:space="preserve">CC 43503972 / Tecnico Profesional En Delineante De Arquitectura E Ingenieria (Academia Superior De Artes De Medellin) - ANT </t>
  </si>
  <si>
    <t>M.P 05431-00633</t>
  </si>
  <si>
    <t>BOTERO ARISMENDY MARIA VICTORIA</t>
  </si>
  <si>
    <t xml:space="preserve">CC 43493485 / Tecnico Profesional En Delineante De Arquitectura E Ingenieria (Academia Superior De Artes De Medellin) - ANT </t>
  </si>
  <si>
    <t>M.P 05431-00634</t>
  </si>
  <si>
    <t xml:space="preserve">BOTERO VELEZ ANA TERESA </t>
  </si>
  <si>
    <t xml:space="preserve">CC 43087877 / Tecnico Profesional En Delineante De Arquitectura E Ingenieria (Academia Superior De Artes De Medellin) - ANT </t>
  </si>
  <si>
    <t>M.P 05431-00635</t>
  </si>
  <si>
    <t xml:space="preserve">BUILES CEBALLOS DORIS CECILIA </t>
  </si>
  <si>
    <t xml:space="preserve">CC 32553147 / Tecnico Profesional En Delineante De Arquitectura E Ingenieria (Academia Superior De Artes De Medellin) - ANT </t>
  </si>
  <si>
    <t>M.P 05406-00648</t>
  </si>
  <si>
    <t>SUAZA ALVAREZ SANDRA PATRICIA</t>
  </si>
  <si>
    <t xml:space="preserve">CC 43578834 / Tecnologo Delineante De Arquitectura E Ingenieria (Colegio Mayor De Antioquia) - ANT </t>
  </si>
  <si>
    <t>M.P 05406-00649</t>
  </si>
  <si>
    <t>URIBE MORENO YAMILE DEL SOCORRO</t>
  </si>
  <si>
    <t xml:space="preserve">CC 42871087 / Tecnologo Delineante De Arquitectura E Ingenieria (Colegio Mayor De Antioquia) - ANT </t>
  </si>
  <si>
    <t>M.P 05406-00650</t>
  </si>
  <si>
    <t>VARGAS MARQUEZ CARLOS ENRIQUE</t>
  </si>
  <si>
    <t xml:space="preserve">CC 71705400 / Tecnologo Delineante De Arquitectura E Ingenieria (Colegio Mayor De Antioquia) - ANT </t>
  </si>
  <si>
    <t>M.P 05406-00645</t>
  </si>
  <si>
    <t xml:space="preserve">BUILES RIOS RODRIGO </t>
  </si>
  <si>
    <t xml:space="preserve">CC 98581869 / Tecnologo Delineante De Arquitectura E Ingenieria (Colegio Mayor De Antioquia) - ANT </t>
  </si>
  <si>
    <t>M.P 05406-00646</t>
  </si>
  <si>
    <t>ORTEGA PEREZ DIANA CRISTINA</t>
  </si>
  <si>
    <t xml:space="preserve">CC 43677760 / Tecnologo Delineante De Arquitectura E Ingenieria (Colegio Mayor De Antioquia) - ANT </t>
  </si>
  <si>
    <t>M.P 05406-00647</t>
  </si>
  <si>
    <t xml:space="preserve">SANCHEZ MAZO EDGAR ALBEIRO </t>
  </si>
  <si>
    <t xml:space="preserve">CC 71716468 / Tecnologo Delineante De Arquitectura E Ingenieria (Colegio Mayor De Antioquia) - ANT </t>
  </si>
  <si>
    <t>M.P 05406-00644</t>
  </si>
  <si>
    <t xml:space="preserve">ARANGO CASTRILLON LIBIA ELENA </t>
  </si>
  <si>
    <t xml:space="preserve">CC 43074208 / Tecnologo Delineante De Arquitectura E Ingenieria (Colegio Mayor De Antioquia) - ANT </t>
  </si>
  <si>
    <t>M.P 05434-00586</t>
  </si>
  <si>
    <t>PELAEZ VELEZ PATRICIA EUGENIA</t>
  </si>
  <si>
    <t xml:space="preserve">CC 21404806 / Tecnico Profesional En Delineante De Arquitectura E Ingenieria (Corporacion Educativa Instituto Tecnico Superior De Artes) - ANT </t>
  </si>
  <si>
    <t>M.P 05438-00583</t>
  </si>
  <si>
    <t>MEJIA ESCOBAR DORELLEY DEL SOCORRO</t>
  </si>
  <si>
    <t xml:space="preserve">CC 21462039 / Tecnico Profesional Intermedio En Delineante De Arquitectura E Ingenieria (Academia Superior De Artes De Medellin) - ANT </t>
  </si>
  <si>
    <t>M.P 05431-00581</t>
  </si>
  <si>
    <t>CATAÑO BOTERO GUSTAVO ADOLFO</t>
  </si>
  <si>
    <t xml:space="preserve">CC 98525216 / Tecnico Profesional En Delineante De Arquitectura E Ingenieria (Corporacion Academia Superior De Artes De Medellin) - ANT </t>
  </si>
  <si>
    <t>M.P 05431-00582</t>
  </si>
  <si>
    <t xml:space="preserve">GALLO RIVERA LUZ ESTELLA </t>
  </si>
  <si>
    <t xml:space="preserve">CC 39180415 / Tecnico Profesional En Delineante De Arquitectura E Ingenieria (Academia Superior De Artes De Medellin) - ANT </t>
  </si>
  <si>
    <t>M.P 05431-00585</t>
  </si>
  <si>
    <t>RENDON DIAZ CLAUDIA PAULINA</t>
  </si>
  <si>
    <t xml:space="preserve">CC 42891205 / Tecnico Profesional En Delineante De Arquitectura E Ingenieria (Academia Superior De Artes De Medellin) - ANT </t>
  </si>
  <si>
    <t>M.P 05431-00579</t>
  </si>
  <si>
    <t xml:space="preserve">BEDOYA VILLEGAS ANDRES DARIO </t>
  </si>
  <si>
    <t xml:space="preserve">CC 98561009 / Tecnico Profesional En Delineante De Arquitectura E Ingenieria (Corporacion Academia Superior De Artes De Medellin) - ANT </t>
  </si>
  <si>
    <t>M.P 05431-00580</t>
  </si>
  <si>
    <t>CANO FRANCO DIEGO MAURICIO</t>
  </si>
  <si>
    <t xml:space="preserve">CC 98564123 / Tecnico Profesional En Delineante De Arquitectura E Ingenieria (Corporacion Academia Superior De Artes De Medellin) - ANT </t>
  </si>
  <si>
    <t>M.P 05406-00587</t>
  </si>
  <si>
    <t xml:space="preserve">OQUENDO URREGO REINALDO </t>
  </si>
  <si>
    <t xml:space="preserve">CC 15403632 / Tecnologo Delineante De Arquitectura E Ingenieria (Colegio Mayor De Antioquia) - ANT </t>
  </si>
  <si>
    <t>M.P 05406-00588</t>
  </si>
  <si>
    <t>ALVAREZ PEREZ ELIZABETH DEL SOCORRO</t>
  </si>
  <si>
    <t xml:space="preserve">CC 43067273 / Tecnologo Delineante De Arquitectura E Ingenieria (Colegio Mayor De Antioquia) - ANT </t>
  </si>
  <si>
    <t>M.P 05405-00595</t>
  </si>
  <si>
    <t xml:space="preserve">BERMUDEZ HEREDIA LUIS FERNANDO </t>
  </si>
  <si>
    <t xml:space="preserve">CC 98552992 / Tecnico Profesional En Delineante De Arquitectura E Ingenieria (Academia Superior De Artes De Medellin) - ANT </t>
  </si>
  <si>
    <t>M.P 05405-00597</t>
  </si>
  <si>
    <t>REYES CIFUENTES CLAUDIA LILIANA</t>
  </si>
  <si>
    <t xml:space="preserve">CC 50898504 / Tecnico Profesional En Delineante De Arquitectura E Ingenieria (Corporacion Academia Superior De Artes De Medellin) - ANT </t>
  </si>
  <si>
    <t>M.P 05431-00667</t>
  </si>
  <si>
    <t xml:space="preserve">VALLEJO CARDONA JAIRO ALBERTO </t>
  </si>
  <si>
    <t xml:space="preserve">CC 15433079 / Tecnico Profesional En Delineante De Arquitectura E Ingenieria (Corporacion Educativa Instituto Tecnico Superior De Artes) - ANT </t>
  </si>
  <si>
    <t>M.P 05431-00659</t>
  </si>
  <si>
    <t xml:space="preserve">CARDONA MONTES ADRIANA MARIA </t>
  </si>
  <si>
    <t xml:space="preserve">CC 42766162 / Tecnico Profesional En Delineante De Arquitectura E Ingenieria (Academia Superior De Artes De Medellin) - ANT </t>
  </si>
  <si>
    <t>M.P 05431-00660</t>
  </si>
  <si>
    <t xml:space="preserve">LENIS SUCERQUIA BEATRIZ ELENA </t>
  </si>
  <si>
    <t xml:space="preserve">CC 43427095 / Tecnico Profesional Intermedio En Delineante De Arquitectura E Ingenieria (Academia Superior De Artes De Medellin) - ANT </t>
  </si>
  <si>
    <t>M.P 05431-00666</t>
  </si>
  <si>
    <t>CORREA HINCAPIE GLORIA PATRICIA</t>
  </si>
  <si>
    <t xml:space="preserve">CC 43743952 / Tecnico Profesional En Delineante De Arquitectura E Ingenieria (Corporacion Educativa Instituto Tecnico Superior De Artes) - ANT </t>
  </si>
  <si>
    <t>M.P 05431-00656</t>
  </si>
  <si>
    <t>ROLDAN MEJIA MARIA ALEXANDRA</t>
  </si>
  <si>
    <t xml:space="preserve">CC 43724399 / Tecnico Profesional En Delineante De Arquitectura E Ingenieria (Academia Superior De Artes De Medellin) - ANT </t>
  </si>
  <si>
    <t>M.P 05431-00657</t>
  </si>
  <si>
    <t>RUIZ ARREDONDO DIEGO DE JESUS</t>
  </si>
  <si>
    <t xml:space="preserve">CC 71695865 / Tecnico Profesional En Delineante De Arquitectura E Ingenieria (Academia Superior De Artes De Medellin) - ANT </t>
  </si>
  <si>
    <t>M.P 05431-00658</t>
  </si>
  <si>
    <t>VELASQUEZ ESPINOSA GLORIA MARITZA</t>
  </si>
  <si>
    <t xml:space="preserve">CC 43572798 / Tecnico Profesional En Delineante De Arquitectura E Ingenieria (Corporacion Academia Superior De Artes De Medellin) - ANT </t>
  </si>
  <si>
    <t>M.P 05406-00664</t>
  </si>
  <si>
    <t xml:space="preserve">PANIAGUA VILLA JOSE MAURICIO </t>
  </si>
  <si>
    <t xml:space="preserve">CC 98525366 / Tecnologo Delineante De Arquitectura E Ingenieria (Colegio Mayor De Antioquia) - ANT </t>
  </si>
  <si>
    <t>M.P 05406-00665</t>
  </si>
  <si>
    <t xml:space="preserve">PIEDRAHITA JIMENEZ PAOLA ESTELLA </t>
  </si>
  <si>
    <t xml:space="preserve">CC 39274015 / Tecnologo Delineante De Arquitectura E Ingenieria (Colegio Mayor De Antioquia) - ANT </t>
  </si>
  <si>
    <t>M.P 05431-00655</t>
  </si>
  <si>
    <t xml:space="preserve">BERMUDEZ BERTEL FREDY LEON </t>
  </si>
  <si>
    <t xml:space="preserve">CC 71690976 / Tecnico Profesional En Delineante De Arquitectura E Ingenieria (Academia Superior De Artes De Medellin) - ANT </t>
  </si>
  <si>
    <t>M.P 05406-00661</t>
  </si>
  <si>
    <t xml:space="preserve">ZAPATA SOSSA OSCAR ALBERTO </t>
  </si>
  <si>
    <t xml:space="preserve">CC 98557647 / Tecnologo Delineante De Arquitectura E Ingenieria (Colegio Mayor De Antioquia) - ANT </t>
  </si>
  <si>
    <t>M.P 05406-00662</t>
  </si>
  <si>
    <t>JARAMILLO MESA GLORIA EUGENIA</t>
  </si>
  <si>
    <t xml:space="preserve">CC 43059655 / Tecnologo Delineante De Arquitectura E Ingenieria (Colegio Mayor De Antioquia) - ANT </t>
  </si>
  <si>
    <t>M.P 05406-00663</t>
  </si>
  <si>
    <t>MONTOYA HERNANDEZ CLAUDIA PATRICIA</t>
  </si>
  <si>
    <t xml:space="preserve">CC 42898414 / Tecnologo Delineante De Arquitectura E Ingenieria (Colegio Mayor De Antioquia) - ANT </t>
  </si>
  <si>
    <t>M.P 05406-00682</t>
  </si>
  <si>
    <t xml:space="preserve">MONTOYA ROJAS PAULA ANDREA </t>
  </si>
  <si>
    <t xml:space="preserve">CC 43828876 / Tecnologo Delineante De Arquitectura E Ingenieria (Colegio Mayor De Antioquia) - ANT </t>
  </si>
  <si>
    <t>M.P 05406-00683</t>
  </si>
  <si>
    <t xml:space="preserve">POSADA MONTOYA NORHA ISABEL </t>
  </si>
  <si>
    <t xml:space="preserve">CC 43829716 / Tecnologo Delineante De Arquitectura E Ingenieria (Colegio Mayor De Antioquia) - ANT </t>
  </si>
  <si>
    <t>M.P 05434-00686</t>
  </si>
  <si>
    <t xml:space="preserve">VARGAS BOTERO GLORIA INES </t>
  </si>
  <si>
    <t xml:space="preserve">CC 42888714 / Tecnico Profesional En Delineante De Arquitectura E Ingenieria (Academia Superior De Artes De Medellin) - ANT </t>
  </si>
  <si>
    <t>M.P 05434-00687</t>
  </si>
  <si>
    <t>DUQUE MARIN MARGARITA MARIA</t>
  </si>
  <si>
    <t xml:space="preserve">CC 42758556 / Tecnico Profesional En Delineante De Arquitectura E Ingenieria (Corporacion Educativa Instituto Tecnico Superior De Artes) - ANT </t>
  </si>
  <si>
    <t>M.P 05434-00684</t>
  </si>
  <si>
    <t xml:space="preserve">CIFUENTES MORENO ESTHER ZOHE </t>
  </si>
  <si>
    <t xml:space="preserve">CC 42776727 / Tecnico Profesional En Delineante De Arquitectura E Ingenieria (Academia Superior De Artes De Medellin) - ANT </t>
  </si>
  <si>
    <t>M.P 05434-00685</t>
  </si>
  <si>
    <t xml:space="preserve">GARCIA GARCIA RAFAEL JAIME </t>
  </si>
  <si>
    <t xml:space="preserve">CC 98558117 / Tecnico Profesional En Delineante De Arquitectura E Ingenieria (Corporacion Academia Superior De Artes De Medellin) - ANT </t>
  </si>
  <si>
    <t>M.P 05431-00704</t>
  </si>
  <si>
    <t xml:space="preserve">FRANCO SALAZAR BIBIANA MARIA </t>
  </si>
  <si>
    <t xml:space="preserve">CC 42791640 / Tecnico Profesional En Delineante De Arquitectura E Ingenieria (Corporacion Academia Superior De Artes De Medellin) - ANT </t>
  </si>
  <si>
    <t>M.P 05431-00706</t>
  </si>
  <si>
    <t xml:space="preserve">MEJIA CASTRO LUZ STELLA </t>
  </si>
  <si>
    <t xml:space="preserve">CC 43675384 / Tecnico Profesional En Delineante De Arquitectura E Ingenieria (Academia Superior De Artes De Medellin) - ANT </t>
  </si>
  <si>
    <t>M.P 05431-00707</t>
  </si>
  <si>
    <t xml:space="preserve">PATIÑO ECHEVERRY NELSY </t>
  </si>
  <si>
    <t xml:space="preserve">CC 24385369 / Tecnico Profesional En Delineante De Arquitectura E Ingenieria (Corporacion Educativa Instituto Tecnico Superior De Artes) - ANT </t>
  </si>
  <si>
    <t>M.P 05431-00708</t>
  </si>
  <si>
    <t xml:space="preserve">OSORIO ORREGO CLAUDIA MARIA </t>
  </si>
  <si>
    <t xml:space="preserve">CC 42893915 / Tecnico Profesional En Delineante De Arquitectura E Ingenieria (Academia Superior De Artes De Medellin) - ANT </t>
  </si>
  <si>
    <t>M.P 05406-00709</t>
  </si>
  <si>
    <t>JIMENEZ OROZCO MARGARITA MARIA</t>
  </si>
  <si>
    <t xml:space="preserve">CC 39355461 / Tecnologo Delineante De Arquitectura E Ingenieria (Colegio Mayor De Antioquia) - ANT </t>
  </si>
  <si>
    <t>M.P 05431-00711</t>
  </si>
  <si>
    <t xml:space="preserve">GARCIA DUQUE NANCY YANUVI </t>
  </si>
  <si>
    <t xml:space="preserve">CC 43799037 / Tecnico Profesional En Delineante De Arquitectura E Ingenieria (Corporacion Educativa Instituto Tecnico Superior De Artes) - ANT </t>
  </si>
  <si>
    <t>M.P 05431-00712</t>
  </si>
  <si>
    <t xml:space="preserve">MONSALVE CARDEÑO DIANA MARIA </t>
  </si>
  <si>
    <t xml:space="preserve">CC 43589765 / Tecnico Profesional En Delineante De Arquitectura E Ingenieria (Corporacion Educativa Instituto Tecnico Superior De Artes) - ANT </t>
  </si>
  <si>
    <t>M.P 05431-00756</t>
  </si>
  <si>
    <t xml:space="preserve">KERTZNUS FARIN SAMMY ALBERTO </t>
  </si>
  <si>
    <t xml:space="preserve">CC 98554509 / Tecnico Profesional En Delineante De Arquitectura E Ingenieria (Corporacion Academia Superior De Artes De Medellin) - ANT </t>
  </si>
  <si>
    <t>M.P 05406-00757</t>
  </si>
  <si>
    <t>ARANGO ZAPATA ELKIN DE JESUS</t>
  </si>
  <si>
    <t xml:space="preserve">CC 71741404 / Tecnologo En Delineante De Arquitectura E Ingenieria (Colegio Mayor De Antioquia) - ANT </t>
  </si>
  <si>
    <t>M.P 05406-00762</t>
  </si>
  <si>
    <t xml:space="preserve">RENDON MONTES LINA YASMIN </t>
  </si>
  <si>
    <t xml:space="preserve">CC 43582929 / Tecnologo Delineante De Arquitectura E Ingenieria (Colegio Mayor De Antioquia) - ANT </t>
  </si>
  <si>
    <t>M.P 05406-00763</t>
  </si>
  <si>
    <t xml:space="preserve">BELTRAN GUTIERREZ MONICA MARIA </t>
  </si>
  <si>
    <t xml:space="preserve">CC 43724330 / Tecnologo Delineante De Arquitectura E Ingenieria (Colegio Mayor De Antioquia) - ANT </t>
  </si>
  <si>
    <t>M.P 05406-00761</t>
  </si>
  <si>
    <t xml:space="preserve">OCHOA MAYA NORA CECILIA </t>
  </si>
  <si>
    <t xml:space="preserve">CC 43587524 / Tecnologo Delineante De Arquitectura E Ingenieria (Colegio Mayor De Antioquia) - ANT </t>
  </si>
  <si>
    <t>M.P 05431-00764</t>
  </si>
  <si>
    <t xml:space="preserve">JARAMILLO VARGAS JUAN FERNANDO </t>
  </si>
  <si>
    <t xml:space="preserve">CC 71680706 / Tecnico Profesional En Delineante De Arquitectura E Ingenieria (Academia Superior De Artes De Medellin) - ANT </t>
  </si>
  <si>
    <t>M.P 05431-00765</t>
  </si>
  <si>
    <t xml:space="preserve">ZAPATA MACHADO MAURICIO </t>
  </si>
  <si>
    <t xml:space="preserve">CC 15510918 / Tecnico Profesional En Delineante De Arquitectura E Ingenieria (Corporacion Academia Superior De Artes De Medellin) - ANT </t>
  </si>
  <si>
    <t>M.P 05406-00766</t>
  </si>
  <si>
    <t>PALMETT PLATA OLGALICIA DEL PILAR</t>
  </si>
  <si>
    <t xml:space="preserve">CC 43079195 / Tecnologo Delineante De Arquitectura E Ingenieria (Colegio Mayor De Antioquia) - ANT </t>
  </si>
  <si>
    <t>M.P 05431-00767</t>
  </si>
  <si>
    <t xml:space="preserve">RODRIGUEZ MORENO LUIS FERNANDO </t>
  </si>
  <si>
    <t xml:space="preserve">CC 71730224 / Tecnico Profesional En Delineante De Arquitectura E Ingenieria (Corporacion Academia Superior De Artes De Medellin) - ANT </t>
  </si>
  <si>
    <t>M.P 05438-00769</t>
  </si>
  <si>
    <t xml:space="preserve">MOLINA MESA STELLA MARIA </t>
  </si>
  <si>
    <t xml:space="preserve">CC 42882843 / Tecnico Profesional Intermedio En Delineante De Arquitectura E Ingenieria (Instituto De Artes) - ANT </t>
  </si>
  <si>
    <t>M.P 05431-00782</t>
  </si>
  <si>
    <t xml:space="preserve">GONZALEZ ARANGO PAULA ANDREA </t>
  </si>
  <si>
    <t xml:space="preserve">CC 42685322 / Tecnico Profesional En Delineante De Arquitectura E Ingenieria (Corporacion Academia Superior De Artes De Medellin) - ANT </t>
  </si>
  <si>
    <t>M.P 05438-00803</t>
  </si>
  <si>
    <t>VELEZ VASQUEZ GLORIA CECILIA DEL SOCORRO</t>
  </si>
  <si>
    <t xml:space="preserve">CC 43023763 / Tecnico Profesional Intermedio En Delineante De Arquitectura E Ingenieria (Academia Superior De Artes De Medellin) - ANT </t>
  </si>
  <si>
    <t>M.P 05431-00805</t>
  </si>
  <si>
    <t xml:space="preserve">ZAPATA LOPEZ LUIS FERNANDO </t>
  </si>
  <si>
    <t xml:space="preserve">CC 70724410 / Tecnico Profesional En Delineante De Arquitectura E Ingenieria (Academia Superior De Artes De Medellin) - ANT </t>
  </si>
  <si>
    <t>M.P 05431-00806</t>
  </si>
  <si>
    <t xml:space="preserve">URREGO OSPINA JUAN CARLOS </t>
  </si>
  <si>
    <t xml:space="preserve">CC 71747741 / Tecnico Profesional En Delineante De Arquitectura E Ingenieria (Corporacion Educativa Instituto Tecnico Superior De Artes) - ANT </t>
  </si>
  <si>
    <t>M.P 05438-00801</t>
  </si>
  <si>
    <t xml:space="preserve">GRIMALDO RIVERA SUNNY </t>
  </si>
  <si>
    <t xml:space="preserve">CC 43046699 / Tecnico Profesional Intermedio En Delineante De Arquitectura E Ingenieria (Academia Superior De Artes De Medellin) - ANT </t>
  </si>
  <si>
    <t>M.P 05431-00804</t>
  </si>
  <si>
    <t xml:space="preserve">ZAPATA ACOSTA GLORIA MARIA </t>
  </si>
  <si>
    <t xml:space="preserve">CC 43074921 / Tecnico Profesional En Delineante De Arquitectura E Ingenieria (Academia Superior De Artes De Medellin) - ANT  </t>
  </si>
  <si>
    <t>M.P 05406-00807</t>
  </si>
  <si>
    <t xml:space="preserve">PINEDA CORREA LEX FRANCISCO </t>
  </si>
  <si>
    <t xml:space="preserve">CC 71694571 / Tecnologo Delineante De Arquitectura E Ingenieria (Colegio Mayor De Antioquia) - ANT  </t>
  </si>
  <si>
    <t>M.P 05406-00818</t>
  </si>
  <si>
    <t xml:space="preserve">POSADA POSADA MARIA EUGENIA </t>
  </si>
  <si>
    <t xml:space="preserve">CC 43286129 / Tecnologo Delineante De Arquitectura E Ingenieria (Colegio Mayor De Antioquia) - ANT  </t>
  </si>
  <si>
    <t>M.P 05434-00819</t>
  </si>
  <si>
    <t xml:space="preserve">OCHOA AGUILAR MARIA TERESA </t>
  </si>
  <si>
    <t xml:space="preserve">CC 43073299 / Tecnico Profesional En Delineante De Arquitectura E Ingenieria (Corporacion Educativa Instituto Tecnico Superior De Artes) - ANT  </t>
  </si>
  <si>
    <t>M.P 05434-00849</t>
  </si>
  <si>
    <t xml:space="preserve">GAVIRIA ESCOBAR PATRICIA ELENA </t>
  </si>
  <si>
    <t xml:space="preserve">CC 43027360 / Tecnico Profesional En Delineante De Arquitectura E Ingenieria (Corporacion Educativa Instituto Tecnico Superior De Artes) - ANT  </t>
  </si>
  <si>
    <t>M.P 05438-00850</t>
  </si>
  <si>
    <t xml:space="preserve">PATIÑO HENAO JORGE ENRIQUE </t>
  </si>
  <si>
    <t xml:space="preserve">CC 71612772 / Tecnico Profesional Intermedio En Delineante De Arquitectura E Ingenieria (Academia Superior De Artes De Medellin) - ANT  </t>
  </si>
  <si>
    <t>M.P 05434-00865</t>
  </si>
  <si>
    <t xml:space="preserve">BAENA ORREGO ISABEL CRISTINA </t>
  </si>
  <si>
    <t xml:space="preserve">CC 43663112 / Tecnico Profesional En Delineante De Arquitectura E Ingenieria (Corporacion Educativa Instituto Tecnico Superior De Artes) - ANT  </t>
  </si>
  <si>
    <t>M.P 05406-00866</t>
  </si>
  <si>
    <t xml:space="preserve">VANEGAS VELASQUEZ CLAUDIA MARCELA </t>
  </si>
  <si>
    <t xml:space="preserve">CC 43511946 / Tecnologo Delineante De Arquitectura E Ingenieria (Colegio Mayor De Antioquia) - ANT  </t>
  </si>
  <si>
    <t>M.P 05406-00867</t>
  </si>
  <si>
    <t xml:space="preserve">BECERRA SERNA OSWALTH JAIRTHON </t>
  </si>
  <si>
    <t xml:space="preserve">CC 11802354 / Tecnologo Delineante De Arquitectura E Ingenieria (Colegio Mayor De Antioquia) - ANT  </t>
  </si>
  <si>
    <t>M.P 05438-00869</t>
  </si>
  <si>
    <t xml:space="preserve">PEREZ PEREZ CARMEN CECILIA </t>
  </si>
  <si>
    <t xml:space="preserve">CC 21714055 / Tecnico Profesional Intermedio En Delineante De Arquitectura E Ingenieria (Academia Superior De Artes De Medellin) - ANT  </t>
  </si>
  <si>
    <t>M.P 05431-00888</t>
  </si>
  <si>
    <t xml:space="preserve">ARROYAVE HERNANDEZ JUAN GONZALO </t>
  </si>
  <si>
    <t xml:space="preserve">CC 71610949 / Tecnico Profesional En Delineante De Arquitectura E Ingenieria (Academia Superior De Artes De Medellin) - ANT  </t>
  </si>
  <si>
    <t>M.P 05431-00889</t>
  </si>
  <si>
    <t xml:space="preserve">OQUENDO CANO LUIS ALBERTO </t>
  </si>
  <si>
    <t xml:space="preserve">CC 71709422 / Tecnico Profesional En Delineante De Arquitectura E Ingenieria (Academia Superior De Artes De Medellin) - ANT  </t>
  </si>
  <si>
    <t>M.P 05434-00925</t>
  </si>
  <si>
    <t xml:space="preserve">BETANCUR CADAVID MARIA ALEJANDRA </t>
  </si>
  <si>
    <t xml:space="preserve">CC 43522388 / Tecnico Profesional En Delineante De Arquitectura E Ingenieria (Academia Superior De Artes De Medellin) - ANT  </t>
  </si>
  <si>
    <t>M.P 05434-00927</t>
  </si>
  <si>
    <t xml:space="preserve">RODRIGUEZ MONTIEL YOHAIRA </t>
  </si>
  <si>
    <t xml:space="preserve">CC 50943328 / Tecnico Profesional En Delineante De Arquitectura E Ingenieria (Corporacion Academia Superior De Artes) - ANT  </t>
  </si>
  <si>
    <t>M.P 05438-00926</t>
  </si>
  <si>
    <t xml:space="preserve">RIOS MOLINA LUZ STELLA </t>
  </si>
  <si>
    <t xml:space="preserve">CC 42820393 / Tecnico Profesional Intermedio En Delineante De Arquitectura E Ingenieria (Academia Superior De Artes De Medellin) - ANT  </t>
  </si>
  <si>
    <t>M.P 05434-00941</t>
  </si>
  <si>
    <t xml:space="preserve">VASQUEZ ESTRADA ELIZABETH CRISTINA </t>
  </si>
  <si>
    <t xml:space="preserve">CC 43586899 / Tecnico Profesional En Delineante De Arquitectura E Ingenieria () - ANT  </t>
  </si>
  <si>
    <t>M.P 05431-00946</t>
  </si>
  <si>
    <t xml:space="preserve">RESTREPO GALARZO OSCAR ALBERTO </t>
  </si>
  <si>
    <t xml:space="preserve">CC 98537685 / Tecnico Profesional En Delineante De Arquitectura E Ingenieria (Academia Superior De Artes De Medellin) - ANT  </t>
  </si>
  <si>
    <t>M.P 05431-00947</t>
  </si>
  <si>
    <t xml:space="preserve">CAMACHO VELASQUEZ ANA SOFIA </t>
  </si>
  <si>
    <t xml:space="preserve">CC 43512063 / Tecnico Profesional En Delineante De Arquitectura E Ingenieria (Corporacion Educativa Instituto Tecnico Superior De Artes) - ANT  </t>
  </si>
  <si>
    <t>M.P 05406-00943</t>
  </si>
  <si>
    <t xml:space="preserve">MAZO OCHOA FLOR MARIA </t>
  </si>
  <si>
    <t xml:space="preserve">CC 43452089 / Tecnologo Delineante De Arquitectura E Ingenieria (Colegio Mayor De Antioquia) - ANT  </t>
  </si>
  <si>
    <t>M.P 05406-00944</t>
  </si>
  <si>
    <t xml:space="preserve">TOBON SANCHEZ LILIAN </t>
  </si>
  <si>
    <t xml:space="preserve">CC 43452702 / Tecnologo Delineante De Arquitectura E Ingenieria (Colegio Mayor De Antioquia) - ANT  </t>
  </si>
  <si>
    <t>M.P 05431-00945</t>
  </si>
  <si>
    <t xml:space="preserve">RESTREPO MAYA CAROLINA MARIA </t>
  </si>
  <si>
    <t xml:space="preserve">CC 42899237 / Tecnico Profesional En Delineante De Arquitectura E Ingenieria (Academia Superior De Artes De Medellin) - ANT  </t>
  </si>
  <si>
    <t>M.P 05406-00942</t>
  </si>
  <si>
    <t xml:space="preserve">ECHEVERRI GAVIRIA LAURA MARIA </t>
  </si>
  <si>
    <t xml:space="preserve">CC 43726257 / Tecnologo Delineante De Arquitectura E Ingenieria (Colegio Mayor De Antioquia) - ANT  </t>
  </si>
  <si>
    <t>M.P 05804-00974</t>
  </si>
  <si>
    <t xml:space="preserve">ECHEVERRI ECHEVERRI JUDIT ELINA </t>
  </si>
  <si>
    <t xml:space="preserve">CC 43624618 / Tecnologo Delineante De Arquitectura E Ingenieria (Colegio Mayor De Antioquia) - ANT  </t>
  </si>
  <si>
    <t>M.P 05804-00975</t>
  </si>
  <si>
    <t xml:space="preserve">PACHON GARCIA ALBA PATRICIA </t>
  </si>
  <si>
    <t xml:space="preserve">CC 43606958 / Tecnologo Delineante De Arquitectura E Ingenieria (Colegio Mayor De Antioquia) - ANT  </t>
  </si>
  <si>
    <t>M.P 05803-00971</t>
  </si>
  <si>
    <t xml:space="preserve">BUSTAMANTE HERRERA OSCAR RAUL </t>
  </si>
  <si>
    <t xml:space="preserve">CC 71705398 / Tecnico Profesional En Delineante De Arquitectura E Ingenieria (Academia Superior De Artes De Medellin) - ANT  </t>
  </si>
  <si>
    <t>M.P 05803-00972</t>
  </si>
  <si>
    <t xml:space="preserve">VASQUEZ ZAPATA FABIAN DE JESUS </t>
  </si>
  <si>
    <t xml:space="preserve">CC 71718952 / Tecnico Profesional En Delineante De Arquitectura E Ingenieria (Academia Superior De Artes De Medellin) - ANT  </t>
  </si>
  <si>
    <t>M.P 05804-00973</t>
  </si>
  <si>
    <t xml:space="preserve">MURILLO LOPEZ CLAUDIA MARCELA </t>
  </si>
  <si>
    <t xml:space="preserve">CC 39446683 / Tecnologo Delineante De Arquitectura E Ingenieria (Colegio Mayor De Antioquia) - ANT  </t>
  </si>
  <si>
    <t>M.P 05808-01005</t>
  </si>
  <si>
    <t xml:space="preserve">ZAPATA CUARTAS ROSALBA DEL SOCORRO </t>
  </si>
  <si>
    <t xml:space="preserve">CC 32443937 / Delineante De Arquitectura E Ingenieria (Colegio Mayor De Cultura Femenina De Antioquia) - ANT  </t>
  </si>
  <si>
    <t>M.P 05809-01006</t>
  </si>
  <si>
    <t xml:space="preserve">MORENO LONDOÑO ADRIANA MARIA </t>
  </si>
  <si>
    <t xml:space="preserve">CC 42771579 / Tecnico Profesional En Delineante De Arquitectura E Ingenieria (Corporacion Academia Superior De Artes) - ANT  </t>
  </si>
  <si>
    <t>M.P 05809-01012</t>
  </si>
  <si>
    <t xml:space="preserve">BOHORQUEZ RODAS JUAN GUILLERMO </t>
  </si>
  <si>
    <t xml:space="preserve">CC 72187641 / Tecnico Profesional En Delineante De Arquitectura E Ingenieria (Corporacion Academia Superior De Artes) - ANT  </t>
  </si>
  <si>
    <t>M.P 05809-01015</t>
  </si>
  <si>
    <t xml:space="preserve">ORREGO PALACIOS LUZ ELIANA </t>
  </si>
  <si>
    <t xml:space="preserve">CC 43088058 / Tecnico Profesional En Delineante De Arquitectura E Ingenieria (Academia Superior De Artes De Medellin) - ANT  </t>
  </si>
  <si>
    <t>M.P 05813-01031</t>
  </si>
  <si>
    <t xml:space="preserve">VALENCIA VILLEGAS MARGARITA MARIA </t>
  </si>
  <si>
    <t xml:space="preserve">CC 43006107 / Tecnico Profesional Intermedio En Delineante De Arquitectura E Ingenieria (Academia Superior De Artes De Medellin) - ANT  </t>
  </si>
  <si>
    <t>M.P 05803-007832</t>
  </si>
  <si>
    <t xml:space="preserve">CARDONA HENAO OLGA MERCEDES </t>
  </si>
  <si>
    <t xml:space="preserve">CC 29394609 / Tecnico Profesional En Delineante De Arquitectura E Ingenieria (Corporacion Academia Superior De Artes) - ANT  </t>
  </si>
  <si>
    <t>M.P 05815-008133</t>
  </si>
  <si>
    <t xml:space="preserve">JARAMILLO HENAO SOL MILEIDER </t>
  </si>
  <si>
    <t xml:space="preserve">CC 43865124 / Tecnico Profesional En Delineante Constructor (Corporacion Academia Superior De Artes) - ANT  </t>
  </si>
  <si>
    <t>M.P 05815-008456</t>
  </si>
  <si>
    <t xml:space="preserve">TAMAYO VELEZ BALMORES ALBERTO </t>
  </si>
  <si>
    <t xml:space="preserve">CC 70470907 / Tecnico Profesional En Delineante Constructor (Corporacion Academia Superior De Artes) - ANT  </t>
  </si>
  <si>
    <t>M.P 05815-008723</t>
  </si>
  <si>
    <t xml:space="preserve">CUBILLOS CRUZ PAULA ANDREA </t>
  </si>
  <si>
    <t xml:space="preserve">CC 43161213 / Tecnico Profesional En Delineante Constructor (Corporacion Academia Superior De Artes) - ANT  </t>
  </si>
  <si>
    <t>M.P 05815-009027</t>
  </si>
  <si>
    <t xml:space="preserve">SEPULVEDA DIOSSA FREDY ANDRES </t>
  </si>
  <si>
    <t xml:space="preserve">CC 98661567 / Tecnico Profesional En Delineante Constructor (Academia Superior De Artes De Medellin) - ANT  </t>
  </si>
  <si>
    <t>M.P 05406-009611</t>
  </si>
  <si>
    <t xml:space="preserve">VIVARES ARIAS CARLOS MARIO </t>
  </si>
  <si>
    <t xml:space="preserve">CC 71083289 / Tecnologo Delineante De Arquitectura E Ingenieria (Colegio Mayor De Antioquia) - ANT  </t>
  </si>
  <si>
    <t>M.P 05800-009939</t>
  </si>
  <si>
    <t xml:space="preserve">DE LA CUESTA DIAZ YISNETH LORENA </t>
  </si>
  <si>
    <t xml:space="preserve">CC 35602922 / Tecnologo En Delineante De Arquitectura E Ingenieria (Institucion Universitaria Colegio Mayor De Antioquia) - ANT  </t>
  </si>
  <si>
    <t>M.P 05406-010278</t>
  </si>
  <si>
    <t xml:space="preserve">CUESTA GARCIA YAZUHAKIN ERNESTO </t>
  </si>
  <si>
    <t xml:space="preserve">CC 11636824 / Tecnologo Delineante De Arquitectura E Ingenieria (Colegio Mayor De Antioquia) - ANT  </t>
  </si>
  <si>
    <t>M.P 05813-011138</t>
  </si>
  <si>
    <t xml:space="preserve">ESCOBAR OCHOA MARTHA GLADYS </t>
  </si>
  <si>
    <t xml:space="preserve">CC 42752263 / Tecnica Profesional Intermedio En Delineante De Arquitectura E Ingenieria (Academia Superior De Artes De Medellin) - ANT  </t>
  </si>
  <si>
    <t>M.P 05415-011940</t>
  </si>
  <si>
    <t xml:space="preserve">ZAPATA RIOS ANDRES FELIPE </t>
  </si>
  <si>
    <t xml:space="preserve">CC 71376588 / Tecnologo En Delineante De Arquitectura E Ingenieria (Institucion Universitaria Colegio Mayor De Antioquia) - ANT  </t>
  </si>
  <si>
    <t>M.P 05415-011945</t>
  </si>
  <si>
    <t xml:space="preserve">CUESTA SERNA AURLIN </t>
  </si>
  <si>
    <t xml:space="preserve">CC 8103088 / Tecnologo En Delineante De Arquitectura E Ingenieria (Institucion Universitaria Colegio Mayor De Antioquia) - ANT  </t>
  </si>
  <si>
    <t>M.P 05800-011947</t>
  </si>
  <si>
    <t xml:space="preserve">ARIAS JIMENEZ YIVIA PAULINA </t>
  </si>
  <si>
    <t xml:space="preserve">CC 39179363 / Tecnologo En Delineantes De Arquitectura E Ingenieria (Institucion Universitaria Colegio Mayor De Antioquia) - ANT  </t>
  </si>
  <si>
    <t>M.P 05803-012446</t>
  </si>
  <si>
    <t xml:space="preserve">MORENO LONDOÑO SANDRA MARIA </t>
  </si>
  <si>
    <t xml:space="preserve">CC 43071455 / Tecnico Profesional En Delineante De Arquitectura E Ingenieria (Academia Superior De Artes De Medellin) - ANT  </t>
  </si>
  <si>
    <t>M.P 05406-012742</t>
  </si>
  <si>
    <t xml:space="preserve">BOLIVAR GALEANO ANA CRISTINA </t>
  </si>
  <si>
    <t xml:space="preserve">CC 43618511 / Tecnologo Delineante De Arquitectura E Ingenieria (Colegio Mayor De Antioquia) - ANT  </t>
  </si>
  <si>
    <t>M.P 05406-012957</t>
  </si>
  <si>
    <t xml:space="preserve">LUJAN ESCOBAR DAVID FERNANDO </t>
  </si>
  <si>
    <t xml:space="preserve">CC 71729955 / Tecnologo Delineante De Arquitectura E Ingenieria (Colegio Mayor De Antioquia) - ANT  </t>
  </si>
  <si>
    <t>M.P 05803-012981</t>
  </si>
  <si>
    <t xml:space="preserve">MARIN MORALES JUAN CARLOS </t>
  </si>
  <si>
    <t xml:space="preserve">CC 98541049 / Tecnico Profesional En Delineante De Arquitectura E Ingenieria (Academia Superior De Artes De Medellin) - ANT  </t>
  </si>
  <si>
    <t>M.P 05415-013210</t>
  </si>
  <si>
    <t xml:space="preserve">AGUIRRE SALAZAR ANGELA MARIA </t>
  </si>
  <si>
    <t xml:space="preserve">CC 1128406337 / Tecnologo En Delineante De Arquitectura E Ingenieria (Institucion Universitaria Colegio Mayor De Antioquia) - ANT  </t>
  </si>
  <si>
    <t>M.P 05415-013215</t>
  </si>
  <si>
    <t xml:space="preserve">MARIN SANCHEZ YONI </t>
  </si>
  <si>
    <t xml:space="preserve">CC 1020400779 / Tecnologo En Delineante De Arquitectura E Ingenieria (Institucion Universitaria Colegio Mayor De Antioquia) - ANT  </t>
  </si>
  <si>
    <t>M.P 05415-013685</t>
  </si>
  <si>
    <t xml:space="preserve">SANCHEZ RAMIREZ NORMAN ALEXANDER </t>
  </si>
  <si>
    <t xml:space="preserve">CC 98643134 / Tecnologo En Delineante De Arquitectura E Ingenieria (Institucion Universitaria Colegio Mayor De Antioquia) - ANT  </t>
  </si>
  <si>
    <t>M.P 05803-013964</t>
  </si>
  <si>
    <t xml:space="preserve">CEBALLOS VERGARA EDGAR HERNAN </t>
  </si>
  <si>
    <t xml:space="preserve">CC 71783219 / Tecnico Profesional En Delineante De Arquitectura E Ingenieria (Corporacion Academia Superior De Artes De Medellin) - ANT  </t>
  </si>
  <si>
    <t>M.P 05415-014259</t>
  </si>
  <si>
    <t xml:space="preserve">URIBE MARTINEZ MONICA ANDREA </t>
  </si>
  <si>
    <t xml:space="preserve">CC 39287075 / Tecnologo En Delineante De Arquitectura E Ingenieria (Institucion Universitaria Colegio Mayor De Antioquia) - ANT  </t>
  </si>
  <si>
    <t>M.P 05415-014260</t>
  </si>
  <si>
    <t xml:space="preserve">REBOLLEDO JIMENEZ KATERINE </t>
  </si>
  <si>
    <t xml:space="preserve">CC 1128414219 / Tecnologo En Delineante De Arquitectura E Ingenieria (Institucion Universitaria Colegio Mayor De Antioquia) - ANT  </t>
  </si>
  <si>
    <t>M.P 05406-016149</t>
  </si>
  <si>
    <t xml:space="preserve">OSPINA GUTIERREZ MARIA MARGARITA </t>
  </si>
  <si>
    <t xml:space="preserve">CC 43433140 / Tecnologo Delineante De Arquitectura E Ingenieria (Colegio Mayor De Antioquia) - ANT  </t>
  </si>
  <si>
    <t>M.P 05415-016563</t>
  </si>
  <si>
    <t xml:space="preserve">DUNCAN SOGAMOSO FRIEDREICH NIKOLAI </t>
  </si>
  <si>
    <t xml:space="preserve">CC 70878707 / Tecnologo En Delineante De Arquitectura E Ingenieria (Institucion Universitaria Colegio Mayor De Antioquia) - ANT  </t>
  </si>
  <si>
    <t>M.P 05406-016517</t>
  </si>
  <si>
    <t xml:space="preserve">PINEDA MONTOYA JUAN ESTEBAN </t>
  </si>
  <si>
    <t xml:space="preserve">CC 71762324 / Tecnologo Delineante De Arquitectura E Ingenieria (Institucion Universitaria Colegio Mayor De Antioquia) - ANT  </t>
  </si>
  <si>
    <t>M.P 05803-017080</t>
  </si>
  <si>
    <t xml:space="preserve">AGUDELO VALENCIA PAOLA ANDREA </t>
  </si>
  <si>
    <t xml:space="preserve">CC 43748521 / Tecnico Profesional En Delineante De Arquitectura E Ingenieria (Corporacion Academia Superior De Artes De Medellin) - ANT  </t>
  </si>
  <si>
    <t>M.P 05803-018950</t>
  </si>
  <si>
    <t xml:space="preserve">MEJIA HIGUITA OSCAR GIOVANNI </t>
  </si>
  <si>
    <t xml:space="preserve">CC 71738169 / Tecnico Profesional En Delineante De Arquitectura E Ingenieria (Corporacion Academia Superior De Artes De Medellin) - ANT  </t>
  </si>
  <si>
    <t>M.P 05415-019149</t>
  </si>
  <si>
    <t xml:space="preserve">MORALES MARIN ALBEIRO </t>
  </si>
  <si>
    <t xml:space="preserve">CC 71799321 / Tecnologo En Delineante De Arquitectura E Ingenieria (Institucion Universitaria Colegio Mayor De Antioquia) - ANT  </t>
  </si>
  <si>
    <t>M.P 05813-021145</t>
  </si>
  <si>
    <t xml:space="preserve">BEDOYA GIL FEDERICO ALONSO </t>
  </si>
  <si>
    <t xml:space="preserve">CC 71624122 / Tecnico Profesional Intermedio En Delineante De Arquitectura E Ingenieria (Corporacion Educativa Instituto Tecnico Superior De Artes) - ANT  </t>
  </si>
  <si>
    <t>M.P 05415-021154</t>
  </si>
  <si>
    <t xml:space="preserve">GOMEZ CASTAÑO ESTEFANIA </t>
  </si>
  <si>
    <t xml:space="preserve">CC 1017198820 / Tecnologo En Delineante De Arquitectura E Ingenieria (Institucion Universitaria Colegio Mayor De Antioquia) - ANT  </t>
  </si>
  <si>
    <t>M.P 05803-021365</t>
  </si>
  <si>
    <t xml:space="preserve">VELEZ ALVAREZ TERESITA DE JESUS </t>
  </si>
  <si>
    <t xml:space="preserve">CC 42796788 / Tecnico Profesional En Delineante De Arquitectura E Ingenieria (Academia Superior De Artes De Medellin) - ANT  </t>
  </si>
  <si>
    <t>M.P 05803-021912</t>
  </si>
  <si>
    <t xml:space="preserve">GOMEZ GALLEGO JAIME LEON </t>
  </si>
  <si>
    <t xml:space="preserve">CC 15425437 / Tecnico Profesional En Delineante De Arquitectura E Ingenieria (Corporacion Educativa Instituto Tecnico Superior De Artes) - ANT  </t>
  </si>
  <si>
    <t>M.P 05438-022925</t>
  </si>
  <si>
    <t xml:space="preserve">CALDERON MEJIA MARIA ELENA </t>
  </si>
  <si>
    <t xml:space="preserve">CC 42878387 / Tecnico Profesional Intermedio Delineante De Arquitectura E Ingenieria (Corporacion Educativa Instituto Tecnico Superior De Artes) - ANT  </t>
  </si>
  <si>
    <t>M.P 05415-024184</t>
  </si>
  <si>
    <t xml:space="preserve">MORENO ROJAS CHARLES ANDRE </t>
  </si>
  <si>
    <t xml:space="preserve">CC 1017149269 / Tecnologo En Delineante De Arquitectura E Ingenieria (Institucion Universitaria Colegio Mayor De Antioquia) - ANT  </t>
  </si>
  <si>
    <t>M.P 05808-024678</t>
  </si>
  <si>
    <t xml:space="preserve">LOTERO BEDOYA ANA MARIA </t>
  </si>
  <si>
    <t xml:space="preserve">CC 32544960 / Delineante De Arquitectura E Ingenieria (Instituto De Artes) - ANT  </t>
  </si>
  <si>
    <t>M.P 05415-025456</t>
  </si>
  <si>
    <t xml:space="preserve">VELEZ CASTAÑEDA JASON STEPHEN </t>
  </si>
  <si>
    <t xml:space="preserve">CC 71290664 / Tecnologo En Delineante De Arquitectura E Ingenieria (Institucion Universitaria Colegio Mayor De Antioquia) - ANT  </t>
  </si>
  <si>
    <t>M.P 05803-025596</t>
  </si>
  <si>
    <t xml:space="preserve">PEREA MOSQUERA GLADIS </t>
  </si>
  <si>
    <t xml:space="preserve">CC 43534987 / Tecnico Profesional En Delineante De Arquitectura E Ingenieria (Academia Superior De Artes De Medellin) - ANT  </t>
  </si>
  <si>
    <t>M.P 05803-025829</t>
  </si>
  <si>
    <t xml:space="preserve">HOYOS BARRERA ADRIANA MARIA </t>
  </si>
  <si>
    <t xml:space="preserve">CC 43677337 / Tecnico Profesional En Delineante De Arquitectura E Ingenieria (Corporacion Academia Superior De Artes De Medellin) - ANT  </t>
  </si>
  <si>
    <t>M.P 05815-026078</t>
  </si>
  <si>
    <t xml:space="preserve">RENDON GALLEGO YENNY ANDREA </t>
  </si>
  <si>
    <t xml:space="preserve">CC 43210515 / Tecnica Profesional En Delineante Constructor (Corporacion Academia Superior De Artes De Medellin) - ANT  </t>
  </si>
  <si>
    <t>M.P 05415-026951</t>
  </si>
  <si>
    <t xml:space="preserve">GUTIERREZ TAMAYO ANA MARIA </t>
  </si>
  <si>
    <t xml:space="preserve">CC 1152197951 / Tecnologa Delineante De Arquitectura E Ingenieria (Institucion Universitaria Colegio Mayor De Antioquia) - ANT  </t>
  </si>
  <si>
    <t>M.P 05427-026967</t>
  </si>
  <si>
    <t xml:space="preserve">URREA GARCIA ANDRES FERNANDO </t>
  </si>
  <si>
    <t xml:space="preserve">CC 71005715 / Tecnologo En Tecnicas De Desarrollo Grafico De Proyectos De Construccion (Servicio Nacional De Aprendizaje Sena) - ANT  </t>
  </si>
  <si>
    <t>M.P 05415-027672</t>
  </si>
  <si>
    <t xml:space="preserve">LAINEZ LOPEZ JULIANA </t>
  </si>
  <si>
    <t xml:space="preserve">CC 1128433751 / Tecnologa En Delineante De Arquitectura E Ingenieria (Institucion Universitaria Colegio Mayor De Antioquia) - ANT  </t>
  </si>
  <si>
    <t>M.P 05427-027681</t>
  </si>
  <si>
    <t xml:space="preserve">PEREZ TORRES CAMILO ANDRES </t>
  </si>
  <si>
    <t xml:space="preserve">CC 1037071322 / Tecnologo En Tecnicas De Desarrollo Grafico De Proyectos De Construccion (Servicio Nacional De Aprendizaje Sena) - ANT  </t>
  </si>
  <si>
    <t>M.P 05415-027691</t>
  </si>
  <si>
    <t xml:space="preserve">GUTIERREZ LOPEZ NANCY YULIETH </t>
  </si>
  <si>
    <t xml:space="preserve">CC 1040740341 / Tecnologa En Delineante De Arquitectura E Ingenieria (Institucion Universitaria Colegio Mayor De Antioquia) - ANT  </t>
  </si>
  <si>
    <t>M.P 05427-029871</t>
  </si>
  <si>
    <t xml:space="preserve">FONSECA CASTELBLANCO JOSE CRISTOBAL </t>
  </si>
  <si>
    <t xml:space="preserve">CC 80235553 / Tecnologo En Tecnicas De Desarrollo Grafico De Proyectos De Construccion (Servicio Nacional De Aprendizaje Sena) - ANT  </t>
  </si>
  <si>
    <t>M.P 05427-029898</t>
  </si>
  <si>
    <t xml:space="preserve">QUINTERO MARIN PAULA YERALDIN </t>
  </si>
  <si>
    <t xml:space="preserve">CC 1037072084 / Tecnologo En Tecnicas De Desarrollo Grafico De Proyectos De Construccion (Servicio Nacional De Aprendizaje Sena) - ANT  </t>
  </si>
  <si>
    <t>M.P 05406-029900</t>
  </si>
  <si>
    <t xml:space="preserve">PEREZ ORTIZ JUAN DANIEL </t>
  </si>
  <si>
    <t xml:space="preserve">CC 98663309 / Tecnologo Delineante De Arquitectura E Ingenieria (Colegio Mayor De Antioquia) - ANT  </t>
  </si>
  <si>
    <t>M.P 05427-029901</t>
  </si>
  <si>
    <t xml:space="preserve">CARDENAS QUIROZ ANDRES FELIPE </t>
  </si>
  <si>
    <t xml:space="preserve">CC 92258868 / Tecnologo En Tecnicas De Desarrollo Grafico De Proyectos De Construccion (Servicio Nacional De Aprendizaje Sena) - ANT  </t>
  </si>
  <si>
    <t>M.P 05427-030140</t>
  </si>
  <si>
    <t xml:space="preserve">BOTERO ALVAREZ ALVARO URIEL </t>
  </si>
  <si>
    <t xml:space="preserve">CC 70787117 / Tecnologo En Tecnicas De Desarrollo Grafico De Proyectos De Construccion (Servicio Nacional De Aprendizaje Sena) - ANT  </t>
  </si>
  <si>
    <t>M.P 05427-030409</t>
  </si>
  <si>
    <t xml:space="preserve">CASTAÑO TRUJILLO LUIS FERNANDO </t>
  </si>
  <si>
    <t xml:space="preserve">CC 1040740344 / Tecnologo En Tecnicas De Desarrollo Grafico De Proyectos De Construccion (Servicio Nacional De Aprendizaje Sena) - ANT  </t>
  </si>
  <si>
    <t>M.P 05803-030411</t>
  </si>
  <si>
    <t xml:space="preserve">GARCIA PEREZ JOSE LUIS </t>
  </si>
  <si>
    <t xml:space="preserve">CC 71665059 / Tecnico Profesional En Delineante De Arquitectura E Ingenieria (Corporacion Academia Superior De Artes De Medellin) - ANT  </t>
  </si>
  <si>
    <t>M.P 05427-030730</t>
  </si>
  <si>
    <t xml:space="preserve">JIMENEZ AGUILAR JAIME ALEXANDER </t>
  </si>
  <si>
    <t xml:space="preserve">CC 1128457340 / Tecnologo En Tecnicas De Desarrollo Grafico De Proyectos De Construccion (Servicio Nacional De Aprendizaje Sena) - ANT  </t>
  </si>
  <si>
    <t>M.P 05427-030748</t>
  </si>
  <si>
    <t xml:space="preserve">CASTAÑO ARIAS MONICA MARIA </t>
  </si>
  <si>
    <t xml:space="preserve">CC 1128274409 / Tecnologo En Tecnicas De Desarrollo Grafico De Proyectos De Construccion (Servicio Nacional De Aprendizaje Sena) - ANT  </t>
  </si>
  <si>
    <t>M.P 05803-031302</t>
  </si>
  <si>
    <t xml:space="preserve">GUISAO TABARES LUZ ADRIANA </t>
  </si>
  <si>
    <t xml:space="preserve">CC 43589381 / Tecnico Profesional En Delineante De Arquitectura E Ingenieria (Corporacion Academia Superior De Artes De Medellin) - ANT  </t>
  </si>
  <si>
    <t>M.P 05427-031314</t>
  </si>
  <si>
    <t xml:space="preserve">PENAGOS CALDERON CARLOS ANDRES </t>
  </si>
  <si>
    <t xml:space="preserve">CC 98632315 / Tecnologo En Tecnicas De Desarrollo Grafico De Proyectos De Construccion (Servicio Nacional De Aprendizaje Sena) - ANT  </t>
  </si>
  <si>
    <t>M.P 05427-031358</t>
  </si>
  <si>
    <t xml:space="preserve">CARVAJAL ANGARITA CARLOS ANDRES </t>
  </si>
  <si>
    <t xml:space="preserve">CC 1082892995 / Tecnologo En Tecnicas De Desarrollo Grafico De Proyectos De Construccion (Servicio Nacional De Aprendizaje Sena) - ANT  </t>
  </si>
  <si>
    <t>M.P 05427-031607</t>
  </si>
  <si>
    <t xml:space="preserve">ALZATE LONDOÑO ANA MARIA </t>
  </si>
  <si>
    <t xml:space="preserve">CC 1037072232 / Tecnologo En Tecnicas De Desarrollo Grafico De Proyectos De Construccion (Servicio Nacional De Aprendizaje Sena) - ANT  </t>
  </si>
  <si>
    <t>M.P 05415-030416</t>
  </si>
  <si>
    <t xml:space="preserve">MESA ESPINOSA JUAN CAMILO </t>
  </si>
  <si>
    <t xml:space="preserve">CC 71338023 / Tecnologo En Delineante De Arquitectura E Ingenieria (Institucion Universitaria Colegio Mayor De Antioquia) - ANT  </t>
  </si>
  <si>
    <t>M.P 05427-032045</t>
  </si>
  <si>
    <t xml:space="preserve">MORENO CELIS ESTEBAN </t>
  </si>
  <si>
    <t xml:space="preserve">CC 1017176453 / Tecnologo En Tecnicas De Desarrollo Grafico De Proyectos De Construccion (Servicio Nacional De Aprendizaje Sena) - ANT  </t>
  </si>
  <si>
    <t>M.P 05415-032495</t>
  </si>
  <si>
    <t xml:space="preserve">MARULANDA RIOS JESUS DAVID </t>
  </si>
  <si>
    <t xml:space="preserve">CC 1128400427 / Tecnologo En Delineante De Arquitectura E Ingenieria (Institucion Universitaria Colegio Mayor De Antioquia) - ANT  </t>
  </si>
  <si>
    <t>M.P 05415-032871</t>
  </si>
  <si>
    <t xml:space="preserve">PATIÑO PATIÑO EDIE HUMBERTO </t>
  </si>
  <si>
    <t xml:space="preserve">CC 1128446354 / Tecnologo En Delineante De Arquitectura E Ingenieria (Institucion Universitaria Colegio Mayor De Antioquia) - ANT  </t>
  </si>
  <si>
    <t>M.P 05415-033146</t>
  </si>
  <si>
    <t xml:space="preserve">QUINTERO LOPEZ CLAUDIA PATRICIA </t>
  </si>
  <si>
    <t xml:space="preserve">CC 25102552 / Tecnologo En Delineante De Arquitectura E Ingenieria (Institucion Universitaria Colegio Mayor De Antioquia) - ANT  </t>
  </si>
  <si>
    <t>M.P 05427-033158</t>
  </si>
  <si>
    <t xml:space="preserve">GOMEZ HENAO DIANA MARIA </t>
  </si>
  <si>
    <t xml:space="preserve">CC 1128267368 / Tecnologo En Tecnicas De Desarrollo Grafico De Proyectos De Construccion (Servicio Nacional De Aprendizaje Sena) - ANT  </t>
  </si>
  <si>
    <t>M.P 05427-033414</t>
  </si>
  <si>
    <t xml:space="preserve">BEDOYA VELASQUEZ MARIA LILIANA </t>
  </si>
  <si>
    <t xml:space="preserve">CC 42791509 / Tecnologo En Tecnicas De Desarrollo Grafico De Proyectos De Construccion (Servicio Nacional De Aprendizaje Sena) - ANT  </t>
  </si>
  <si>
    <t>M.P 05427-033416</t>
  </si>
  <si>
    <t xml:space="preserve">ALZATE RAMIREZ STIVEN </t>
  </si>
  <si>
    <t xml:space="preserve">CC 1026143755 / Tecnologo En Tecnicas De Desarrollo Grafico De Proyectos De Construccion (Servicio Nacional De Aprendizaje Sena) - ANT  </t>
  </si>
  <si>
    <t>M.P 05406-032481</t>
  </si>
  <si>
    <t xml:space="preserve">FLOREZ MARTINEZ ANA MARIA </t>
  </si>
  <si>
    <t>07-20-2014</t>
  </si>
  <si>
    <t xml:space="preserve">CC 43595791 / Tecnologo Delineante De Arquitectura E Ingenieria (Colegio Mayor De Antioquia) - ANT  </t>
  </si>
  <si>
    <t>M.P 05406-032887</t>
  </si>
  <si>
    <t xml:space="preserve">VELEZ BRAVO JUAN ESTEBAN </t>
  </si>
  <si>
    <t xml:space="preserve">CC 71376604 / Tecnologo Delineante De Arquitectura E Ingenieria (Colegio Mayor De Antioquia) - ANT  </t>
  </si>
  <si>
    <t>M.P 05427-033927</t>
  </si>
  <si>
    <t xml:space="preserve">CADAVID MARULANDA ELIZABETH CRISTINA </t>
  </si>
  <si>
    <t xml:space="preserve">CC 43841740 / Tecnologo En Tecnicas De Desarrollo Grafico De Proyectos De Construccion (Servicio Nacional De Aprendizaje Sena) - ANT  </t>
  </si>
  <si>
    <t>M.P 05427-033929</t>
  </si>
  <si>
    <t xml:space="preserve">GALLEGO BARRIENTOS BRYAN ALEXIS </t>
  </si>
  <si>
    <t xml:space="preserve">CC 1036644264 / Tecnologo En Tecnicas De Desarrollo Grafico De Proyectos De Construccion (Servicio Nacional De Aprendizaje Sena) - ANT  </t>
  </si>
  <si>
    <t>M.P 05415-033951</t>
  </si>
  <si>
    <t xml:space="preserve">CORREA CAMILO ANDRES </t>
  </si>
  <si>
    <t xml:space="preserve">CC 1128443884 / Tecnologo En Delineante De Arquitectura E Ingenieria (Institucion Universitaria Colegio Mayor De Antioquia) - ANT  </t>
  </si>
  <si>
    <t>M.P 05427-033677</t>
  </si>
  <si>
    <t xml:space="preserve">ESTRADA ALZATE JESSICA </t>
  </si>
  <si>
    <t xml:space="preserve">CC 43740057 / Tecnologo En Tecnicas De Desarrollo Grafico De Proyectos De Construccion (Servicio Nacional De Aprendizaje Sena) - ANT  </t>
  </si>
  <si>
    <t>M.P 05415-033684</t>
  </si>
  <si>
    <t xml:space="preserve">MUNERA TOBON RUTH ESTELLA </t>
  </si>
  <si>
    <t xml:space="preserve">CC 32323813 / Tecnologa En Delineante De Arquitectura E Ingenieria (Institucion Universitaria Colegio Mayor De Antioquia) - ANT  </t>
  </si>
  <si>
    <t>M.P 05427-034838</t>
  </si>
  <si>
    <t xml:space="preserve">GIRALDO DUQUE ROBINSON ALBERTO </t>
  </si>
  <si>
    <t xml:space="preserve">CC 71374931 / Tecnologo En Tecnicas De Desarrollo Grafico De Proyectos De Construccion (Servicio Nacional De Aprendizaje Sena) - ANT  </t>
  </si>
  <si>
    <t>M.P 05492-034839</t>
  </si>
  <si>
    <t xml:space="preserve">MONTOYA CASTAÑO ALEXANDER </t>
  </si>
  <si>
    <t xml:space="preserve">CC 71784164 / Tecnico Profesional En Desarrollo Grafico De Proyectos De Construccion (Servicio Nacional De Aprendizaje Sena) - ANT  </t>
  </si>
  <si>
    <t>M.P 05427-035693</t>
  </si>
  <si>
    <t xml:space="preserve">COLORADO TANGARIFE DEYSON ARMANDO </t>
  </si>
  <si>
    <t xml:space="preserve">CC 1026133973 / Tecnologo En Tecnicas De Desarrollo Grafico De Proyectos De Construccion (Servicio Nacional De Aprendizaje Sena) - ANT  </t>
  </si>
  <si>
    <t>M.P 05970-007648</t>
  </si>
  <si>
    <t xml:space="preserve">ACOSTA ARBELAEZ JAIME ALBERTO </t>
  </si>
  <si>
    <t xml:space="preserve">CC 98659255 / Tecnico Profesional En Delineante Y Auxiliar De Ingenieria Mecanica (Corporacion Academia Superior De Artes De Medellin) - ANT </t>
  </si>
  <si>
    <t>M.P 05970-007833</t>
  </si>
  <si>
    <t xml:space="preserve">VELEZ TABARES JUAN CARLOS </t>
  </si>
  <si>
    <t xml:space="preserve">CC 98580703 / Tecnico Profesional En Delineante Y Auxiliar De Ingenieria Mecanica (Corporacion Academia Superior De Artes De Medellin) - ANT </t>
  </si>
  <si>
    <t>M.P 05970-010078</t>
  </si>
  <si>
    <t xml:space="preserve">GARCIA GUTIERREZ MAURICIO </t>
  </si>
  <si>
    <t xml:space="preserve">CC 98566631 / Tecnico Profesional En Delineante Y Auxiliar De Ingenieria Mecanica (Academia Superior De Artes De Medellin) - ANT </t>
  </si>
  <si>
    <t>M.P 08405-00001</t>
  </si>
  <si>
    <t xml:space="preserve">WILLIAMS ESCALONA JALIS </t>
  </si>
  <si>
    <t xml:space="preserve">CC 32622433 / Tecnico Profesional Intermedio En Delineante De Arquitectura Y Decoracion (Corporacion Instituto De Artes Y Ciencias - Ciac) - ATL  </t>
  </si>
  <si>
    <t>M.P 08428-00002</t>
  </si>
  <si>
    <t xml:space="preserve">LIMA DAZA CARLOS ALBERTO </t>
  </si>
  <si>
    <t xml:space="preserve">CC 77016994 / Tecnico Profesional En Delineante De Arquitectura Y Decoracion (Corporacion Instituto De Artes Y Ciencias - Ciac) - ATL  </t>
  </si>
  <si>
    <t>M.P 08405-00003</t>
  </si>
  <si>
    <t xml:space="preserve">RODRIGUEZ MEZA WILMAN </t>
  </si>
  <si>
    <t xml:space="preserve">CC 8533164 / Tecnico Profesional En Delineante De Arquitectura E Ingenieria (Corporacion Educativa Del Litoral) - ATL  </t>
  </si>
  <si>
    <t>M.P 08809-00026</t>
  </si>
  <si>
    <t xml:space="preserve">HERNANDEZ MENDOZA ROQUE RAFAEL </t>
  </si>
  <si>
    <t xml:space="preserve">CC 92497891 / Tecnico Profesional En Delineante De Arquitectura E Ingenieria (Corporacion Educativa Del Litoral) - ATL  </t>
  </si>
  <si>
    <t>M.P 08809-00027</t>
  </si>
  <si>
    <t xml:space="preserve">JIMENEZ SALAS NIXON EDUARDO </t>
  </si>
  <si>
    <t xml:space="preserve">CC 85435810 / Tecnico Profesional En Delineante De Arquitectura E Ingenieria (Corporacion Educativa Del Litoral) - ATL  </t>
  </si>
  <si>
    <t>M.P 08803-003224</t>
  </si>
  <si>
    <t xml:space="preserve">VALLEJO FLOREZ LUIS ALFONSO </t>
  </si>
  <si>
    <t xml:space="preserve">CC 15043952 / Tecnico Profesional En Delineante De Arquitectura E Ingenieria (Corporacion Educativa Del Litoral) - ATL  </t>
  </si>
  <si>
    <t>M.P 08803-013995</t>
  </si>
  <si>
    <t xml:space="preserve">GUERRERO PARDO OSVALDO ENRIQUE </t>
  </si>
  <si>
    <t xml:space="preserve">CC 85462531 / Tecnico Profesional En Delineante De Arquitectura E Ingenieria (Corporacion Educativa Del Litoral) - ATL  </t>
  </si>
  <si>
    <t>M.P 08813-020818</t>
  </si>
  <si>
    <t xml:space="preserve">AVILA GOMEZ JESUS ALBERTO </t>
  </si>
  <si>
    <t xml:space="preserve">CC 8694330 / Tecnico Profesional Intermedio En Delineante De Arquitectura E Ingenieria (Corporacion Educativa Del Litoral) - ATL  </t>
  </si>
  <si>
    <t>M.P 08427-028612</t>
  </si>
  <si>
    <t xml:space="preserve">DE LOS RIOS SUAREZ JAIRO MANUEL </t>
  </si>
  <si>
    <t xml:space="preserve">CC 1143131130 / Tecnologo En Tecnicas De Desarrollo Grafico De Proyectos De Construccion (Servicio Nacional De Aprendizaje Sena) - ATL  </t>
  </si>
  <si>
    <t>M.P 08403-031360</t>
  </si>
  <si>
    <t xml:space="preserve">VILLEGAS SERRANO KATHERINE TATIANA </t>
  </si>
  <si>
    <t xml:space="preserve">CC 1129537922 / Tecnico Profesional En Tecnicas De Desarrollo Grafico De Proyectos De Construccion (Servicio Nacional De Aprendizaje Sena) - ATL  </t>
  </si>
  <si>
    <t>M.P 08480-00004</t>
  </si>
  <si>
    <t xml:space="preserve">CASTRO ORDOÑEZ JAIME </t>
  </si>
  <si>
    <t xml:space="preserve">CC 8662404 / Tecnico Profesional Intermedio Delineante De Arquitectura Y Decoracion (Corporacion Instituto De Artes Y Ciencias - Ciac) - ATL  </t>
  </si>
  <si>
    <t>M.P 08481-00007</t>
  </si>
  <si>
    <t xml:space="preserve">DOMINGUEZ GUZMAN DONIDALDO JOSE </t>
  </si>
  <si>
    <t xml:space="preserve">CC 92153117 / Tecnico Profesional En Delineante De Arquitectura Y Decoracion (Corporacion Instituto De Artes Y Ciencias - Ciac) - ATL  </t>
  </si>
  <si>
    <t>M.P 08481-00012</t>
  </si>
  <si>
    <t xml:space="preserve">GALVIS CAMACHO MARCEL ANTONIO </t>
  </si>
  <si>
    <t xml:space="preserve">CC 72205884 / Tecnico Profesional En Delineante De Arquitectura Y Decoracion (Corporacion Instituto De Artes Y Ciencias - Ciac) - ATL  </t>
  </si>
  <si>
    <t>M.P 08428-00015</t>
  </si>
  <si>
    <t xml:space="preserve">PAEZ LOPEZ RAFAEL ANSELMO </t>
  </si>
  <si>
    <t xml:space="preserve">CC 72173511 / Tecnico Profesional En Delineante De Arquitectura Y Decoracion (Corporacion Instituto De Artes Y Ciencias - Ciac) - ATL  </t>
  </si>
  <si>
    <t>M.P 08481-00005</t>
  </si>
  <si>
    <t xml:space="preserve">PEREZ GONZALEZ OTTO JAVIER </t>
  </si>
  <si>
    <t xml:space="preserve">CC 72175085 / Tecnico Profesional En Delineante De Arquitectura Y Decoracion (Corporacion Instituto De Artes Y Ciencias - Ciac) - ATL  </t>
  </si>
  <si>
    <t>M.P 08481-00013</t>
  </si>
  <si>
    <t xml:space="preserve">RICARDO GARCIA RAUL GREGORIO </t>
  </si>
  <si>
    <t xml:space="preserve">CC 92228368 / Tecnico Profesional En Delineante De Arquitectura Y Decoracion (Corporacion Instituto De Artes Y Ciencias - Ciac) - ATL  </t>
  </si>
  <si>
    <t>M.P 08481-00018</t>
  </si>
  <si>
    <t xml:space="preserve">SALCEDO ROJAS EDER JESUS </t>
  </si>
  <si>
    <t xml:space="preserve">CC 8746913 / Tecnico Profesional En Delineante De Arquitectura Y Decoracion (Corporacion Instituto De Artes Y Ciencias - Ciac) - ATL  </t>
  </si>
  <si>
    <t>M.P 08481-00008</t>
  </si>
  <si>
    <t xml:space="preserve">TONCEL SIERRA GLEISER </t>
  </si>
  <si>
    <t xml:space="preserve">CC 77176335 / Tecnico Profesional En Delineante De Arquitectura Y Decoracion (Corporacion Instituto De Artes Y Ciencias - Ciac) - ATL  </t>
  </si>
  <si>
    <t>M.P 08481-00009</t>
  </si>
  <si>
    <t xml:space="preserve">VEGA VILLAR ERIKA PATRICIA </t>
  </si>
  <si>
    <t xml:space="preserve">CC 32873220 / Tecnico Profesional En Delineante De Arquitectura Y Decoracion (Corporacion Instituto De Artes Y Ciencias - Ciac) - ATL  </t>
  </si>
  <si>
    <t>M.P 13406-00003</t>
  </si>
  <si>
    <t xml:space="preserve">ESCOBAR HERNANDEZ BLEIDY MARIA </t>
  </si>
  <si>
    <t xml:space="preserve">CC 34994952 / Tecnologo En Delineante De Arquitectura E Ingenieria (Colegio Mayor De Bolivar) - BLV  </t>
  </si>
  <si>
    <t>M.P 13406-00002</t>
  </si>
  <si>
    <t xml:space="preserve">HERNANDEZ DURANTE JACKELINE DEL SOCORRO </t>
  </si>
  <si>
    <t xml:space="preserve">CC 45471042 / Tecnologo En Delineantes De Arquitectura E Ingenieria (Colegio Mayor De Bolivar) - BLV  </t>
  </si>
  <si>
    <t>M.P 13406-00004</t>
  </si>
  <si>
    <t xml:space="preserve">PEÑA MARIMON YUDY </t>
  </si>
  <si>
    <t xml:space="preserve">CC 45470997 / Tecnologo En Delineante De Arquitectura E Ingenieria (Colegio Mayor De Bolivar) - BLV  </t>
  </si>
  <si>
    <t>M.P 13406-00001</t>
  </si>
  <si>
    <t xml:space="preserve">PERIÑAN ORTIZ MARINA DEL CARMEN </t>
  </si>
  <si>
    <t xml:space="preserve">CC 33143049 / Delineante De Arquitectura (Colegio Mayor De Cultura Femenina De Bolivar) - BLV  </t>
  </si>
  <si>
    <t>M.P 13406-00006</t>
  </si>
  <si>
    <t xml:space="preserve">SANMARTIN RIVERA LIGIA </t>
  </si>
  <si>
    <t xml:space="preserve">CC 45445272 / Tecnologo En Delineante De Arquitectura E Ingenieria (Colegio Mayor De Bolivar) - BLV  </t>
  </si>
  <si>
    <t>M.P 13406-00005</t>
  </si>
  <si>
    <t xml:space="preserve">VARELA ESCUDERO EVANGELINA </t>
  </si>
  <si>
    <t xml:space="preserve">CC 45424687 / Tecnologo En Delineante De Arquitectura E Ingenieria (Colegio Mayor De Bolivar) - BLV  </t>
  </si>
  <si>
    <t>M.P 13406-00007</t>
  </si>
  <si>
    <t xml:space="preserve">CANO LARA JOSEFINA </t>
  </si>
  <si>
    <t xml:space="preserve">CC 45430350 / Tecnologo En Delineante De Arquitectura E Ingenieria (Colegio Mayor De Bolivar) - BLV  </t>
  </si>
  <si>
    <t>M.P 13406-00008</t>
  </si>
  <si>
    <t xml:space="preserve">ZAPATA GUTIERREZ JOSE FERNANDO </t>
  </si>
  <si>
    <t xml:space="preserve">CC 886248 / Tecnologo En Delineante De Arquitectura E Ingenieria (Colegio Mayor De Bolivar) - BLV  </t>
  </si>
  <si>
    <t>M.P 13406-00010</t>
  </si>
  <si>
    <t xml:space="preserve">LUNA FRANCO ANA VIRGINIA </t>
  </si>
  <si>
    <t xml:space="preserve">CC 22776567 / Tecnologo En Delineante De Arquitectura E Ingenieria (Colegio Mayor De Bolivar) - BLV  </t>
  </si>
  <si>
    <t>M.P 13406-00011</t>
  </si>
  <si>
    <t xml:space="preserve">MAR MENDEZ ACENETH </t>
  </si>
  <si>
    <t xml:space="preserve">CC 45495420 / Tecnologo En Delineante De Arquitectura E Ingenieria (Colegio Mayor De Bolivar) - BLV  </t>
  </si>
  <si>
    <t>M.P 13406-00014</t>
  </si>
  <si>
    <t xml:space="preserve">CASTRO HERRERA LUZDARY DEL ROSARIO </t>
  </si>
  <si>
    <t xml:space="preserve">CC 34988146 / Tecnologo En Delineante De Arquitectura E Ingenieria (Colegio Mayor De Bolivar) - BLV  </t>
  </si>
  <si>
    <t>M.P 13406-00012</t>
  </si>
  <si>
    <t xml:space="preserve">RENDON SANCHEZ PIER ANGELI </t>
  </si>
  <si>
    <t xml:space="preserve">CC 45452100 / Tecnologo En Delineante De Arquitectura E Ingenieria (Colegio Mayor De Bolivar) - BLV  </t>
  </si>
  <si>
    <t>M.P 13406-00013</t>
  </si>
  <si>
    <t xml:space="preserve">VALLE IGLESIAS MARIA CRISTINA NIEVES </t>
  </si>
  <si>
    <t xml:space="preserve">CC 45460091 / Tecnologo En Delineante De Arquitectura E Ingenieria (Colegio Mayor De Bolivar) - BLV  </t>
  </si>
  <si>
    <t>M.P 13406-00021</t>
  </si>
  <si>
    <t xml:space="preserve">ALVAREZ RODELO LILIANA HORTENSIA </t>
  </si>
  <si>
    <t xml:space="preserve">CC 45485773 / Tecnologo En Delineante De Arquitectura E Ingenieria (Colegio Mayor De Bolivar) - BLV  </t>
  </si>
  <si>
    <t>M.P 13406-00020</t>
  </si>
  <si>
    <t xml:space="preserve">SANTODOMINGO CABEZA DENILDA </t>
  </si>
  <si>
    <t xml:space="preserve">CC 30773651 / Tecnologo En Delineante De Arquitectura E Ingenieria (Colegio Mayor De Bolivar) - BLV  </t>
  </si>
  <si>
    <t>M.P 13472-00033</t>
  </si>
  <si>
    <t xml:space="preserve">PINEDA PINEDA PATRICIA DEL SOCORRO </t>
  </si>
  <si>
    <t xml:space="preserve">CC 64867731 / Tecnico Profesional En Diseño Y Decoracion De Espacios Arquitectonicos (Instituto De Administracion Y Finanzas De Cartagena - Iafic) - BLV  </t>
  </si>
  <si>
    <t>M.P 13800-002461</t>
  </si>
  <si>
    <t xml:space="preserve">BERRIO PRIMERA JUAN </t>
  </si>
  <si>
    <t xml:space="preserve">CC 73127431 / Tecnologo En Delineante De Arquitectura E Ingenieria (Colegio Mayor De Bolivar) - BLV  </t>
  </si>
  <si>
    <t>M.P 13800-003384</t>
  </si>
  <si>
    <t xml:space="preserve">SCHMALBACH MARRUGO FELIX OTTO </t>
  </si>
  <si>
    <t xml:space="preserve">CC 73157620 / Tecnologo En Delineante De Arquitectura E Ingenieria (Colegio Mayor De Bolivar) - BLV  </t>
  </si>
  <si>
    <t>M.P 13922-005232</t>
  </si>
  <si>
    <t xml:space="preserve">DE LA ROSA PEREZ TIANA MARIA </t>
  </si>
  <si>
    <t xml:space="preserve">CC 23217669 / Tecnologo En Delineante De Arquitectura E Ingenieria (Colegio Mayor De Bolivar) - BLV  </t>
  </si>
  <si>
    <t>M.P 13415-005463</t>
  </si>
  <si>
    <t xml:space="preserve">GONZALEZ SANCHEZ MARTHA EVELIA </t>
  </si>
  <si>
    <t xml:space="preserve">CC 45468496 / Tecnologo En Delineante De Arquitectura E Ingenieria (Colegio Mayor De Bolivar) - BLV  </t>
  </si>
  <si>
    <t>M.P 13922-005645</t>
  </si>
  <si>
    <t xml:space="preserve">MEDRANO GARCIA VIRGILIA </t>
  </si>
  <si>
    <t xml:space="preserve">CC 45500628 / Tecnologo En Delineante De Arquitectura E Ingenieria (Colegio Mayor De Bolivar) - BLV  </t>
  </si>
  <si>
    <t>M.P 13804-006001</t>
  </si>
  <si>
    <t xml:space="preserve">ARAQUE DIAZ CARMEN </t>
  </si>
  <si>
    <t xml:space="preserve">CC 45452957 / Tecnologo En Delineante De Arquitectura E Ingenieria (Colegio Mayor De Bolivar) - BLV  </t>
  </si>
  <si>
    <t>M.P 13800-006920</t>
  </si>
  <si>
    <t xml:space="preserve">CASTILLA LLERENA CARLOS ANDRES </t>
  </si>
  <si>
    <t xml:space="preserve">CC 3817375 / Tecnologo En Delineante De Arquitectura E Ingenieria (Institucion Tecnologica Colegio Mayor De Bolivar) - BLV  </t>
  </si>
  <si>
    <t>M.P 13800-008354</t>
  </si>
  <si>
    <t xml:space="preserve">MARTINEZ OLEA ALEYMAR </t>
  </si>
  <si>
    <t xml:space="preserve">CC 45522689 / Tecnologo En Delineante De Arquitectura E Ingenieria (Colegio Mayor De Bolivar) - BLV  </t>
  </si>
  <si>
    <t>M.P 13922-008461</t>
  </si>
  <si>
    <t xml:space="preserve">RINCON VASQUEZ JESUS EDUARDO </t>
  </si>
  <si>
    <t xml:space="preserve">CC 73187171 / Tecnologo En Delineante De Arquitectura E Ingenieria (Colegio Mayor De Bolivar) - BLV  </t>
  </si>
  <si>
    <t>M.P 13415-010469</t>
  </si>
  <si>
    <t xml:space="preserve">RUIZ LYONS DENIA AUXILIADORA </t>
  </si>
  <si>
    <t xml:space="preserve">CC 30579656 / Tecnologo En Delineante De Arquitectura E Ingenieria (Colegio Mayor De Bolivar) - BLV  </t>
  </si>
  <si>
    <t>M.P 13415-010655</t>
  </si>
  <si>
    <t xml:space="preserve">DE LEON VILLALOBOS MARLENE ISABEL </t>
  </si>
  <si>
    <t xml:space="preserve">CC 33157963 / Tecnologo En Delineante De Arquitectura E Ingenieria (Colegio Mayor De Bolivar) - BLV  </t>
  </si>
  <si>
    <t>M.P 13415-018790</t>
  </si>
  <si>
    <t xml:space="preserve">HERRERA CARABALLO MARLEN JOHANA </t>
  </si>
  <si>
    <t xml:space="preserve">CC 30893309 / Tecnologo En Delineante De Arquitectura E Ingenieria (Colegio Mayor De Bolivar) - BLV  </t>
  </si>
  <si>
    <t>M.P 13415-018987</t>
  </si>
  <si>
    <t xml:space="preserve">GUTIERREZ HERNANDEZ EMILIO JOSE </t>
  </si>
  <si>
    <t xml:space="preserve">CC 73209597 / Tecnologo En Delineante De Arquitectura E Ingenieria (Institucion Tecnologica Colegio Mayor De Bolivar) - BLV  </t>
  </si>
  <si>
    <t>M.P 13415-019381</t>
  </si>
  <si>
    <t xml:space="preserve">HOYOS HOYOS INDIRA ELIZABETH </t>
  </si>
  <si>
    <t xml:space="preserve">CC 45474875 / Tecnologo En Delineante De Arquitectura E Ingenieria (Colegio Mayor De Bolivar) - BLV  </t>
  </si>
  <si>
    <t>M.P 13415-019668</t>
  </si>
  <si>
    <t xml:space="preserve">FORTICH VILLERO SANDRA ISABEL </t>
  </si>
  <si>
    <t xml:space="preserve">CC 45502537 / Tecnologo En Delineante De Arquitectura E Ingenieria (Colegio Mayor De Bolivar) - BLV  </t>
  </si>
  <si>
    <t>M.P 13415-024406</t>
  </si>
  <si>
    <t xml:space="preserve">GARCES MARTINEZ ADRIANA </t>
  </si>
  <si>
    <t xml:space="preserve">CC 1047434406 / Tecnologo En Delineante De Arquitectura E Ingenieria (Institucion Tecnologica Colegio Mayor De Bolivar) - BLV  </t>
  </si>
  <si>
    <t>M.P 13415-024407</t>
  </si>
  <si>
    <t xml:space="preserve">ORTEGA LIDUEÑA ARMANDO LUIS </t>
  </si>
  <si>
    <t xml:space="preserve">CC 73198977 / Tecnologo En Delineante De Arquitectura E Ingenieria (Institucion Tecnologica Colegio Mayor De Bolivar) - BLV  </t>
  </si>
  <si>
    <t>M.P 13415-026119</t>
  </si>
  <si>
    <t xml:space="preserve">LEPESQUEUR GOSSAIN OSCAR LUCIANO </t>
  </si>
  <si>
    <t xml:space="preserve">CC 9085694 / Tecnologo En Delineante De Arquitectura E Ingenieria (Colegio Mayor De Bolivar) - BLV  </t>
  </si>
  <si>
    <t>M.P 13415-028817</t>
  </si>
  <si>
    <t xml:space="preserve">REVETI PUELLO YUERMARI CRISTINA </t>
  </si>
  <si>
    <t xml:space="preserve">CC 1048443900 / Tecnologo En Delineante De Arquitectura E Ingenieria (Institucion Tecnologica Colegio Mayor De Bolivar) - BLV  </t>
  </si>
  <si>
    <t>M.P 13415-028814</t>
  </si>
  <si>
    <t xml:space="preserve">TOLOSA JIMENEZ MARINA </t>
  </si>
  <si>
    <t xml:space="preserve">CC 45424295 / Tecnologo En Delineante De Arquitectura E Ingenieria (Colegio Mayor De Bolivar) - BLV  </t>
  </si>
  <si>
    <t>M.P 13415-029722</t>
  </si>
  <si>
    <t xml:space="preserve">CASTILLO HERRERA JHON EDINSON </t>
  </si>
  <si>
    <t xml:space="preserve">CC 73008113 / Tecnologo En Delineante De Arquitectura E Ingenieria (Institucion Tecnologica Colegio Mayor De Bolivar) - BLV  </t>
  </si>
  <si>
    <t>M.P 13415-029721</t>
  </si>
  <si>
    <t xml:space="preserve">MONTH TEHERAN JANEL RAFAEL </t>
  </si>
  <si>
    <t xml:space="preserve">CC 73581629 / Tecnologo En Delineante De Arquitectura E Ingenieria (Colegio Mayor De Bolivar) - BLV  </t>
  </si>
  <si>
    <t>M.P 13415-029723</t>
  </si>
  <si>
    <t xml:space="preserve">RODRIGUEZ FLOREZ INDIRA MARIA </t>
  </si>
  <si>
    <t xml:space="preserve">CC 1143339247 / Tecnologo En Delineante De Arquitectura E Ingenieria (Institucion Tecnologica Colegio Mayor De Bolivar) - BLV  </t>
  </si>
  <si>
    <t>M.P 13415-029719</t>
  </si>
  <si>
    <t xml:space="preserve">SAGRE HERNANDEZ FAUSTA ISABEL </t>
  </si>
  <si>
    <t xml:space="preserve">CC 30563324 / Tecnologo En Delineante De Arquitectura E Ingenieria (Colegio Mayor De Bolivar) - BLV  </t>
  </si>
  <si>
    <t>M.P 13415-029917</t>
  </si>
  <si>
    <t xml:space="preserve">SERPA DE LA OSSA JOSE LUIS </t>
  </si>
  <si>
    <t xml:space="preserve">CC 1069474322 / Tecnologo En Delineante De Arquitectura E Ingenieria (Institucion Tecnologica Colegio Mayor De Bolivar) - BLV  </t>
  </si>
  <si>
    <t>M.P 13415-030759</t>
  </si>
  <si>
    <t xml:space="preserve">JULIO GONZALEZ LUCIA ELENA </t>
  </si>
  <si>
    <t xml:space="preserve">CC 1047397236 / Tecnologo En Delineante De Arquitectura E Ingenieria (Institucion Tecnologica Colegio Mayor De Bolivar) - BLV  </t>
  </si>
  <si>
    <t>M.P 13415-030761</t>
  </si>
  <si>
    <t xml:space="preserve">MEDINA RAMIREZ DWIGHT JOSE </t>
  </si>
  <si>
    <t xml:space="preserve">CC 1047376718 / Tecnologo En Delineante De Arquitectura E Ingenieria (Institucion Tecnologica Colegio Mayor De Bolivar) - BLV  </t>
  </si>
  <si>
    <t>M.P 13415-030763</t>
  </si>
  <si>
    <t xml:space="preserve">PEREIRA PERILLA EDUARDO JOSE </t>
  </si>
  <si>
    <t xml:space="preserve">CC 92515773 / Tecnologo En Delineante De Arquitectura E Ingenieria (Institucion Tecnologica Colegio Mayor De Bolivar) - BLV  </t>
  </si>
  <si>
    <t>M.P 13415-030760</t>
  </si>
  <si>
    <t xml:space="preserve">QUINTANA DIAZ DONALD </t>
  </si>
  <si>
    <t xml:space="preserve">CC 8853013 / Tecnologo En Delineante De Arquitectura E Ingenieria (Institucion Tecnologica Colegio Mayor De Bolivar) - BLV  </t>
  </si>
  <si>
    <t>M.P 13415-031643</t>
  </si>
  <si>
    <t xml:space="preserve">ECHENIQUE AGAMEZ ORLANDO </t>
  </si>
  <si>
    <t xml:space="preserve">CC 9103081 / Tecnologo En Delineante De Arquitectura E Ingenieria (Colegio Mayor De Bolivar) - BLV  </t>
  </si>
  <si>
    <t>M.P 13415-032189</t>
  </si>
  <si>
    <t xml:space="preserve">MARRUGO RINCON LILIANA MARGARITA </t>
  </si>
  <si>
    <t xml:space="preserve">CC 33334844 / Tecnologo En Delineante De Arquitectura E Ingenieria (Institucion Tecnologica Colegio Mayor De Bolivar) - BLV  </t>
  </si>
  <si>
    <t>M.P 13432-00025</t>
  </si>
  <si>
    <t xml:space="preserve">FERNANDEZ DIAZ ERIKA </t>
  </si>
  <si>
    <t xml:space="preserve">CC 45514112 / Tecnico Profesional En Diseño Y Decoracion De Espacios Arquitectonicos (Instituto De Administracion Y Finanzas De Cartagena - Iafic) - BLV  </t>
  </si>
  <si>
    <t>M.P 13432-00040</t>
  </si>
  <si>
    <t xml:space="preserve">MC LAUGHLIN MARTINEZ KEMPTON JESUS </t>
  </si>
  <si>
    <t xml:space="preserve">CC 73141456 / Tecnico Profesional En Diseño Y Decoracion De Espacios Arquitectonicos (Corporacion De Educacion Superior Inst. De Administracion Y Finanzas De Cartagena -Iafic) - BLV  </t>
  </si>
  <si>
    <t>M.P 13414-00009</t>
  </si>
  <si>
    <t xml:space="preserve">SHAIKH SUAREZ HAZINA DEL CARMEN </t>
  </si>
  <si>
    <t xml:space="preserve">CC 33150654 / Delineante De Arquitectura (Colegio Mayor De Cultura Femenina De Bolivar) - BLV  </t>
  </si>
  <si>
    <t>M.P 13406-00015</t>
  </si>
  <si>
    <t xml:space="preserve">QUINTERO DE RICARDO ELENA EMPERATRIZ </t>
  </si>
  <si>
    <t xml:space="preserve">CC 45452553 / Tecnologo Delineante De Arquitectura E Ingenieria (Colegio Mayor De Cultura Femenina De Bolivar) - BLV  </t>
  </si>
  <si>
    <t>M.P 15492-023266</t>
  </si>
  <si>
    <t xml:space="preserve">RODRIGUEZ JEREZ OSBALDO </t>
  </si>
  <si>
    <t xml:space="preserve">CC 86041658 / Tecnico Profesional En Desarrollo Grafico De Proyectos De Construccion (Servicio Nacional De Aprendizaje Sena) - BYC  </t>
  </si>
  <si>
    <t>M.P 17417-013475</t>
  </si>
  <si>
    <t xml:space="preserve">OSPINA VELASQUEZ CLAUDIA ELENA </t>
  </si>
  <si>
    <t xml:space="preserve">CC 24325542 / Tecnologo En Dibujo Arquitectonico Y De Ingenieria (Universidad Catolica De Manizales) - CLD  </t>
  </si>
  <si>
    <t>M.P 17417-013715</t>
  </si>
  <si>
    <t xml:space="preserve">MIRANDA CARDENAS ANGELA CONSTANZA </t>
  </si>
  <si>
    <t xml:space="preserve">CC 30296714 / Tecnologo En Dibujo Arquitectonico Y De Ingenieria (Universidad Catolica De Manizales) - CLD  </t>
  </si>
  <si>
    <t>M.P 17417-018391</t>
  </si>
  <si>
    <t xml:space="preserve">VILLESCAS GUZMAN LILIANA MARIA </t>
  </si>
  <si>
    <t xml:space="preserve">CC 51701342 / Tecnologo En Dibujo Arquitectonico Y De Ingenieria (Universidad Catolica De Manizales) - CLD  </t>
  </si>
  <si>
    <t>M.P 17427-025850</t>
  </si>
  <si>
    <t xml:space="preserve">VELARDE BEDOYA VIVIANA MARIA </t>
  </si>
  <si>
    <t xml:space="preserve">CC 1060587398 / Tecnologo En Tecnicas De Desarrollo Grafico De Proyectos De Construccion (Servicio Nacional De Aprendizaje Sena) - CLD  </t>
  </si>
  <si>
    <t>M.P 19800-032527</t>
  </si>
  <si>
    <t xml:space="preserve">RODRIGUEZ ROMO PABLO ENRIQUE </t>
  </si>
  <si>
    <t xml:space="preserve">CC 1061706879 / Delineante De Arquitectura E Ingenieria (Institucion Universitaria Colegio Mayor Del Cauca) - CAU  </t>
  </si>
  <si>
    <t>M.P 19800-032526</t>
  </si>
  <si>
    <t xml:space="preserve">MEDINA ERASO LEIDY JHOANNA </t>
  </si>
  <si>
    <t xml:space="preserve">CC 1061744520 / Tecnologo En Delineantes De Arquitectura E Ingenieria (Institucion Universitaria Colegio Mayor Del Cauca) - CAU  </t>
  </si>
  <si>
    <t>M.P 19800-032201</t>
  </si>
  <si>
    <t xml:space="preserve">GARZON CORDOBA JHOSIMAR ANDRES </t>
  </si>
  <si>
    <t xml:space="preserve">CC 1061734230 / Delineante De Arquitectura E Ingenieria (Institucion Universitaria Colegio Mayor Del Cauca) - CAU  </t>
  </si>
  <si>
    <t>M.P 19415-030790</t>
  </si>
  <si>
    <t xml:space="preserve">ORDOÑEZ SOLANO SORAYA </t>
  </si>
  <si>
    <t xml:space="preserve">CC 34550479 / Tecnologa Delineante De Arquitectura E Ingenieria (Colegio Mayor De Cultura Popular Del Cauca) - CAU  </t>
  </si>
  <si>
    <t>M.P 19800-026451</t>
  </si>
  <si>
    <t xml:space="preserve">JUSPIAN OSORIO EDWIN ANDRES </t>
  </si>
  <si>
    <t xml:space="preserve">CC 1061740331 / Delineante De Arquitectura E Ingenieria (Institucion Universitaria Colegio Mayor Del Cauca) - CAU  </t>
  </si>
  <si>
    <t>M.P 19800-025852</t>
  </si>
  <si>
    <t xml:space="preserve">RAMOS PANTOJA DIEGO FERNANDO </t>
  </si>
  <si>
    <t xml:space="preserve">CC 1061691410 / Delineante De Arquitectura E Ingenieria (Institucion Universitaria Colegio Mayor Del Cauca) - CAU  </t>
  </si>
  <si>
    <t>M.P 19415-025264</t>
  </si>
  <si>
    <t xml:space="preserve">PECHENE HURTADO SILVIO MAURICIO </t>
  </si>
  <si>
    <t xml:space="preserve">CC 10755080 / Tecnologo Delineante De Arquitectura E Ingenieria (Colegio Mayor Del Cauca) - CAU  </t>
  </si>
  <si>
    <t>M.P 19800-024937</t>
  </si>
  <si>
    <t xml:space="preserve">RUIZ CHICANGANA FRANCISCO JAVIER </t>
  </si>
  <si>
    <t xml:space="preserve">CC 1061738531 / Delineante De Arquitectura E Ingenieria (Institucion Universitaria Colegio Mayor Del Cauca) - CAU  </t>
  </si>
  <si>
    <t>M.P 19800-023888</t>
  </si>
  <si>
    <t xml:space="preserve">FERNANDEZ GARZON DIANA MARCELA </t>
  </si>
  <si>
    <t xml:space="preserve">CC 1061698257 / Tecnologo En Delineantes De Arquitectura E Ingenieria (Institucion Universitaria Colegio Mayor Del Cauca) - CAU  </t>
  </si>
  <si>
    <t>M.P 19800-021215</t>
  </si>
  <si>
    <t xml:space="preserve">CAMPO ARAQUE ANA CRISTINA </t>
  </si>
  <si>
    <t xml:space="preserve">CC 34561145 / Tecnologo Delineante De Arquitectura E Ingenieria (Colegio Mayor Del Cauca) - CAU  </t>
  </si>
  <si>
    <t>M.P 19800-020581</t>
  </si>
  <si>
    <t xml:space="preserve">CAICEDO HOYOS LUS ADELA </t>
  </si>
  <si>
    <t xml:space="preserve">CC 48600762 / Tecnologo En Delineantes De Arquitectura E Ingenieria (Colegio Mayor Del Cauca) - CAU  </t>
  </si>
  <si>
    <t>M.P 19406-017546</t>
  </si>
  <si>
    <t xml:space="preserve">RUIZ COLLAZOS NAYIBE ALEJANDRA </t>
  </si>
  <si>
    <t xml:space="preserve">CC 25276249 / Tecnologo Delineante De Arquitectura E Ingenieria (Colegio Mayor Del Cauca) - CAU  </t>
  </si>
  <si>
    <t>M.P 19406-017115</t>
  </si>
  <si>
    <t xml:space="preserve">NUÑEZ VELASCO OMAR FABIAN </t>
  </si>
  <si>
    <t xml:space="preserve">CC 87713079 / Tecnologo Delineante De Arquitectura E Ingenieria (Colegio Mayor Del Cauca) - CAU  </t>
  </si>
  <si>
    <t>M.P 19406-015863</t>
  </si>
  <si>
    <t xml:space="preserve">PLAZA VASQUEZ ELIANA ANDREA </t>
  </si>
  <si>
    <t xml:space="preserve">CC 25276109 / Tecnologo Delineante De Arquitectura E Ingenieria (Colegio Mayor Del Cauca) - CAU  </t>
  </si>
  <si>
    <t>M.P 19800-013234</t>
  </si>
  <si>
    <t xml:space="preserve">SOLIS SANDOVAL JAVIER </t>
  </si>
  <si>
    <t xml:space="preserve">CC 10293262 / Tecnologo En Delineantes De Arquitectura E Ingenieria (Colegio Mayor Del Cauca) - CAU  </t>
  </si>
  <si>
    <t>M.P 19800-013010</t>
  </si>
  <si>
    <t xml:space="preserve">ARANDA MUELAS ANTONIO </t>
  </si>
  <si>
    <t xml:space="preserve">CC 1064428125 / Tecnologo En Delineantes De Arquitectura E Ingenieria (Institucion Universitaria Colegio Mayor Del Cauca) - CAU  </t>
  </si>
  <si>
    <t>M.P 19406-008605</t>
  </si>
  <si>
    <t xml:space="preserve">GUEVARA MERA ALVARO ENRIQUE </t>
  </si>
  <si>
    <t xml:space="preserve">CC 10305875 / Tecnologo Delineante De Arquitectura E Ingenieria (Colegio Mayor Del Cauca) - CAU  </t>
  </si>
  <si>
    <t>M.P 19800-007740</t>
  </si>
  <si>
    <t xml:space="preserve">MOLANO CHITO JULIAN ALFARO </t>
  </si>
  <si>
    <t xml:space="preserve">CC 10303807 / Tecnologo En Delineantes De Arquitectura E Ingenieria (Colegio Mayor Del Cauca) - CAU  </t>
  </si>
  <si>
    <t>M.P 19415-007739</t>
  </si>
  <si>
    <t xml:space="preserve">CHAMIZO MEDINA RAFAEL </t>
  </si>
  <si>
    <t xml:space="preserve">CC 76315083 / Tecnologo Delineante De Arquitectura E Ingenieria (Colegio Mayor Del Cauca) - CAU  </t>
  </si>
  <si>
    <t>M.P 19800-007409</t>
  </si>
  <si>
    <t xml:space="preserve">MATURANA BLANDON ANGEL EMILIO </t>
  </si>
  <si>
    <t xml:space="preserve">CC 98429572 / Tecnologo Delineante De Arquitectura E Ingenieria (Colegio Mayor Del Cauca) - CAU  </t>
  </si>
  <si>
    <t>M.P 19800-007067</t>
  </si>
  <si>
    <t xml:space="preserve">BENAVIDES ROMAN ERIKA FERNANDA </t>
  </si>
  <si>
    <t xml:space="preserve">CC 67023636 / Tecnologo Delineante De Arquitectura E Ingenieria (Colegio Mayor Del Cauca) - CAU  </t>
  </si>
  <si>
    <t>M.P 19804-006928</t>
  </si>
  <si>
    <t xml:space="preserve">SOTELO ZUÑIGA EDWIN </t>
  </si>
  <si>
    <t xml:space="preserve">CC 76325401 / Tecnologo Delineante De Arquitectura E Ingenieria (Colegio Mayor Del Cauca) - CAU  </t>
  </si>
  <si>
    <t>M.P 19800-006831</t>
  </si>
  <si>
    <t xml:space="preserve">CHANTRE MENDEZ WILLIAN </t>
  </si>
  <si>
    <t xml:space="preserve">CC 10296168 / Tecnologo Delineante De Arquitectura E Ingenieria (Colegio Mayor Del Cauca) - CAU  </t>
  </si>
  <si>
    <t>M.P 19804-006479</t>
  </si>
  <si>
    <t xml:space="preserve">PAZ CERON JOSE GONZALO </t>
  </si>
  <si>
    <t xml:space="preserve">CC 10298981 / Tecnologo Delineante De Arquitectura E Ingenieria (Colegio Mayor Del Cauca) - CAU  </t>
  </si>
  <si>
    <t>M.P 19804-006231</t>
  </si>
  <si>
    <t xml:space="preserve">PABON LOPEZ ANDRES </t>
  </si>
  <si>
    <t xml:space="preserve">CC 12128146 / Delineante De Arquitectura E Ingenieria (Colegio Mayor De Cultura Popular Del Cauca) - CAU  </t>
  </si>
  <si>
    <t>M.P 19800-006232</t>
  </si>
  <si>
    <t xml:space="preserve">BURBANO GUTIERREZ LEIDY TATHIANA </t>
  </si>
  <si>
    <t xml:space="preserve">CC 34331816 / Tecnologo Delineante De Arquitectura E Ingenieria (Colegio Mayor Del Cauca) - CAU  </t>
  </si>
  <si>
    <t>M.P 19804-005128</t>
  </si>
  <si>
    <t xml:space="preserve">BUITRON HOYOS CAROL VIVIANA </t>
  </si>
  <si>
    <t xml:space="preserve">CC 25291946 / Tecnologo Delineante De Arquitectura E Ingenieria (Colegio Mayor Del Cauca) - CAU  </t>
  </si>
  <si>
    <t>M.P 19406-004403</t>
  </si>
  <si>
    <t xml:space="preserve">IDROBO GUEVARA JOHANNA ALEJANDRA </t>
  </si>
  <si>
    <t xml:space="preserve">CC 34317188 / Tecnologo Delineante De Arquitectura E Ingenieria (Colegio Mayor Del Cauca) - CAU  </t>
  </si>
  <si>
    <t>M.P 19406-004402</t>
  </si>
  <si>
    <t xml:space="preserve">FAJARDO CUELLAR DEISY EUGENIA </t>
  </si>
  <si>
    <t xml:space="preserve">CC 48600458 / Tecnologo Delineante De Arquitectura E Ingenieria (Colegio Mayor Del Cauca) - CAU  </t>
  </si>
  <si>
    <t>M.P 19415-004404</t>
  </si>
  <si>
    <t xml:space="preserve">CORDOBA ESPAÑA ALVARO </t>
  </si>
  <si>
    <t xml:space="preserve">CC 10292665 / Tecnologo Delineante De Arquitectura E Ingenieria (Colegio Mayor Del Cauca) - CAU  </t>
  </si>
  <si>
    <t>M.P 19804-004144</t>
  </si>
  <si>
    <t xml:space="preserve">MARTINEZ COLLAZOS MARYBEL </t>
  </si>
  <si>
    <t xml:space="preserve">CC 34564218 / Tecnologo Delineante De Arquitectura E Ingenieria (Colegio Mayor Del Cauca) - CAU  </t>
  </si>
  <si>
    <t>M.P 19406-003807</t>
  </si>
  <si>
    <t xml:space="preserve">TROCHEZ FERNANDEZ EDWIN JESSID </t>
  </si>
  <si>
    <t xml:space="preserve">CC 4614870 / Tecnologo Delineante De Arquitectura E Ingenieria (Colegio Mayor Del Cauca) - CAU  </t>
  </si>
  <si>
    <t>M.P 19804-003500</t>
  </si>
  <si>
    <t xml:space="preserve">MARTINEZ DORADO ADRIANA LUCIA </t>
  </si>
  <si>
    <t xml:space="preserve">CC 25291495 / Tecnologo Delineante De Arquitectura E Ingenieria (Colegio Mayor Del Cauca) - CAU  </t>
  </si>
  <si>
    <t>M.P 19804-003502</t>
  </si>
  <si>
    <t xml:space="preserve">HENAO PABON VIVIANA KATHERINE </t>
  </si>
  <si>
    <t xml:space="preserve">CC 34317858 / Tecnologo Delineante De Arquitectura E Ingenieria (Colegio Mayor Del Cauca) - CAU  </t>
  </si>
  <si>
    <t>M.P 19804-002776</t>
  </si>
  <si>
    <t xml:space="preserve">CASTILLO OCAMPO VICTOR ALEXANDER </t>
  </si>
  <si>
    <t xml:space="preserve">CC 76312278 / Tecnologo Delineante De Arquitectura E Ingenieria (Colegio Mayor Del Cauca) - CAU  </t>
  </si>
  <si>
    <t>M.P 19804-002614</t>
  </si>
  <si>
    <t xml:space="preserve">MORIONES MARTINEZ LEIDY JOHANA </t>
  </si>
  <si>
    <t xml:space="preserve">CC 25292391 / Tecnologo Delineante De Arquitectura E Ingenieria (Colegio Mayor Del Cauca) - CAU  </t>
  </si>
  <si>
    <t>M.P 19804-002615</t>
  </si>
  <si>
    <t xml:space="preserve">MARTINEZ MANZANO DARLI YOHANA </t>
  </si>
  <si>
    <t xml:space="preserve">CC 34327592 / Tecnologo Delineante De Arquitectura E Ingenieria (Colegio Mayor Del Cauca) - CAU  </t>
  </si>
  <si>
    <t>M.P 19414-00082</t>
  </si>
  <si>
    <t xml:space="preserve">ANDRADE REINOSO ANA ELCY </t>
  </si>
  <si>
    <t xml:space="preserve">CC 34527735 / Delineante De Arquitectura (Colegio Mayor De Cultura Popular Del Cauca) - CAU  </t>
  </si>
  <si>
    <t>M.P 19414-00119</t>
  </si>
  <si>
    <t xml:space="preserve">BOLAÑOS ROJAS ROSALBA </t>
  </si>
  <si>
    <t xml:space="preserve">CC 34525291 / Delineante De Arquitectura (Colegio Mayor De Cultura Popular Del Cauca) - CAU  </t>
  </si>
  <si>
    <t>M.P 19414-00083</t>
  </si>
  <si>
    <t xml:space="preserve">CAMPO LOPEZ LUZ MARINA </t>
  </si>
  <si>
    <t xml:space="preserve">CC 34527222 / Delineante De Arquitectura (Colegio Mayor De Cultura Popular Del Cauca) - CAU  </t>
  </si>
  <si>
    <t>M.P 19423-00131</t>
  </si>
  <si>
    <t xml:space="preserve">GOYES PAREDES MARTHA LUCIA </t>
  </si>
  <si>
    <t xml:space="preserve">CC 34535137 / Delineante De Arquitectura (Colegio Mayor De Cultura Popular Del Cauca) - CAU  </t>
  </si>
  <si>
    <t>M.P 19414-00105</t>
  </si>
  <si>
    <t xml:space="preserve">MANZANO RICCI LUZ MERCEDES </t>
  </si>
  <si>
    <t xml:space="preserve">CC 34523714 / Delineante De Arquitectura (Colegio Mayor De Cultura Popular Del Cauca) - CAU  </t>
  </si>
  <si>
    <t>M.P 19422-00117</t>
  </si>
  <si>
    <t xml:space="preserve">MOSQUERA DE QUIÑONES MARIA CONSUELO </t>
  </si>
  <si>
    <t xml:space="preserve">CC 34526280 / Delineante De Arquitectura (Colegio Mayor De Cultura Popular Del Cauca) - CAU  </t>
  </si>
  <si>
    <t>M.P 19423-00132</t>
  </si>
  <si>
    <t xml:space="preserve">MUÑOZ CUELLAR HILDA </t>
  </si>
  <si>
    <t xml:space="preserve">CC 34530075 / Delineante De Arquitectura (Colegio Mayor De Cultura Popular Del Cauca) - CAU  </t>
  </si>
  <si>
    <t>M.P 19414-00104</t>
  </si>
  <si>
    <t xml:space="preserve">MUÑOZ MONCAYO EDDY CARMENZA </t>
  </si>
  <si>
    <t xml:space="preserve">CC 34525882 / Delineante De Arquitectura (Colegio Mayor De Cultura Popular Del Cauca) - CAU  </t>
  </si>
  <si>
    <t>M.P 19423-00118</t>
  </si>
  <si>
    <t xml:space="preserve">PATIÑO CORDOBA JESUS ARMANDO </t>
  </si>
  <si>
    <t xml:space="preserve">CC 10535502 / Tecnologo En Delineante De Arquitectura (Colegio Mayor De Cultura Popular Del Cauca) - CAU  </t>
  </si>
  <si>
    <t>M.P 19414-00170</t>
  </si>
  <si>
    <t xml:space="preserve">VEJARANO FERNANDEZ LYDA EUGENIA </t>
  </si>
  <si>
    <t xml:space="preserve">CC 34531302 / Delineante De Arquitectura (Colegio Mayor De Cultura Popular Del Cauca) - CAU  </t>
  </si>
  <si>
    <t>M.P 25411-00436</t>
  </si>
  <si>
    <t xml:space="preserve">PINZON RAMIREZ NELSON ROBERTO </t>
  </si>
  <si>
    <t xml:space="preserve">CC 79107526 / Tecnico Profesional En Arquitectura Y Diseño De Interiores (Corporacion De Educacion Superior Del Trabajo) - CND  </t>
  </si>
  <si>
    <t>M.P 52800-002369</t>
  </si>
  <si>
    <t xml:space="preserve">SILVA MONTAÑO JHON JAIRO </t>
  </si>
  <si>
    <t xml:space="preserve">CC 98431167 / Tecnologo En Delineantes De Arquitectura E Ingenieria (Institucion Universitaria Centro De Estudios Superiores Maria Goretti - Cesmag) - NRÑ  </t>
  </si>
  <si>
    <t>M.P 52800-002449</t>
  </si>
  <si>
    <t xml:space="preserve">ROSERO PADILLA JHON ANDREY </t>
  </si>
  <si>
    <t xml:space="preserve">CC 87551617 / Tecnologo En Delineantes De Arquitectura E Ingenieria (Institucion Universitaria Centro De Estudios Superiores Maria Goretti - Cesmag) - NRÑ  </t>
  </si>
  <si>
    <t>M.P 52800-002625</t>
  </si>
  <si>
    <t xml:space="preserve">FIGUEROA PEREZ LEYDI JHOANA </t>
  </si>
  <si>
    <t xml:space="preserve">CC 36755961 / Tecnologo En Delineantes De Arquitectura E Ingenieria (Institucion Universitaria Centro De Estudios Superiores Maria Goretti - Cesmag) - NRÑ  </t>
  </si>
  <si>
    <t>M.P 52800-002791</t>
  </si>
  <si>
    <t xml:space="preserve">CHITAN CUASTUMAL JESUS HUMBERTO </t>
  </si>
  <si>
    <t xml:space="preserve">CC 87713315 / Tecnologo En Delineante De Arquitectura E Ingenieria (Institucion Universitaria Centro De Estudios Superiores Maria Goretti - Cesmag) - NRÑ  </t>
  </si>
  <si>
    <t>M.P 52800-002794</t>
  </si>
  <si>
    <t xml:space="preserve">PORTILLA SANDRA MILENA </t>
  </si>
  <si>
    <t xml:space="preserve">CC 59690149 / Tecnologa En Delineante De Arquitectura E Ingenieria (Institucion Universitaria Centro De Estudios Superiores Maria Goretti - Cesmag) - NRÑ  </t>
  </si>
  <si>
    <t>M.P 52800-002926</t>
  </si>
  <si>
    <t xml:space="preserve">DOMINGUEZ VELASQUEZ ARTEMIO ABILIO </t>
  </si>
  <si>
    <t xml:space="preserve">CC 98074041 / Tecnologo En Delineante De Arquitectura E Ingenieria (Institucion Universitaria Centro De Estudios Superiores Maria Goretti - Cesmag) - NRÑ  </t>
  </si>
  <si>
    <t>M.P 52800-003413</t>
  </si>
  <si>
    <t xml:space="preserve">OVIEDO CHICAIZA LUIS ALEJANDRO </t>
  </si>
  <si>
    <t xml:space="preserve">CC 87063438 / Tecnologo En Delineantes De Arquitectura E Ingenieria (Institucion Universitaria Centro De Estudios Superiores Maria Goretti - Cesmag) - NRÑ  </t>
  </si>
  <si>
    <t>M.P 52800-003593</t>
  </si>
  <si>
    <t xml:space="preserve">CUCUÑAME CHAMORRO GUERLIN ILDERY </t>
  </si>
  <si>
    <t xml:space="preserve">CC 13067530 / Tecnologo En Delineantes De Arquitectura E Ingenieria (Institucion Universitaria Centro De Estudios Superiores Maria Goretti - Cesmag) - NRÑ  </t>
  </si>
  <si>
    <t>M.P 52800-004040</t>
  </si>
  <si>
    <t xml:space="preserve">ROSERO ESPINOSA ANDREA XIMENA </t>
  </si>
  <si>
    <t xml:space="preserve">CC 37081785 / Tecnologa En Delineantes De Arquitectura E Ingenieria (Institucion Universitaria Centro De Estudios Superiores Maria Goretti - Cesmag) - NRÑ  </t>
  </si>
  <si>
    <t>M.P 52804-004254</t>
  </si>
  <si>
    <t xml:space="preserve">CALDERON MUÑOZ OSCAR ROLANDO </t>
  </si>
  <si>
    <t xml:space="preserve">CC 98135545 / Tecnologo En Delineante De Arquitectura E Ingenieria (Institucion Universitaria Centro De Estudios Superiores Maria Goretti - Cesmag) - NRÑ  </t>
  </si>
  <si>
    <t>M.P 52800-004781</t>
  </si>
  <si>
    <t xml:space="preserve">BOTINA JOJOA PEDRO MAURICIO </t>
  </si>
  <si>
    <t xml:space="preserve">CC 98394123 / Tecnologo En Delineantes De Arquitectura E Ingenieria (Institucion Universitaria Centro De Estudios Superiores Maria Goretti - Cesmag) - NRÑ  </t>
  </si>
  <si>
    <t>M.P 52800-005149</t>
  </si>
  <si>
    <t xml:space="preserve">ORTIZ ROSERO DIEGO ALBERTO </t>
  </si>
  <si>
    <t xml:space="preserve">CC 87216332 / Tecnologo En Delineantes De Arquitectura E Ingenieria (Institucion Universitaria Centro De Estudios Superiores Maria Goretti - Cesmag) - NRÑ  </t>
  </si>
  <si>
    <t>M.P 52415-005151</t>
  </si>
  <si>
    <t xml:space="preserve">CHAMORRO RODRIGUEZ OSCAR WILLIAM </t>
  </si>
  <si>
    <t xml:space="preserve">CC 13064955 / Tecnologo En Delineante De Arquitectura E Ingenieria (Centro De Estudios Superiores Maria Goretti Cesmag) - NRÑ  </t>
  </si>
  <si>
    <t>M.P 52415-005288</t>
  </si>
  <si>
    <t xml:space="preserve">PERDOMO JIMENEZ EDUARD </t>
  </si>
  <si>
    <t xml:space="preserve">CC 9657184 / Tecnologo En Delineante De Arquitectura E Ingenieria (Centro De Estudios Superiores Maria Goretti Cesmag) - NRÑ  </t>
  </si>
  <si>
    <t>M.P 52922-005780</t>
  </si>
  <si>
    <t xml:space="preserve">ZUÑIGA CORDOBA MANUEL HERNAN </t>
  </si>
  <si>
    <t xml:space="preserve">CC 98393731 / Tecnologo En Delineante De Arquitectura E Ingenieria (Centro De Estudios Superiores Maria Goretti Cesmag) - NRÑ  </t>
  </si>
  <si>
    <t>M.P 52800-006393</t>
  </si>
  <si>
    <t xml:space="preserve">CORAL ERASO HOMERO </t>
  </si>
  <si>
    <t xml:space="preserve">CC 87062989 / Tecnologo En Delineantes De Arquitectura E Ingenieria (Institucion Universitaria Centro De Estudios Sup. Maria Goretti - Cesmag) - NRÑ  </t>
  </si>
  <si>
    <t>M.P 52800-006511</t>
  </si>
  <si>
    <t xml:space="preserve">DELGADO CAICEDO JAIME ANDRES </t>
  </si>
  <si>
    <t xml:space="preserve">CC 12750419 / Tecnologo En Delineantes De Arquitectura E Ingenieria (Institucion Universitaria Centro De Estudios Sup. Maria Goretti - Cesmag) - NRÑ  </t>
  </si>
  <si>
    <t>M.P 52415-007317</t>
  </si>
  <si>
    <t xml:space="preserve">BENAVIDES DULCE MARIA ELENA </t>
  </si>
  <si>
    <t xml:space="preserve">CC 30713536 / Tecnologo En Delineante De Arquitectura E Ingenieria (Centro De Estudios Superiores Maria Goretti Cesmag) - NRÑ  </t>
  </si>
  <si>
    <t>M.P 52415-007924</t>
  </si>
  <si>
    <t xml:space="preserve">CHAMORRO URRESTA CARLOS ANDRES </t>
  </si>
  <si>
    <t xml:space="preserve">CC 87453723 / Tecnologo En Delineante De Arquitectura E Ingenieria (Centro De Estudios Superiores Maria Goretti Cesmag) - NRÑ  </t>
  </si>
  <si>
    <t>M.P 52800-007926</t>
  </si>
  <si>
    <t xml:space="preserve">DELGADO CAICEDO JOHN WILSON </t>
  </si>
  <si>
    <t xml:space="preserve">CC 98392313 / Tecnologo En Delineantes De Arquitectura E Ingenieria (Centro De Estudios Superiores Maria Goretti Cesmag) - NRÑ  </t>
  </si>
  <si>
    <t>M.P 52415-008389</t>
  </si>
  <si>
    <t xml:space="preserve">REALPE CALVACHE GLADYS MYREYA </t>
  </si>
  <si>
    <t xml:space="preserve">CC 59818990 / Tecnologo En Delineante De Arquitectura E Ingenieria (Centro De Estudios Superiores Maria Goretti Cesmag) - NRÑ  </t>
  </si>
  <si>
    <t>M.P 52800-008390</t>
  </si>
  <si>
    <t xml:space="preserve">MADROÑERO HERNANDEZ LUZ ESTHER </t>
  </si>
  <si>
    <t xml:space="preserve">CC 69007088 / Tecnologo En Delineante De Arquitectura E Ingenieria (Centro De Estudios Superiores Maria Goretti Cesmag) - NRÑ  </t>
  </si>
  <si>
    <t>M.P 52415-015514</t>
  </si>
  <si>
    <t xml:space="preserve">SOTO INSUASTY BIVIAN ANDREA </t>
  </si>
  <si>
    <t xml:space="preserve">CC 59837458 / Tecnologo En Delineante De Arquitectura E Ingenieria (Centro De Estudios Superiores Maria Goretti Cesmag) - NRÑ  </t>
  </si>
  <si>
    <t>M.P 52415-017158</t>
  </si>
  <si>
    <t xml:space="preserve">RIASCOS GOMEZ ALFONSO RICARDO </t>
  </si>
  <si>
    <t xml:space="preserve">CC 12974684 / Tecnologo En Delineante De Arquitectura E Ingenieria (Centro De Estudios Superiores Maria Goretti Cesmag) - NRÑ  </t>
  </si>
  <si>
    <t>M.P 52800-019308</t>
  </si>
  <si>
    <t xml:space="preserve">DEVIA HERNANDEZ CARLOS ALBERTO </t>
  </si>
  <si>
    <t xml:space="preserve">CC 93348644 / Tecnologo En Delineantes De Arquitectura E Ingenieria (Centro De Estudios Superiores Maria Goretti Cesmag) - NRÑ  </t>
  </si>
  <si>
    <t>M.P 52800-026248</t>
  </si>
  <si>
    <t xml:space="preserve">LOPEZ MELO WILSON HERNANDO </t>
  </si>
  <si>
    <t xml:space="preserve">CC 5208998 / Tecnologo En Delineantes De Arquitectura E Ingenieria (Institucion Universitaria Centro De Estudios Sup. Maria Goretti - Cesmag) - NRÑ  </t>
  </si>
  <si>
    <t>M.P 52800-035501</t>
  </si>
  <si>
    <t xml:space="preserve">BRAVO PIPICANO EDWIN THOMAS </t>
  </si>
  <si>
    <t xml:space="preserve">CC 13069902 / Tecnologo En Delineantes De Arquitectura E Ingenieria (Institucion Universitaria Centro De Estudios Sup. Maria Goretti - Cesmag) - NRÑ  </t>
  </si>
  <si>
    <t>M.P 00000-00001</t>
  </si>
  <si>
    <t xml:space="preserve">CABRERA BELALCAZAR DANIEL </t>
  </si>
  <si>
    <t xml:space="preserve">CC 1698698 / Arquitecto (Universidad Catolica De Chile) - NRÑ  </t>
  </si>
  <si>
    <t>M.P 00000-00018</t>
  </si>
  <si>
    <t xml:space="preserve">SANTACRUZ BURBANO CARLOS </t>
  </si>
  <si>
    <t xml:space="preserve">CC 5194279 / Arquitecto (Universidad Catolica De Chile) - NRÑ  </t>
  </si>
  <si>
    <t>M.P 52426-00051</t>
  </si>
  <si>
    <t xml:space="preserve">ALVARADO CASTILLO PATRICIA DEL ROSARIO </t>
  </si>
  <si>
    <t xml:space="preserve">CC 30714300 / Tecnico Profesional Intermedio Delineante De Arquitectura (Fundación Centro De Estudios Superiores Maria Goretti De Pasto) - NRÑ  </t>
  </si>
  <si>
    <t>M.P 52414-00050</t>
  </si>
  <si>
    <t xml:space="preserve">BASTIDAS ROSERO LUZ MARINA </t>
  </si>
  <si>
    <t xml:space="preserve">CC 30715800 / Delineante De Arquitectura (Instituto Maria Goretti Cesmag) - NRÑ  </t>
  </si>
  <si>
    <t>M.P 52426-00037</t>
  </si>
  <si>
    <t xml:space="preserve">CHAVES RUIZ GERMAN HERNAN </t>
  </si>
  <si>
    <t xml:space="preserve">CC 98378815 / Tecnico Profesional Intermedio Delineante De Arquitectura (Institucion Universitaria Centro De Estudios Sup. Maria Goretti - Cesmag) - NRÑ  </t>
  </si>
  <si>
    <t>M.P 52426-00062</t>
  </si>
  <si>
    <t xml:space="preserve">CORTES GOMEZJURADO BEATRIZ CRISTINA </t>
  </si>
  <si>
    <t xml:space="preserve">CC 30744243 / Tecnico Profesional Intermedio Delineante De Arquitectura (Centro De Estudios Superiores Maria Goretti Cesmag) - NRÑ  </t>
  </si>
  <si>
    <t>M.P 52414-00030</t>
  </si>
  <si>
    <t xml:space="preserve">DELGADO LUNA DORIS CRISTINA </t>
  </si>
  <si>
    <t xml:space="preserve">CC 30725099 / Tecnico Profesional Intermedio Delineante De Arquitectura (Centro De Estudios Superiores Maria Goretti Cesmag) - NRÑ  </t>
  </si>
  <si>
    <t>M.P 52426-00041</t>
  </si>
  <si>
    <t xml:space="preserve">DIAZ LEGARDA MARTHA CECILIA </t>
  </si>
  <si>
    <t xml:space="preserve">CC 30733738 / Tecnico Profesional Intermedio Delineante De Arquitectura (Centro De Estudios Superiores Maria Goretti Cesmag) - NRÑ  </t>
  </si>
  <si>
    <t>M.P 52426-00036</t>
  </si>
  <si>
    <t xml:space="preserve">FLOREZ ROSERO MILTON OSWALDO </t>
  </si>
  <si>
    <t xml:space="preserve">CC 13013836 / Tecnico Profesional Intermedio Delineante De Arquitectura (Centro De Estudios Superiores Maria Goretti Cesmag) - NRÑ  </t>
  </si>
  <si>
    <t>M.P 52414-00032</t>
  </si>
  <si>
    <t xml:space="preserve">HEREDIA CHAVES PEDRO AUGUSTO </t>
  </si>
  <si>
    <t xml:space="preserve">CC 12975887 / Tecnico Profesional Intermedio Delineante De Arquitectura (Centro De Estudios Superiores Maria Goretti Cesmag) - NRÑ  </t>
  </si>
  <si>
    <t>M.P 52414-00031</t>
  </si>
  <si>
    <t xml:space="preserve">HIGIDIO MONCAYO IVAN JUVENCIO </t>
  </si>
  <si>
    <t xml:space="preserve">CC 12982189 / Tecnico Profesional Intermedio Delineante De Arquitectura  (Centro De Estudios Superiores Maria Goretti Cesmag) - NRÑ  </t>
  </si>
  <si>
    <t>M.P 52414-00029</t>
  </si>
  <si>
    <t xml:space="preserve">MARTINEZ RUBIO SONIA LUCY </t>
  </si>
  <si>
    <t xml:space="preserve">CC 59817542 / Tecnico Profesional Intermedio Delineante De Arquitectura  (Centro De Estudios Superiores Maria Goretti Cesmag) - NRÑ  </t>
  </si>
  <si>
    <t>M.P 52426-00048</t>
  </si>
  <si>
    <t xml:space="preserve">ORTEGA BELALCAZAR ANA GUISELA </t>
  </si>
  <si>
    <t xml:space="preserve">CC 30743009 / Tecnico Profesional Intermedio Delineante De Arquitectura (Centro De Estudios Superiores Maria Goretti Cesmag) - NRÑ  </t>
  </si>
  <si>
    <t>M.P 52426-00044</t>
  </si>
  <si>
    <t xml:space="preserve">SARASTY MURIEL DELIA DEL CARMEN </t>
  </si>
  <si>
    <t xml:space="preserve">CC 27472643 / Tecnico Profesional Intermedio Delineante De Arquitectura (Centro De Estudios Superiores Maria Goretti Cesmag) - NRÑ  </t>
  </si>
  <si>
    <t>M.P 52414-00033</t>
  </si>
  <si>
    <t xml:space="preserve">SEPULVEDA CASANOVA JUAN CARLOS </t>
  </si>
  <si>
    <t xml:space="preserve">CC 12980197 / Tecnico Profesional Intermedio Delineante De Arquitectura  (Centro De Estudios Superiores Maria Goretti Cesmag) - NRÑ  </t>
  </si>
  <si>
    <t>M.P 52426-00063</t>
  </si>
  <si>
    <t xml:space="preserve">VILLARREAL ROSERO LUIS GONZALO </t>
  </si>
  <si>
    <t xml:space="preserve">CC 12970587 / Tecnico Profesional Intermedio Delineante De Arquitectura (Fundación Centro De Estudios Superiores Maria Goretti De Pasto) - NRÑ  </t>
  </si>
  <si>
    <t>M.P 52414-00034</t>
  </si>
  <si>
    <t xml:space="preserve">VINUEZA SANTACRUZ ANA MARIA </t>
  </si>
  <si>
    <t xml:space="preserve">CC 59812908 / Tecnico Profesional Intermedio Delineante De Arquitectura (Centro De Estudios Superiores Maria Goretti Cesmag) - NRÑ  </t>
  </si>
  <si>
    <t>M.P 52426-00049</t>
  </si>
  <si>
    <t xml:space="preserve">ZARAMA CARDONA ROSA MARIA </t>
  </si>
  <si>
    <t xml:space="preserve">CC 30745558 / Tecnico Profesional Intermedio Delineante De Arquitectura (Centro De Estudios Superiores Maria Goretti Cesmag) - NRÑ  </t>
  </si>
  <si>
    <t>M.P 52405-00009</t>
  </si>
  <si>
    <t xml:space="preserve">ORTEGA OLAVE AMPARO DEL CARMEN </t>
  </si>
  <si>
    <t xml:space="preserve">CC 30712014 / Tecnico Profesional Delineante De Arquitectura (Centro De Estudios Superiores Maria Goretti De Pasto) - NRÑ  </t>
  </si>
  <si>
    <t>M.P 52405-00018</t>
  </si>
  <si>
    <t xml:space="preserve">AHUMADA TOBAR ERNESTO </t>
  </si>
  <si>
    <t xml:space="preserve">CC 12981490 / Tecnico Profesional Intermedio Delineante De Arquitectura  (Institucion Universitaria Centro De Estudios Sup. Maria Goretti - Cesmag) - NRÑ  </t>
  </si>
  <si>
    <t>M.P 52405-00019</t>
  </si>
  <si>
    <t xml:space="preserve">BENAVIDES GRIJALBA LUIS ARMANDO </t>
  </si>
  <si>
    <t xml:space="preserve">CC 12982622 / Tecnico Profesional Intermedio Delineante De Arquitectura  (Centro De Estudios Superiores Maria Goretti De Pasto) - NRÑ  </t>
  </si>
  <si>
    <t>M.P 52405-00021</t>
  </si>
  <si>
    <t xml:space="preserve">TABLA ROJAS ALBINA OLIVA </t>
  </si>
  <si>
    <t xml:space="preserve">CC 30741177 / Tecnico Profesional Intermedio Delineante De Arquitectura  (Centro De Estudios Superiores Maria Goretti De Pasto) - NRÑ  </t>
  </si>
  <si>
    <t>M.P 52405-00022</t>
  </si>
  <si>
    <t xml:space="preserve">SOLARTE DORADO GLADYS </t>
  </si>
  <si>
    <t xml:space="preserve">CC 30737225 / Tecnico Profesional Intermedio Delineante De Arquitectura  (Centro De Estudios Superiores Maria Goretti Cesmag) - NRÑ  </t>
  </si>
  <si>
    <t>M.P 52405-00023</t>
  </si>
  <si>
    <t xml:space="preserve">LEGARDA YELA JUAN CARLOS </t>
  </si>
  <si>
    <t xml:space="preserve">CC 12999830 / Tecnico Profesional Intermedio Delineante De Arquitectura  (Centro De Estudios Superiores Maria Goretti Cesmag) - NRÑ  </t>
  </si>
  <si>
    <t>M.P 52405-00024</t>
  </si>
  <si>
    <t xml:space="preserve">RAMOS VILLOTA RUTH STELLA </t>
  </si>
  <si>
    <t xml:space="preserve">CC 30728556 / Tecnico Profesional Intermedio Delineante De Arquitectura  (Centro De Estudios Superiores Maria Goretti De Pasto) - NRÑ  </t>
  </si>
  <si>
    <t>M.P 52405-00025</t>
  </si>
  <si>
    <t xml:space="preserve">BOLAÑOS BURBANO ADRIANA CLEMENCIA </t>
  </si>
  <si>
    <t xml:space="preserve">CC 30732800 / Tecnico Profesional Intermedio Delineante De Arquitectura  (Centro De Estudios Superiores Maria Goretti De Pasto) - NRÑ  </t>
  </si>
  <si>
    <t>M.P 52405-00026</t>
  </si>
  <si>
    <t xml:space="preserve">MARTINEZ ARELLANO ALVARO FABIAN </t>
  </si>
  <si>
    <t xml:space="preserve">CC 12983277 / Tecnico Profesional Intermedio Delineante De Arquitectura  (Centro De Estudios Superiores Maria Goretti De Pasto) - NRÑ  </t>
  </si>
  <si>
    <t>M.P 52405-00014</t>
  </si>
  <si>
    <t xml:space="preserve">BENAVIDES CHAMORRO CARMEN ALICIA </t>
  </si>
  <si>
    <t xml:space="preserve">CC 30745436 / Tecnico Profesional Intermedio Delineante De Arquitectura  (Centro De Estudios Superiores Maria Goretti Cesmag) - NRÑ  </t>
  </si>
  <si>
    <t>M.P 52405-00028</t>
  </si>
  <si>
    <t xml:space="preserve">OCAÑA BURBANO HAROLD EDGAR ALEJANDRO </t>
  </si>
  <si>
    <t xml:space="preserve">CC 12970892 / Tecnico Profesional Intermedio Delineante De Arquitectura (Centro De Estudios Superiores Maria Goretti Cesmag) - NRÑ  </t>
  </si>
  <si>
    <t>M.P 52405-00035</t>
  </si>
  <si>
    <t xml:space="preserve">LUNA VELASCO MONICA PATRICIA </t>
  </si>
  <si>
    <t xml:space="preserve">CC 59813443 / Tecnico Profesional Intermedio Delineante De Arquitectura (Centro De Estudios Superiores Maria Goretti Cesmag) - NRÑ  </t>
  </si>
  <si>
    <t>M.P 52405-00001</t>
  </si>
  <si>
    <t xml:space="preserve">FUERTES CHAVES NANCY LUCIA </t>
  </si>
  <si>
    <t xml:space="preserve">CC 30723679 / Tecnico Profesional Intermedio Delineante De Arquitectura (Fundación Centro De Estudios Superiores Maria Goretti De Pasto) - NRÑ  </t>
  </si>
  <si>
    <t>M.P 52405-00002</t>
  </si>
  <si>
    <t xml:space="preserve">SILVA BACCA NELSON </t>
  </si>
  <si>
    <t xml:space="preserve">CC 16643042 / Tecnico Profesional Intermedio Delineante De Arquitectura (Centro De Estudios Superiores Maria Goretti De Pasto) - NRÑ  </t>
  </si>
  <si>
    <t>M.P 52405-00003</t>
  </si>
  <si>
    <t xml:space="preserve">ROMO MARTINEZ WILLAN FERNEY </t>
  </si>
  <si>
    <t xml:space="preserve">CC 98195232 / Tecnico Profesional Intermedio Delineante De Arquitectura (Fundación Centro De Estudios Superiores Maria Goretti De Pasto) - NRÑ  </t>
  </si>
  <si>
    <t>M.P 52405-00004</t>
  </si>
  <si>
    <t xml:space="preserve">ARELLANO MORENO MIGUEL EDUARDO </t>
  </si>
  <si>
    <t xml:space="preserve">CC 13016901 / Tecnico Profesional Intermedio Delineante De Arquitectura (Centro De Estudios Superiores Maria Goretti Cesmag) - NRÑ  </t>
  </si>
  <si>
    <t>M.P 52405-00005</t>
  </si>
  <si>
    <t xml:space="preserve">ZAMBRANO AREVALO ROSA ADELA </t>
  </si>
  <si>
    <t xml:space="preserve">CC 30724334 / Tecnico Profesional Intermedio Delineante De Arquitectura (Fundación Centro De Estudios Superiores Maria Goretti De Pasto) - NRÑ  </t>
  </si>
  <si>
    <t>M.P 52405-00006</t>
  </si>
  <si>
    <t xml:space="preserve">OBANDO ENRIQUEZ HECTOR ALBERTO </t>
  </si>
  <si>
    <t xml:space="preserve">CC 12981637 / Tecnico Profesional Intermedio Delineante De Arquitectura (Centro De Estudios Superiores Maria Goretti Cesmag) - NRÑ  </t>
  </si>
  <si>
    <t>M.P 52405-00007</t>
  </si>
  <si>
    <t xml:space="preserve">ERAZO BENAVIDES BERTHA ESTELLA </t>
  </si>
  <si>
    <t xml:space="preserve">CC 37002251 / Tecnico Profesional Intermedio Delineante De Arquitectura (Centro De Estudios Superiores Maria Goretti Cesmag) - NRÑ  </t>
  </si>
  <si>
    <t>M.P 52405-00010</t>
  </si>
  <si>
    <t xml:space="preserve">ECHEVERRIA ZAMBRANO JESUS ALFONSO </t>
  </si>
  <si>
    <t xml:space="preserve">CC 12971981 / Tecnico Profesional Intermedio Delineante De Arquitectura  (Centro De Estudios Superiores Maria Goretti Cesmag) - NRÑ  </t>
  </si>
  <si>
    <t>M.P 52405-00008</t>
  </si>
  <si>
    <t xml:space="preserve">BENAVIDES MESIAS CARMEN ALICIA </t>
  </si>
  <si>
    <t xml:space="preserve">CC 30732880 / Tecnico Profesional Intermedio Delineante De Arquitectura  (Fundacion Centro De Estudios Superiores Maria Goretti De Pasto) - NRÑ  </t>
  </si>
  <si>
    <t>M.P 52405-00011</t>
  </si>
  <si>
    <t xml:space="preserve">RICAURTE GARZON MARIO HERNAN </t>
  </si>
  <si>
    <t xml:space="preserve">CC 12999110 / Tecnico Profesional Intermedio Delineante De Arquitectura (Centro De Estudios Superiores Maria Goretti Cesmag) - NRÑ  </t>
  </si>
  <si>
    <t>M.P 52405-00012</t>
  </si>
  <si>
    <t xml:space="preserve">PANTOJA RUANO LORENA YOLANDA </t>
  </si>
  <si>
    <t xml:space="preserve">CC 30738848 / Tecnico Profesional Intermedio Delineante De Arquitectura  (Centro De Estudios Superiores Maria Goretti Cesmag) - NRÑ  </t>
  </si>
  <si>
    <t>M.P 52405-00013</t>
  </si>
  <si>
    <t xml:space="preserve">LOPEZ BONILLA AMPARITO YOLANDA </t>
  </si>
  <si>
    <t xml:space="preserve">CC 30719207 / Tecnico Profesional Intermedio Delineante De Arquitectura (Centro De Estudios Superiores Maria Goretti Cesmag) - NRÑ  </t>
  </si>
  <si>
    <t>M.P 52405-00015</t>
  </si>
  <si>
    <t xml:space="preserve">FUERTES TORRES MARIA ANTONIETA </t>
  </si>
  <si>
    <t xml:space="preserve">CC 30740435 / Tecnico Profesional Intermedio Delineante De Arquitectura  (Centro De Estudios Superiores Maria Goretti Cesmag) - NRÑ  </t>
  </si>
  <si>
    <t>M.P 52405-00016</t>
  </si>
  <si>
    <t xml:space="preserve">MORAN GUERRERO EDGAR ROBERTO </t>
  </si>
  <si>
    <t xml:space="preserve">CC 12978236 / Tecnico Profesional Intermedio Delineante De Arquitectura (Fundación Centro De Estudios Superiores Maria Goretti De Pasto) - NRÑ  </t>
  </si>
  <si>
    <t xml:space="preserve">ANEXOS:                                                DESCRIPCIÓN: </t>
  </si>
  <si>
    <t>EXPEDIENTES DETALLADOS</t>
  </si>
  <si>
    <t xml:space="preserve">OBSERVACIONES: </t>
  </si>
  <si>
    <t>Se hace aclaración que cada uno de los responsables asume el compromiso de entregar los documentos completos y organizados de acuerdo con las políticas de archivo establecidas</t>
  </si>
  <si>
    <t>TRANSFERIDO POR:</t>
  </si>
  <si>
    <t>DIEGO FERNANDO BRIÑEZ HERNÁNDEZ</t>
  </si>
  <si>
    <t xml:space="preserve">RECIBIDO POR:  </t>
  </si>
  <si>
    <t>VALIDADO POR:</t>
  </si>
  <si>
    <t xml:space="preserve">FIRMA: </t>
  </si>
  <si>
    <t>FECHA:</t>
  </si>
  <si>
    <t>FECHA</t>
  </si>
  <si>
    <t>* Campos de diligenciamiento de Archivo Central</t>
  </si>
  <si>
    <t>&lt;Nombre del Área / Seccional / Entidad Externa&gt;</t>
  </si>
  <si>
    <t>&lt;Quien recibe en el COPNIA o Entidad externa&gt;</t>
  </si>
  <si>
    <t>SECCIONAL ANTIOQUIA</t>
  </si>
  <si>
    <t>JUAN GUILLERMO ARBELAEZ ZAPATA</t>
  </si>
  <si>
    <t>ENCUADERNACIONES ALFA</t>
  </si>
  <si>
    <t>SECCIONAL ATLANTICO</t>
  </si>
  <si>
    <t>LUIS CARLOS SIERRA ROPAIN</t>
  </si>
  <si>
    <t>INFORMATICA EL CORTE INGLÉS</t>
  </si>
  <si>
    <t>SECCIONAL BOLIVAR</t>
  </si>
  <si>
    <t>CARLOS AMOR BUENDIA</t>
  </si>
  <si>
    <t>ANDRES CORRALES RUBIANO</t>
  </si>
  <si>
    <t>SECCIONAL BOYACA</t>
  </si>
  <si>
    <t>CLAUDIA PATRICIA SALINAS GUAYACUNDO</t>
  </si>
  <si>
    <t>SECCIONAL CALDAS</t>
  </si>
  <si>
    <t>MARIA EUGENIA LOPEZ HERNANDEZ</t>
  </si>
  <si>
    <t>SECCIONAL CAUCA</t>
  </si>
  <si>
    <t>JUAN PABLO RIVERA CARDENAS</t>
  </si>
  <si>
    <t>SECCIONAL CESAR</t>
  </si>
  <si>
    <t>JULIETH GIRALDO SANABRIA</t>
  </si>
  <si>
    <t>SECCIONAL CORDOBA</t>
  </si>
  <si>
    <t>PEDRO ANTONIO VILLADIEGO HAMON</t>
  </si>
  <si>
    <t>SECCIONAL CUNDINAMARCA</t>
  </si>
  <si>
    <t>JAIME ENRIQUE BERNAL CONTRERAS</t>
  </si>
  <si>
    <t>SECCIONAL GUAJIRA</t>
  </si>
  <si>
    <t>AURA BEATRIZ DURAN LOAIZA</t>
  </si>
  <si>
    <t>SECCIONAL NARIÑO</t>
  </si>
  <si>
    <t>PAULA ANDREA SALAS LASSO</t>
  </si>
  <si>
    <t>SECCIONAL NORTE DE SANTANDER</t>
  </si>
  <si>
    <t>CLAUDIA CAROLINA BALLESTEROS SOTO</t>
  </si>
  <si>
    <t>SECCIONAL QUINDIO</t>
  </si>
  <si>
    <t>OLGA MARIA CORREA FLOREZ</t>
  </si>
  <si>
    <t>SECCIONAL RISARALDA</t>
  </si>
  <si>
    <t>LUZ STELLA SERNA GARCIA</t>
  </si>
  <si>
    <t>SECCIONAL SANTANDER</t>
  </si>
  <si>
    <t>JAIRO MACIAS MARQUEZ</t>
  </si>
  <si>
    <t>SECCIONAL TOLIMA</t>
  </si>
  <si>
    <t>YOHANA CATICA RODRIGUEZ</t>
  </si>
  <si>
    <t>SECCIONAL VALLE</t>
  </si>
  <si>
    <t>ISABEL CRISTINA URIBE GIRALDO</t>
  </si>
  <si>
    <t>OFICINA DE CONTROL INTERNO</t>
  </si>
  <si>
    <t>Dra. MARTHA CECILIA FRANCO GARCÍA</t>
  </si>
  <si>
    <t>DIRECCION GENERAL</t>
  </si>
  <si>
    <t>Dr. CARLOS ALBERTO JARAMILLO JARAMILLO</t>
  </si>
  <si>
    <t>SUBDIRECCIÓN ADMINISTRATIVA Y FINANCIERA</t>
  </si>
  <si>
    <t>Dra. LUZ MARINA RESTREPO TREJOS</t>
  </si>
  <si>
    <t>SUBDIRECCIÓN JURIDICA</t>
  </si>
  <si>
    <t>Dr. JOSE OLEGARIO NEMETH ESQUINAS</t>
  </si>
  <si>
    <t>SUBDIRECCIÓN JURIDICA 1</t>
  </si>
  <si>
    <t>NATALIA ROJAS GONZALEZ</t>
  </si>
  <si>
    <t>PAOLA ANDREA GARZON NOSSA</t>
  </si>
  <si>
    <t>GESTION DE PLANEACIÓN Y COMUNICACIONES</t>
  </si>
  <si>
    <t>ARY ALFREDO BRAVO ESPADA</t>
  </si>
  <si>
    <t>GESTION DE TALENTO HUMANO</t>
  </si>
  <si>
    <t>LIDA MIREYA ORTIZ CORTES</t>
  </si>
  <si>
    <t>GESTION DE CALIDAD</t>
  </si>
  <si>
    <t>ANGELA PATRICIA ALVAREZ LEDESMA</t>
  </si>
  <si>
    <t>DIEGO FERNANDO BRIÑEZ HERNANDEZ</t>
  </si>
  <si>
    <t>GESTION DE SISTEMAS</t>
  </si>
  <si>
    <t>CARLOS VALLEJO CUBILLOS</t>
  </si>
  <si>
    <t>GESTION DE REGISTRO</t>
  </si>
  <si>
    <t>FREDY HADIB DE LA ROSA MARTINEZ</t>
  </si>
  <si>
    <t>GESTION DE CONTABILIDAD</t>
  </si>
  <si>
    <t>FRANCISCO VALENCIA CARVAJAL</t>
  </si>
  <si>
    <t>GESTION DE TESORERIA</t>
  </si>
  <si>
    <t>MARIA TERESA VELASQUEZ FERRO</t>
  </si>
  <si>
    <t>GESTION DE PRESUPUESTO Y COMPRAS</t>
  </si>
  <si>
    <t>FREDY HERNAN PEDRAZA PARDO</t>
  </si>
  <si>
    <t>GESTION DE CONTRATACIÓN</t>
  </si>
  <si>
    <t>NUBIA ROCIO POVEDA PARRA</t>
  </si>
  <si>
    <t>INFORMATICA EL CORTE INGLES</t>
  </si>
  <si>
    <t>JAVIER MIRANDA MALAGÓN</t>
  </si>
  <si>
    <t>ENTIDAD EXTERNA</t>
  </si>
  <si>
    <t>TECNICO PROFESIONAL CONSTRUCCION</t>
  </si>
  <si>
    <t>TECNICO PROFESIONAL EN CONSTRUCCION</t>
  </si>
  <si>
    <t>SEDE</t>
  </si>
  <si>
    <t>TECNOLOGO EN CONSTRUCCION</t>
  </si>
  <si>
    <t>TECNOLOGO EN OBRAS CIVILES</t>
  </si>
  <si>
    <t>UNIVERSIDAD TECNOLOGICA DEL CHOCO DIEGO LUIS CORDOBA</t>
  </si>
  <si>
    <t>TECNOLOGO EN ADMINISTRACION Y EJECUCION DE CONSTRUCCIONES</t>
  </si>
  <si>
    <t>TECNICO PROFESIONAL EN ADMINISTRACION DE OBRAS DE ARQUITECTURA E INGENIERIA</t>
  </si>
  <si>
    <t>CORPORACION ESCUELA DE ARTES Y LETRAS</t>
  </si>
  <si>
    <t>UNIVERSIDAD SANTO TOMAS</t>
  </si>
  <si>
    <t>No</t>
  </si>
  <si>
    <t>CUNDINAMARCA</t>
  </si>
  <si>
    <t>ADMINISTRADOR EN DESARROLLO AGROINDUSTRIAL</t>
  </si>
  <si>
    <t>UNIVERSIDAD SURCOLOMBIANA</t>
  </si>
  <si>
    <t>OBSERVACIONES.. Mtobservaciones</t>
  </si>
  <si>
    <t>IDPROFESION</t>
  </si>
  <si>
    <t>IDGRPROFESION</t>
  </si>
  <si>
    <t>PFTIPO</t>
  </si>
  <si>
    <t>PFDURACION</t>
  </si>
  <si>
    <t>PFACTIVO</t>
  </si>
  <si>
    <t>PFOBSERVACION</t>
  </si>
  <si>
    <t>PFNOMBRE</t>
  </si>
  <si>
    <t>PFABREVIATURA</t>
  </si>
  <si>
    <t>NO REGISTRA OBSERVACION ESTA PROFESION</t>
  </si>
  <si>
    <t>NO REGISTRA NOMBRE ESTA PROFESION</t>
  </si>
  <si>
    <t>NO REGISTRA ABREVIATURA ESTA PROFESION</t>
  </si>
  <si>
    <t>TECNICO PROFESIONAL EN MANTENIMIENTO DE COMPUTADORES Y PERIFERICOS</t>
  </si>
  <si>
    <t>TECNOLOGO EN PROCESAMIENTO DE ALIMENTOS</t>
  </si>
  <si>
    <t>BLOQUEO REPETIDO COD. 86</t>
  </si>
  <si>
    <t>TECNOLOGO EN SEGURIDAD INDUSTRIAL SALUD OCUPACIONAL Y MEDIO AMBIENTE EN EL SECTOR DE LA CONSTRUCCION</t>
  </si>
  <si>
    <t>INGENIERO ACUSTICO</t>
  </si>
  <si>
    <t>PROFESIONAL EN PRODUCCION AGROINDUSTRIAL</t>
  </si>
  <si>
    <t xml:space="preserve">                                                  </t>
  </si>
  <si>
    <t>AGROLOGO</t>
  </si>
  <si>
    <t>TECNICO PROFESIONAL EN AGROPECUARIA</t>
  </si>
  <si>
    <t>TECNICO PROFESIONAL EN TRANSFORMACION DE PLASTICOS POR SOPLADO</t>
  </si>
  <si>
    <t>TECNOLOGO EN ADMINISTRACION E INFORMATICA</t>
  </si>
  <si>
    <t>INGENIERO PESQUERO CON ENFASIS EN EXTRACCION</t>
  </si>
  <si>
    <t>TECNOLOGO EN REDES DE COMPUTADORES Y SEGURIDAD INFORMATICA</t>
  </si>
  <si>
    <t>TECNOLOGO EN OBRAS DE RESTAURACION DE EDIFICACIONES DE VALOR PATRIMONIAL</t>
  </si>
  <si>
    <t>TECNOLOGO EN GESTION AMBIENTAL TERRITORIAL</t>
  </si>
  <si>
    <t>TECNOLOGO EN AGUA Y SANEAMIENTO BASICO</t>
  </si>
  <si>
    <t>TECNICO PROFESIONAL EN ARMADO DE ESTRUCTURAS EN GUADUA</t>
  </si>
  <si>
    <t>ADMINISTRADOR EN SALUD-GESTION SANITARIA Y AMBIENTAL</t>
  </si>
  <si>
    <t>TECNICO PROFESIONAL EN ADMINISTRACION DE EMPRESAS AGROPECUARIAS</t>
  </si>
  <si>
    <t>INGENIERO DE MANTENIMIENTO INDUSTRIAL Y HOSPITALARIO</t>
  </si>
  <si>
    <t>TECNICO PROFESIONAL EN MECATRONICA</t>
  </si>
  <si>
    <t>TECNICO PROFESIONAL EN PRODUCCION AGRICOLA</t>
  </si>
  <si>
    <t>TECNICO PROFESIONAL INSTRUMENTACION Y CONTROL DE PROCESOS</t>
  </si>
  <si>
    <t>TECNOLOGO EN GEOTECNIA</t>
  </si>
  <si>
    <t>TECNICO PROFESIONAL EN ADMINISTRACION AGROPECUARIA</t>
  </si>
  <si>
    <t>BLOQUEO PROFESION NO VIGENTE 1994</t>
  </si>
  <si>
    <t>TECNICO EN MANTENIMIENTO DE MOTORES DIESEL</t>
  </si>
  <si>
    <t>TECNOLOGO EN AGUA Y SANEAMIENTO</t>
  </si>
  <si>
    <t>TECNOLOGO EN ANALISIS DE SISTEMAS</t>
  </si>
  <si>
    <t>TECNICO PROFESIONAL EN ADMINISTRACION INFORMATICA</t>
  </si>
  <si>
    <t>TECNOLOGO EN GESTION AGROINDUSTRIAL</t>
  </si>
  <si>
    <t>TECNICO PROFESIONAL EN M/MIENTO DE MAQUINARIA DE MINERIA Y CONSTRUCCION</t>
  </si>
  <si>
    <t>TECNOLOGO EN PRODUCCION AGROPECUARIA ECOLOGICA</t>
  </si>
  <si>
    <t>TECNOLOGO ADMINISTRADOR AGROPECUARIO</t>
  </si>
  <si>
    <t>PROFESIONAL EN INGENIERIA AGRONOMICA</t>
  </si>
  <si>
    <t>TECNICO PROFESIONAL EN PESCA</t>
  </si>
  <si>
    <t>TECNOLOGO EN ACUICULTURA</t>
  </si>
  <si>
    <t>TECNOLOGO EN AGRONOMIA DEL TROPICO HUMEDO</t>
  </si>
  <si>
    <t>TECNOLOGO EN MANTENIMIENTO DE AERONAVES</t>
  </si>
  <si>
    <t>TECNOLOGO EN INGENIERIA EN SISTEMAS</t>
  </si>
  <si>
    <t>TECNICO PROFESIONAL EN MANTENIMIENTO ELECTROMECANICO</t>
  </si>
  <si>
    <t>DESBLOQUEO 2015NAL3061 MAY- NAL-CE-2011-03433</t>
  </si>
  <si>
    <t>TECNOLOGO EN ADMINISTRACION COMERCIAL Y FINANCIERA</t>
  </si>
  <si>
    <t>TECNOLOGO EN MANTENIMIENTO MECATRONICO DE AUTOMOTORES</t>
  </si>
  <si>
    <t>PROFESION NO VIGENTE</t>
  </si>
  <si>
    <t>BACHILLER EN ARTES - ESPECIALIDAD GEOLOGIA</t>
  </si>
  <si>
    <t>INGENIERO DE RECURSOS NATURALES</t>
  </si>
  <si>
    <t>TECNOLOGO EN PRODUCCION ACUICOLA</t>
  </si>
  <si>
    <t>TECNOLOGO EN EXPLOTACIONES MINERAS BAJO TIERRA</t>
  </si>
  <si>
    <t>TECNOLOGO EN PRODUCCION AGROECOLOGICA</t>
  </si>
  <si>
    <t>TECNICO PROFESIONAL EN MINAS BAJO TIERRA</t>
  </si>
  <si>
    <t>TECNICO PROFESIONAL EN LOGISTICA</t>
  </si>
  <si>
    <t/>
  </si>
  <si>
    <t>INGENIERO CIVIL ESPECIALISTA EN INGENIERIA AMBIENTAL</t>
  </si>
  <si>
    <t>TECNOLOGO EN MANEJO Y APROVECHAMIENTO DE BOSQUES NATURALES</t>
  </si>
  <si>
    <t>TECNICO PROFESIONAL EN CONSTRUCCIONES SOLDADAS</t>
  </si>
  <si>
    <t>ADMINISTRADOR DE PROYECTOS EMPRESARIALES AGROPECUARIOS</t>
  </si>
  <si>
    <t>TECNICO PROFESIONAL EN PRODUCCION AGRIONDUSTRIAL</t>
  </si>
  <si>
    <t>TECNICO PROFESIONAL GESTION DE RECURSOS NATURALES</t>
  </si>
  <si>
    <t>AUXILIAR DE INGENIERIA INDUSTRIAL</t>
  </si>
  <si>
    <t>BLOQUEO PROFESION NO VIGENTE</t>
  </si>
  <si>
    <t>TECNICO EN GESTION EN SISTEMAS DE MANEJO AMBIENTAL</t>
  </si>
  <si>
    <t>TECNOLOGO EN GESTION DE SISTEMAS OPERATIVOS Y REDES DE COMPUTADORAS</t>
  </si>
  <si>
    <t>TECNOLOGO EN MINERIA BAJO TIERRA</t>
  </si>
  <si>
    <t>TECNOLOGO PROFESIONAL EN ANALISIS DE SISTEMAS</t>
  </si>
  <si>
    <t>TECNOLOGO EN OPERACION DE PLANTAS PETROQUIMICAS</t>
  </si>
  <si>
    <t>INGENIERO PECUARIO</t>
  </si>
  <si>
    <t>INGENIERO EN CARTOGRAFIA</t>
  </si>
  <si>
    <t>TECNOLOGO EN MINERA</t>
  </si>
  <si>
    <t>TECNOLOGO EN LOGISTICA</t>
  </si>
  <si>
    <t>INGENIERO PESQUERO CON ENFASIS EN ACUICULTURA</t>
  </si>
  <si>
    <t>TECNICO PROFESIONAL INSTALACIONES HIDRAULICAS SANITARIAS Y A GAS</t>
  </si>
  <si>
    <t>TECNOLOGO EN SILVICULTURA Y APROVECHAMIENTO DE PLANTACIONES FORESTALES</t>
  </si>
  <si>
    <t>TECNICO PROFESIONAL EN DESARROLLO DE LA PRODUCCION PECUARIA NIVEL 3</t>
  </si>
  <si>
    <t>REPETIDO CON COD 209</t>
  </si>
  <si>
    <t>INGENIERA AGRONOMA</t>
  </si>
  <si>
    <t>INGENIERO EN DISEÑO INDUSTRIAL</t>
  </si>
  <si>
    <t>TECNICO PROFESIONAL AGROPECUARIO</t>
  </si>
  <si>
    <t>ADMINISTRADOR AGRICOLA</t>
  </si>
  <si>
    <t>INGENIERO EN ADMINISTRACION DE EMPRESAS COMERCIALES</t>
  </si>
  <si>
    <t>TECNICO PROFESIONAL EN AMBIENTAL</t>
  </si>
  <si>
    <t>TECNOLOGO EN GESTION FINANCIERA</t>
  </si>
  <si>
    <t>TECNOLOGO EN PROCESAMIENTO DE ALIMENTOS PERECEDEROS</t>
  </si>
  <si>
    <t>TECNOLOGO EN LOGISTICA Y DISTRIBUCION</t>
  </si>
  <si>
    <t>BLOQUEO COMPETENCIA CONSEJO ADMIN</t>
  </si>
  <si>
    <t>ADMINISTRADOR DE EMPRESA AGROPECUARIA</t>
  </si>
  <si>
    <t>NO COMPETENCIA: VER LISTA CONALTEL</t>
  </si>
  <si>
    <t>TECNOLOGO EN MANTENIMIENTO ELECTROMECANICO INDUSTRIAL</t>
  </si>
  <si>
    <t>BLOQUEO POR NAL-CI-2013-01711 DEL 16-04-2013</t>
  </si>
  <si>
    <t>TECNICO EN CONSTRUCCION DE EDIFICACIONES</t>
  </si>
  <si>
    <t>TECNICO PROFESIONAL EN SILVICULTURA Y APROVECHAMIENTO DE PLANTACIONES PARA LA PRODUCCION DE MADERA NIVEL 3</t>
  </si>
  <si>
    <t>TECNICO PROFESIONAL EN MANEJO AGROFORESTAL</t>
  </si>
  <si>
    <t>TECNOLOGO EN SUPERVISION DE LA FABRICACION DE PRODUCTOS METALICOS SOLDADOS</t>
  </si>
  <si>
    <t>TECNICO PROFESIONAL EN ADMINISTRACION DE CONSTRUCCIONES Y FINCA RAIZ</t>
  </si>
  <si>
    <t>TECNICO PROFESIONAL INTERMEDIO EN MINERIA</t>
  </si>
  <si>
    <t>TECNOLOGO EN SEG. IND. SALUD OCUPACIONAL Y MEDIO AMB. EN LA CONSTRUCCION</t>
  </si>
  <si>
    <t>TECNOLOGO EN BIOTECNOLOGIA REPRODUCTIVA BOVINA</t>
  </si>
  <si>
    <t>TECNICO PROFESIONAL EN MANTENIMIENTO DE EQUIPOS DE COMPUTO</t>
  </si>
  <si>
    <t>INGENIERO DE MANTENIMIENTO</t>
  </si>
  <si>
    <t>TECNOLOGO AGROFORESTAL</t>
  </si>
  <si>
    <t>TECNOLOGO EN GESTION DE NUEVAS TECNOLOGIAS EN REDES</t>
  </si>
  <si>
    <t>TECNOLOGO FORESTAL CON ENFASIS EN PROTECCION Y RECUPERACION DE ECOSISTEMAS</t>
  </si>
  <si>
    <t>TECNICO PROFESIONAL EN MANTENIMIENTO INDUSTRIAL CON ENFASIS EN ELECTROMECANICA</t>
  </si>
  <si>
    <t xml:space="preserve">DESBLOQUEO NAL-CI-2012-04975 Y BLQ CI-2011-05160 </t>
  </si>
  <si>
    <t>TECNOLOGO EN FINANZAS</t>
  </si>
  <si>
    <t>TECNOLOGO EN PESQUERA</t>
  </si>
  <si>
    <t>TECNICO PROFESIONAL EN GESTION DEL MANTENIMIENTO Y SEGURIDAD INDUSTRIAL</t>
  </si>
  <si>
    <t>TECNICO PROFESIONAL INTERMEDIO EN ADMINISTRACION AGROPECUARIA</t>
  </si>
  <si>
    <t>TECNOLOGO ADMINISTRACION AGROPECUARIA</t>
  </si>
  <si>
    <t>BLOQUEADO NAL-CI-2013-04979/04478</t>
  </si>
  <si>
    <t>TECNOLOGO EN ADMINISTRACION DE SISTEMAS DE INFORMACION Y DOCUMENTACION</t>
  </si>
  <si>
    <t>DESBLOQUEO POR SOL.VIGENCIA NO VIGENTE 1996</t>
  </si>
  <si>
    <t>INGENIERO HIDROTECNICO</t>
  </si>
  <si>
    <t>BLOQUEO POR PROFESION NO VIGENTE</t>
  </si>
  <si>
    <t>INGENIERO CIVIL Y ASTRONOMO GEODESTA</t>
  </si>
  <si>
    <t>BLOQUEO PROFESIONALES SIN TITULO</t>
  </si>
  <si>
    <t>INGENIERO PRACTICO EN VIAS DE COMUNICACION (SIN TITULO)</t>
  </si>
  <si>
    <t>TECNOLOGO EN ADMINISTRACION DEL ENSAMBLE Y MANTENIMIENTO DE COMPUTADORES Y REDES</t>
  </si>
  <si>
    <t>INGENIERO DE MINAS CON TITULO Y CIVIL (SIN TITULO)</t>
  </si>
  <si>
    <t>ADMINISTRADOR DE SISTEMAS INFORMATICOS</t>
  </si>
  <si>
    <t>CONSTRUCTOR CIVIL</t>
  </si>
  <si>
    <t>INGENIERO PRACTICO EN VIAS COMUNICACIONES</t>
  </si>
  <si>
    <t>INGENIERO ASTRONOMO GEODESTA</t>
  </si>
  <si>
    <t>TECNOLOGO EN SUPERVISION DE FABRICACION Y RECONSTRUCION DE PRODUCTOS METALICOS SOLDADOS</t>
  </si>
  <si>
    <t>CONSTRUCTOR</t>
  </si>
  <si>
    <t>INGENIERO AUXILIAR EN VIAS DE COMUNICACION (SIN TITULO)</t>
  </si>
  <si>
    <t>TECNICO PROFESIONAL EN PERFORACION PETROLERA</t>
  </si>
  <si>
    <t>INGENIERO ADMINISTRATIVO</t>
  </si>
  <si>
    <t>INGENIERO ADMINISTRATIVO Y DE FINANZAS</t>
  </si>
  <si>
    <t>INGENIERO AGROECOLOGO</t>
  </si>
  <si>
    <t>INGENIERO DE FERROCARRILES</t>
  </si>
  <si>
    <t>INGENIERO AGROPECUARIO</t>
  </si>
  <si>
    <t>INGENIERO DE GEOLOGIA Y PETROLEOS</t>
  </si>
  <si>
    <t>LEY 51 DE 1986 CONSEJO ING. ELECTRICA, MEC. Y AF.</t>
  </si>
  <si>
    <t>INGENIERO ELECTRICISTA (SIN TITULO)</t>
  </si>
  <si>
    <t>INGENIERO MECANICO - INDUSTRIAL</t>
  </si>
  <si>
    <t>AGRONOMO</t>
  </si>
  <si>
    <t>OK MATRICULADO 2012 SEP</t>
  </si>
  <si>
    <t>INGENIERO CATASTRAL</t>
  </si>
  <si>
    <t>INGENIERO DE REFINACION</t>
  </si>
  <si>
    <t>INGENIERO AGRONOMICO</t>
  </si>
  <si>
    <t>INGENIERO PRACTICO (SIN TITULO)</t>
  </si>
  <si>
    <t>LEY 18 DE 1976, NO CORRESPONDE A ESTE CONSEJO</t>
  </si>
  <si>
    <t>INGENIERO QUIMICO INDUSTRIAL</t>
  </si>
  <si>
    <t>LEY 435 DE 1998</t>
  </si>
  <si>
    <t>INGENIERO ARQUITECTO (SIN TITULO)</t>
  </si>
  <si>
    <t>INGENIERO ELECTROMECANICO (SIN TITULO)</t>
  </si>
  <si>
    <t>0</t>
  </si>
  <si>
    <t>INGENIERO CIVIL Y DE MINAS</t>
  </si>
  <si>
    <t>INGENIERO DE METALURGIA</t>
  </si>
  <si>
    <t>INGENIERO DE VIAS</t>
  </si>
  <si>
    <t>INGENIERO MARITIMO Y ARQUITECTO NAVAL</t>
  </si>
  <si>
    <t>INGENIERO DE MONTES</t>
  </si>
  <si>
    <t>INGENIERO EN VIAS DE COMUNICACIONES Y CONSTRUCCIONES (SIN TITULO)</t>
  </si>
  <si>
    <t>AGRIMENSOR</t>
  </si>
  <si>
    <t>INGENIERO MECANICO ELECTRICISTA</t>
  </si>
  <si>
    <t>INGENIERO ELECTRONICO Y TELECOMUNICACIONES</t>
  </si>
  <si>
    <t>INGENIERO ELECTROTECNICO</t>
  </si>
  <si>
    <t>INGENIERO DE TELECOMUNICACIONES</t>
  </si>
  <si>
    <t>INGENIERO AGRIMENSOR</t>
  </si>
  <si>
    <t>INGENIERO ARQUITECTONICO</t>
  </si>
  <si>
    <t>INGENIERO HIDRAULICO Y CIVIL</t>
  </si>
  <si>
    <t>INGENIERO HIDRAULICO</t>
  </si>
  <si>
    <t>INGENIERO MECANICO Y GEOLOGO</t>
  </si>
  <si>
    <t>INGENIERO INDUSTRIAL ELECTRO TECNICO</t>
  </si>
  <si>
    <t>BLOQUEO PROFESION NO VIGENTE 1948</t>
  </si>
  <si>
    <t>INGENIERO CONSTRUCTOR</t>
  </si>
  <si>
    <t>INGENIERO DE ALCANTARILLADOS Y PAVIMENTACION (SIN TITULO)</t>
  </si>
  <si>
    <t>INGENIERO TOPOGRAFO AGRIMENSOR (SIN TITULO)</t>
  </si>
  <si>
    <t>INGENIERO COMERCIAL</t>
  </si>
  <si>
    <t>INGENIERO TECNICO DE EMPRESAS (SIN TITULO)</t>
  </si>
  <si>
    <t>ACTIVA X CV MP 3416 NO VIGENTE - REPETIDA CON  200</t>
  </si>
  <si>
    <t>INGENIERO CIVIL E INDUSTRIAL</t>
  </si>
  <si>
    <t>INGENIERO INDUSTRIAL (SIN TITULO)</t>
  </si>
  <si>
    <t>INGENIERO PROFESIONAL E INDUSTRIAL</t>
  </si>
  <si>
    <t>INGENIERO DE CONTROL Y AUTOMATIZACION</t>
  </si>
  <si>
    <t>DESBLOQUEO REPOSICIÓN MT 2012 NO ES LEY 18 DE 1976</t>
  </si>
  <si>
    <t>INGENIERO BIOQUIMICO</t>
  </si>
  <si>
    <t>INGENIERO PARA CONSTRUCCION BAJO TIERRA</t>
  </si>
  <si>
    <t>INGENIERO CIVIL DE TRANSPORTES</t>
  </si>
  <si>
    <t>INGENIERO PRACTICO EN VIAS DE COMUNICACION Y CONSTRUCCIONES (SIN TITULO)</t>
  </si>
  <si>
    <t>ELECTROTECNICO</t>
  </si>
  <si>
    <t>INGENIERO AUXILIAR EN OBRAS FLUVIALES (SIN TITULO)</t>
  </si>
  <si>
    <t>INGENIERO ADMINISTRADOR DE INGENIEROS QUIMICOS</t>
  </si>
  <si>
    <t>INGENIERO MILITAR</t>
  </si>
  <si>
    <t>INGENIERO MECANICO (SIN TITULO)</t>
  </si>
  <si>
    <t>INGENIERO EN VIAS DE COMUNICACIONES E HIDRAULICO</t>
  </si>
  <si>
    <t>INGENIERO PRACTICO EN PETROLEOS Y URBANIZACION (SIN TITULO)</t>
  </si>
  <si>
    <t>INGENIERO EXPERTO EN PETROLEOS</t>
  </si>
  <si>
    <t>INGENIERO CARRETERA TOPOGRAFO (SIN TITULO)</t>
  </si>
  <si>
    <t>INGENIERO TOPOGRAFO</t>
  </si>
  <si>
    <t>INGENIERO DE CONSTRUCCIONES</t>
  </si>
  <si>
    <t>TECNOLOGO EN GESTION DEL MANTENIMIENTO</t>
  </si>
  <si>
    <t>INGENIERO DE RADIOCOMUNICACION (SIN TITULO)</t>
  </si>
  <si>
    <t>INGENIERO CONSTRUCCION URBANISTA</t>
  </si>
  <si>
    <t>INGENIERO BIOLOGICO</t>
  </si>
  <si>
    <t>MAESTRO DE OBRAS EN CONSTRUCCION DE VIAS DE COMUNICACION</t>
  </si>
  <si>
    <t>INGENIERO DE MAQUINAS</t>
  </si>
  <si>
    <t>INGENIERO GEOFISICO</t>
  </si>
  <si>
    <t>INGENIERO QUIMICO Y DR EN CIENCIAS FISICAS</t>
  </si>
  <si>
    <t>INGENIERO MANTENIMIENTO DE EQUIPO AERONAUTICO</t>
  </si>
  <si>
    <t>INGENIERO DE BIORECURSOS</t>
  </si>
  <si>
    <t>INGENIERO AEROESPACIAL</t>
  </si>
  <si>
    <t>EXPERTO CONSTRUCTOR</t>
  </si>
  <si>
    <t>INGENIERO INDUSTRIAL MECANICO ESPECIALISTA EN ELECTRONICA</t>
  </si>
  <si>
    <t>PERITO MECANICO</t>
  </si>
  <si>
    <t>URBANISTA</t>
  </si>
  <si>
    <t>MECANICO MONTADOR</t>
  </si>
  <si>
    <t>LEY 70 DE 1979</t>
  </si>
  <si>
    <t>AGRONOMO - TOPOGRAFO</t>
  </si>
  <si>
    <t>INGENIERO EN CIBERNETICA Y EN SISTEMAS COMPUTACIONALES</t>
  </si>
  <si>
    <t>INGENIERO CONSTRUCTOR Y DE ADMINISTRACION (SIN TITULO)</t>
  </si>
  <si>
    <t>INGENIERO INDUSTRIAL ESPECIALISTA METALURGIA</t>
  </si>
  <si>
    <t>INGENIERO PRACTICO EN CONSTRUCTOR DE EDIFICIOS (SIN TITULO)</t>
  </si>
  <si>
    <t>desbloqueo certificado 79888570</t>
  </si>
  <si>
    <t>TECNICO EN MANTENIMIENTO DE EQUIPOS DE COMPUTO</t>
  </si>
  <si>
    <t>INGENIERO MECANICO ADMINISTRADOR</t>
  </si>
  <si>
    <t>INGENIERO PRACTICO CONSTRUCCIONES Y OBRAS HIDRAULICAS (SIN TITULO)</t>
  </si>
  <si>
    <t>INGENIERO DE CAMINOS CANALES Y PUERTOS</t>
  </si>
  <si>
    <t>INGENIERO NUCLEAR</t>
  </si>
  <si>
    <t>GEOLOGO E INGENIERO DE MINAS</t>
  </si>
  <si>
    <t>INGENIERO CIVIL Y DE CONSTRUCCIONES NAVALES</t>
  </si>
  <si>
    <t>INGENIERO EN AUTOMATIZACION</t>
  </si>
  <si>
    <t>INGENIERO DE CONTROL</t>
  </si>
  <si>
    <t>TECNICO PROFESIONAL EN ADMINISTRACION Y PRODUCCION AGROINDUSTRIAL</t>
  </si>
  <si>
    <t>INGENIERO AERONAUTICO</t>
  </si>
  <si>
    <t>INGENIERO CIVIL</t>
  </si>
  <si>
    <t>ACTIVO POR DUPLICADO</t>
  </si>
  <si>
    <t>INGENIERO AGROMETEREOLOGICO</t>
  </si>
  <si>
    <t>INGENIERO DE VIAS Y ESTRUCTURAS</t>
  </si>
  <si>
    <t>INGENIERO ELECTRICISTA</t>
  </si>
  <si>
    <t>INGENIERO ELECTRONICO</t>
  </si>
  <si>
    <t>INGENIERO DE ESTRUCTURAS</t>
  </si>
  <si>
    <t>INGENIERO DE SISTEMAS Y COMPUTACION</t>
  </si>
  <si>
    <t>REPETIDO CON 69</t>
  </si>
  <si>
    <t>INGENIERO AGRONOMO</t>
  </si>
  <si>
    <t>GEOLOGO Y GEOFISICO</t>
  </si>
  <si>
    <t>Consejo Profesional de Geología</t>
  </si>
  <si>
    <t>GEOLOGO</t>
  </si>
  <si>
    <t>INGENIERO TERMOENERGETICO</t>
  </si>
  <si>
    <t>INGENIERO EN COMPUTACION ELECTRONICA</t>
  </si>
  <si>
    <t>INGENIERO ELECTRICO</t>
  </si>
  <si>
    <t>INGENIERO TERMICO</t>
  </si>
  <si>
    <t>INGENIERO EN ELECTRONICA</t>
  </si>
  <si>
    <t>INGENIERO EN MINAS</t>
  </si>
  <si>
    <t>INGENIERO DE MINAS</t>
  </si>
  <si>
    <t>Consejo Profesional de Ing. de Transportes y Vías</t>
  </si>
  <si>
    <t>INGENIERO DE TRANSPORTES Y VIAS</t>
  </si>
  <si>
    <t>Consejo Profesional de Ingeniería de Petróleos</t>
  </si>
  <si>
    <t>INGENIERO DE PETROLEOS</t>
  </si>
  <si>
    <t>INGENIERO DE PETROLEOS Y GEOLOGIA</t>
  </si>
  <si>
    <t>INGENIERO CATASTRAL Y GEODESTA</t>
  </si>
  <si>
    <t>INGENIERO GEOLOGO</t>
  </si>
  <si>
    <t>INGENIERO TOPOGRAFO E HIDROGRAFO</t>
  </si>
  <si>
    <t>Consejo Profesional de Ingeniería Química</t>
  </si>
  <si>
    <t>INGENIERO QUIMICO</t>
  </si>
  <si>
    <t>INGENIERO CIVIL Y DE PETROLEOS</t>
  </si>
  <si>
    <t>INGENIERO DE PRODUCCION</t>
  </si>
  <si>
    <t>INGENIERO INDUSTRIAL</t>
  </si>
  <si>
    <t>INGENIERO INDUSTRIAL DE ALIMENTOS</t>
  </si>
  <si>
    <t>INGENIERO MECANICO</t>
  </si>
  <si>
    <t>INGENIERO METALURGICO</t>
  </si>
  <si>
    <t>INGENIERO TEXTIL</t>
  </si>
  <si>
    <t>INGENIERO NAVAL</t>
  </si>
  <si>
    <t>INGENIERO EN MINERIA</t>
  </si>
  <si>
    <t>INGENIERO DE SISTEMAS CON ENFASIS EN ADMINISTRACION E INFORMATICA</t>
  </si>
  <si>
    <t>INGENIERO SANITARIO Y AMBIENTAL</t>
  </si>
  <si>
    <t>INGENIERO SANITARIO</t>
  </si>
  <si>
    <t>INGENIERO AMBIENTAL</t>
  </si>
  <si>
    <t>INGENIERO EN TRANSPORTE Y VIAS</t>
  </si>
  <si>
    <t>INGENIERO DEL DESARROLLO AMBIENTAL</t>
  </si>
  <si>
    <t>INGENIERO EN AUTOMATIZACION INDUSTRIAL</t>
  </si>
  <si>
    <t>INGENIERO AMBIENTAL Y RECURSOS NATURALES</t>
  </si>
  <si>
    <t>INGENIERO DEL MEDIO AMBIENTE</t>
  </si>
  <si>
    <t>INGENIERO BIOMEDICO</t>
  </si>
  <si>
    <t>INGENIERO DE PRODUCCION INDUSTRIAL</t>
  </si>
  <si>
    <t>REPETIDA CON 386</t>
  </si>
  <si>
    <t>INGENIERO COMERCIAL CON ENFASIS EN NEGOCIOS INTERNACIONALES</t>
  </si>
  <si>
    <t>INGENIERO GEOGRAFO</t>
  </si>
  <si>
    <t>INGENIERO ADMINISTRADOR</t>
  </si>
  <si>
    <t>INGENIERO COMERCIAL CON ENFASIS EN MERCADOTECNIA</t>
  </si>
  <si>
    <t>INGENIERO ELECTROMECANICO</t>
  </si>
  <si>
    <t>INGENIERO EN VIAS DE COMUNICACION (SIN TITULO) Y MINERALOGIA</t>
  </si>
  <si>
    <t>SE HABILITO EL 10 DE OCT 2011</t>
  </si>
  <si>
    <t>INGENIERO EN PRODUCCION PESQUERA</t>
  </si>
  <si>
    <t>INGENIERO CIVIL E INGENIERIA DE MINAS</t>
  </si>
  <si>
    <t>INGENIERO DE ALIMENTOS</t>
  </si>
  <si>
    <t>INGENIERO DE SISTEMAS</t>
  </si>
  <si>
    <t>INGENIERO DE MINAS Y METALURGIA</t>
  </si>
  <si>
    <t>INGENIERO HIDROLOGO</t>
  </si>
  <si>
    <t>INGENIERO CIVIL Y MINAS</t>
  </si>
  <si>
    <t>INGENIERO CIVIL HIDRAULICO</t>
  </si>
  <si>
    <t>INGENIERO AMBIENTAL Y SANITARIO</t>
  </si>
  <si>
    <t>INGENIERO AGROINDUSTRIAL</t>
  </si>
  <si>
    <t>INGENIERO EN CONSTRUCCIONES</t>
  </si>
  <si>
    <t>INGENIERO NAUTICO</t>
  </si>
  <si>
    <t>INGENIERO DE TRANSPORTE MARITIMO</t>
  </si>
  <si>
    <t>INGENIERO DE FABRICACION</t>
  </si>
  <si>
    <t>INGENIERO FORESTAL</t>
  </si>
  <si>
    <t>DESB VIGENCIA</t>
  </si>
  <si>
    <t>INGENIERO GEOLOGO DE MINAS</t>
  </si>
  <si>
    <t>INGENIERO AGRICOLA</t>
  </si>
  <si>
    <t>INGENIERO DE SISTEMAS CON ENFASIS EN SOFTWARE</t>
  </si>
  <si>
    <t>INGENIERO CIVIL DE MINAS Y GEOLOGO</t>
  </si>
  <si>
    <t>INGENIERO GEOFISICO DE MINAS</t>
  </si>
  <si>
    <t>PROFESION REPETIDA CON  859</t>
  </si>
  <si>
    <t>INGENIERO ADMINISTRADOR DE SISTEMAS</t>
  </si>
  <si>
    <t>INGENIERO EN PRODUCCION ACUICOLA</t>
  </si>
  <si>
    <t>INGENIERO DE DISEÑO DE PRODUCTO</t>
  </si>
  <si>
    <t>INGENIERO URBANO Y RURAL</t>
  </si>
  <si>
    <t>INGENIERO EN INSTRUMENTACION Y CONTROL</t>
  </si>
  <si>
    <t>INGENIERO DE PLASTICOS</t>
  </si>
  <si>
    <t>INGENIERO AGROFORESTAL</t>
  </si>
  <si>
    <t>INGENIERO DE PRODUCCION AGROINDUSTRIAL</t>
  </si>
  <si>
    <t>ADMINISTRADOR EN SALUD: ENFASIS EN GESTION SANITARIA Y AMBIENTAL</t>
  </si>
  <si>
    <t>TECNICO PROFESIONAL EN FABRICACION DE CONSTRUCCIONES SOLDADAS</t>
  </si>
  <si>
    <t>INGENIERO DE MINAS - GEOLOGO</t>
  </si>
  <si>
    <t>INGENIERO DE PRODUCTIVIDAD Y CALIDAD</t>
  </si>
  <si>
    <t>INGENIERO DE PROCESOS</t>
  </si>
  <si>
    <t>INGENIERO INDUSTRIAL EN PRODUCCION</t>
  </si>
  <si>
    <t>BLOQUEO POR PROFESION NO VIGENTE 1997</t>
  </si>
  <si>
    <t>INGENIERO METEREOLOGO</t>
  </si>
  <si>
    <t>INGENIERO GEOLOGO Y DE PETROLEOS</t>
  </si>
  <si>
    <t>INGENIERO EN ENERGIA</t>
  </si>
  <si>
    <t>INGENIERO AUXILIAR EN VIAS DE COMUNICACION</t>
  </si>
  <si>
    <t>INGENIERO EN CIENCIAS ELECTRONICAS</t>
  </si>
  <si>
    <t>INGENIERO CIVIL Y ARQUITECTO</t>
  </si>
  <si>
    <t>BLOQUEO PROFESION NO VIGENTE 1966</t>
  </si>
  <si>
    <t>INGENIERO CONSTRUCTOR DE EDIFICIO</t>
  </si>
  <si>
    <t>INGENIERO CIVIL - GEOLOGO</t>
  </si>
  <si>
    <t>TECNOLOGO EN ASEGURAMIENTO DE LA CALIDAD</t>
  </si>
  <si>
    <t>INGENIERO VIAS DE COMUNICACION</t>
  </si>
  <si>
    <t xml:space="preserve">Consejo Nal de Técnicos Electricista </t>
  </si>
  <si>
    <t>ELECTRICISTA PRACTICO</t>
  </si>
  <si>
    <t>TECNICO PROFESIONAL EN AUTOMATIZACION INDUSTRIAL</t>
  </si>
  <si>
    <t>INGENIERO TECNICO ELECTRONICO (SIN TITULO)</t>
  </si>
  <si>
    <t>INGENIERO DE CARRETERAS (SIN TITULO)</t>
  </si>
  <si>
    <t>INGENIERO CIVIL (SIN TITULO)</t>
  </si>
  <si>
    <t>INGENIERO DE MERCADOS</t>
  </si>
  <si>
    <t>INGENIERO FINANCIERO</t>
  </si>
  <si>
    <t xml:space="preserve">BLOQUEO POR PROFESION NO VIGENTE                  </t>
  </si>
  <si>
    <t>INGENIERO INDUSTRIAL MECANICO</t>
  </si>
  <si>
    <t>INGENIERO EN RECURSOS HIDRICOS Y GESTION AMBIENTAL</t>
  </si>
  <si>
    <t>INGENIERO CONSTRUCCIONES DE VIAS DE COMUNICACION (SIN TITULO)</t>
  </si>
  <si>
    <t>INGENIERO AUXILIAR EN CONSTRUCCION (SIN TITULO)</t>
  </si>
  <si>
    <t>TECNICO PROFESIONAL EN SOLDADURA</t>
  </si>
  <si>
    <t>CONSTRUCCION MAESTRO DE OBRA (PRACTICA)</t>
  </si>
  <si>
    <t>INGENIERO CIVIL AUXILIAR (SIN TITULO)</t>
  </si>
  <si>
    <t>INGENIERO EN METALURGIA</t>
  </si>
  <si>
    <t>TECNICO PROFESIONAL EN OPERACION DE EQUIPOS PROGRAMACION Y CONTROL DE PROC. DE MECANIZADO POR ARRANQUE DE VIRUTA</t>
  </si>
  <si>
    <t>INGENIERO CIVIL Y ELECTRICISTA</t>
  </si>
  <si>
    <t>INGENIERO AUXILIAR EN CARRETERAS (SIN TITULO)</t>
  </si>
  <si>
    <t>INGENIERO CAMINOS CARRETERAS Y MINAS</t>
  </si>
  <si>
    <t>INGENIERO DE PETROLEOS Y REFINACION</t>
  </si>
  <si>
    <t>Consejo Profesional de Topografía</t>
  </si>
  <si>
    <t>TOPOGRAFO</t>
  </si>
  <si>
    <t>INGENIERO MECANICO Y AERONAUTICO</t>
  </si>
  <si>
    <t>TECNOLOGO EN PROCESOS INDUSTRIALES</t>
  </si>
  <si>
    <t>INGENIERO DE MINAS Y PETROLEO</t>
  </si>
  <si>
    <t>TECNOLOGO DISEÑADOR DE TROQUELES</t>
  </si>
  <si>
    <t>TOPOGRAFO (PRACTICO)</t>
  </si>
  <si>
    <t>INGENIERO AUXILIAR (SIN TITULO)</t>
  </si>
  <si>
    <t>INGENIERO AGRIMENSOR Y PRACTICO EN MINAS</t>
  </si>
  <si>
    <t>INGENIERO ARQUITECTO</t>
  </si>
  <si>
    <t>INGENIERO DE DISEÑO Y AUTOMATIZACION ELECTRONICA</t>
  </si>
  <si>
    <t>INGENIERO DE SISTEMAS CON ENFASIS EN TELECOMUNICACIONES</t>
  </si>
  <si>
    <t>INGENIERO EN ELECTRONICA Y TELECOMUNICACIONES</t>
  </si>
  <si>
    <t>INGENIERO DE MERCADOS PUBLICIDAD Y VENTAS</t>
  </si>
  <si>
    <t>INGENIERO DE PRODUCCION AGRICOLA</t>
  </si>
  <si>
    <t>INGENIERO DE PRODUCCION ANIMAL</t>
  </si>
  <si>
    <t>INGENIERO EN TRANSPORTES Y VIAS</t>
  </si>
  <si>
    <t>INGENIERO DE OBRAS CIVILES Y MILITARES</t>
  </si>
  <si>
    <t>INGENIERO TELEMATICO</t>
  </si>
  <si>
    <t>INGENIERO TOPOGRAFICO</t>
  </si>
  <si>
    <t>TECNOLOGO EN GESTION FINANCIERA Y DE SISTEMAS</t>
  </si>
  <si>
    <t>INGENIERO DE RECURSOS NATURALES Y DEL AMBIENTE</t>
  </si>
  <si>
    <t>INGENIERO MECANICO Y DE MANUFACTURA</t>
  </si>
  <si>
    <t>INGENIERO DE SISTEMAS E INFORMATICA</t>
  </si>
  <si>
    <t>INGENIERO DE SOFTWARE Y COMUNICACIONES</t>
  </si>
  <si>
    <t>INGENIERO DE SONIDO</t>
  </si>
  <si>
    <t>TECNICO PROFESIONAL EN TRANSFORMACION DE PLASTICOS POR EXTRUSION DE PELICULA SOPLADA</t>
  </si>
  <si>
    <t>TECNICO PROFESIONAL EN PRODUCCION AGROPECUARIA</t>
  </si>
  <si>
    <t>TECNICO PROFESIONAL EN INFORMATICA PARA LA GESTION MUNICIPAL</t>
  </si>
  <si>
    <t>INGENIERO EN AGROECOLOGIA</t>
  </si>
  <si>
    <t>INGENIERO EN AUTOMATICA INDUSTRIAL</t>
  </si>
  <si>
    <t>TECNOLOGO EN ELECTROMEDICINA</t>
  </si>
  <si>
    <t>INGENIERO EN DISTRIBUCION Y REDES ELECTRICAS</t>
  </si>
  <si>
    <t>PROFESIONAL EN AGRONOMIA</t>
  </si>
  <si>
    <t>TECNOLOGO EN PROTECCION Y RECUPERACION DE ECOSISTEMAS FORESTALES</t>
  </si>
  <si>
    <t>INGENIERO EN REDES DE COMPUTADORES</t>
  </si>
  <si>
    <t>INGENIERO EN SISTEMAS Y TELECOMUNICACIONES</t>
  </si>
  <si>
    <t>TECNOLOGO EN SISTEMAS COMPUTACIONALES</t>
  </si>
  <si>
    <t>INGENIERO FINANCIERO Y DE NEGOCIOS</t>
  </si>
  <si>
    <t>INGENIERO FISICO</t>
  </si>
  <si>
    <t>TECNOLOGO EN SUPERVISION DE OBRAS CIVILES</t>
  </si>
  <si>
    <t>BLOQUEADO REPETIDO 445 Y 342 VIGENTE 445</t>
  </si>
  <si>
    <t>XXXX TECNOLOGO EN DISEÑO DE ELEMENTOS MECANICOS PARA LA FABRICACION CON MAQUINAS HERRAMIENTAS CNC - REPETIDO</t>
  </si>
  <si>
    <t>INGENIERO LOGISTICO</t>
  </si>
  <si>
    <t>INGENIERO MATEMATICO</t>
  </si>
  <si>
    <t>INGENIERO EN HIGIENE Y SEGURIDAD OCUPACIONAL</t>
  </si>
  <si>
    <t>INGENIERO MECATRONICO</t>
  </si>
  <si>
    <t>PROFESIONAL EN CIENCIA Y TECNOLOGIA DE ALIMENTOS</t>
  </si>
  <si>
    <t>TECNOLOGO PROFESIONAL EN ADMINISTRACION DE INFORMATICA</t>
  </si>
  <si>
    <t>TECNOLOGO EN ANALISIS DE SISTEMAS INFORMATICOS</t>
  </si>
  <si>
    <t>TECNICO PROFESIONAL EN ADMINISTRACION DE CONSTRUCCIONES</t>
  </si>
  <si>
    <t>TECNOLOGO EN PRODUCCION GANADERA</t>
  </si>
  <si>
    <t>TECNICO PROFESIONAL EN PROCESAMIENTO DE ALIMENTOS CON ENFASIS EN FRUTAS Y VERDURAS</t>
  </si>
  <si>
    <t>TEC. PROF. EN PROCESAMIENTO DE ALIMENTOS CON ENFASIS EN FRUTAS Y VERDURAS</t>
  </si>
  <si>
    <t>INGENIERO EN PRODUCTIVIDAD Y CALIDAD</t>
  </si>
  <si>
    <t>TECNOLOGO EN GESTION Y CONSTRUCCION DE OBRAS CIVILES</t>
  </si>
  <si>
    <t>TECNICO EN SISTEMAS CON ENFASIS EN MANTENIMIENTO DE COMPUTADORES</t>
  </si>
  <si>
    <t>TECNICO PROFESIONAL EN MANTENIMIENTO MECANICO INDUSTRIAL</t>
  </si>
  <si>
    <t>TECNICO PROFESIONAL EN CIENCIAS DE LA COMPUTACION</t>
  </si>
  <si>
    <t>DESBLOQUEO SE MATRICULO 1</t>
  </si>
  <si>
    <t>TECNICO PROFESIONAL EN COMPUTACION</t>
  </si>
  <si>
    <t>TECNOLOGO EN AMBIENTAL</t>
  </si>
  <si>
    <t>PROFESION REPETIDA CON  376</t>
  </si>
  <si>
    <t>TECNICO PROFESIONAL EN CONMUTACION</t>
  </si>
  <si>
    <t>TECNOLOGO EN DESARROLLO DE SISTEMAS DE INFORMACION</t>
  </si>
  <si>
    <t>TECNICO PROFESIONAL EN DESARROLLO AMBIENTAL</t>
  </si>
  <si>
    <t>TECNICO PROFESIONAL EN DESARROLLO DE SOFTWARE</t>
  </si>
  <si>
    <t>REACTIVA NAL-CI-2012-05459 BLOQ.NAL-CE-2011-03433</t>
  </si>
  <si>
    <t>TECNOLOGO EN ADMINISTRACION Y FINANZAS</t>
  </si>
  <si>
    <t>TECNICO PROFESIONAL EN MECANIZADO POR ARRANQUE DE VIRUTA</t>
  </si>
  <si>
    <t>TECNICO PROFESIONAL EN GESTION AMBIENTAL</t>
  </si>
  <si>
    <t>PROFESIONAL EN INGENIERIA DE SISTEMAS Y COMPUTACION</t>
  </si>
  <si>
    <t>INGENIERO DE SOFTWARE</t>
  </si>
  <si>
    <t>TECNICO PROFESIONAL EN INSTRUMENTACION INDUSTRIAL</t>
  </si>
  <si>
    <t>TECNICO PROFESIONAL EN ELECTROMEDICINA</t>
  </si>
  <si>
    <t>TECNICO PROFESIONAL EN ELECTRONICA INDUSTRIAL</t>
  </si>
  <si>
    <t>TECNICO PROFESIONAL INTERMEDIO EN LA ESPECIALIDAD DE INGENIERIA ELECTROMECANICA</t>
  </si>
  <si>
    <t>ADMINISTRADOR DE RECURSOS COSTEROS Y MARINOS</t>
  </si>
  <si>
    <t>INGENIERO DE RECURSOS HIDRICOS Y GESTION AMBIENTAL</t>
  </si>
  <si>
    <t>TECNICO PROFESIONAL EN INFORMATICA EMPRESARIAL</t>
  </si>
  <si>
    <t>CONSTRUCTOR Y GESTOR EN ARQUITECTURA</t>
  </si>
  <si>
    <t>BLOQUEO MEMO JURIDICA</t>
  </si>
  <si>
    <t>AGRONOMO ZOOTECNISTA</t>
  </si>
  <si>
    <t>TECNOLOGO EN DESARROLLO INFORMATICO</t>
  </si>
  <si>
    <t>INGENIERO AUXILIAR TOPOGRAFO - DIBUJANTE</t>
  </si>
  <si>
    <t>TECNOLOGO EN ADMINISTRACION DEL ENSAMBLE Y MANTENIMIENTO DE EQUIPOS DE COMPUTO</t>
  </si>
  <si>
    <t>TECNICO PROFESIONAL EN MANTENIMIENTO DE HARDWARE</t>
  </si>
  <si>
    <t>AGRONOMO DEL TROPICO HUMEDO</t>
  </si>
  <si>
    <t>BLOQUEADO MEMO NAL-CI-2014-03103 JUL-2014</t>
  </si>
  <si>
    <t>Bloqueo memo NAL-CI-2014-03016/3103</t>
  </si>
  <si>
    <t>TEC. PROF. EN TECNICAS DE DESARROLLO GRAFICO DE PROYECTOS DE CONSTRUCCION</t>
  </si>
  <si>
    <t>TECNOLOGO CONSTRUCTOR</t>
  </si>
  <si>
    <t xml:space="preserve">BLOQUEO PROFESION NO VIGENTE 1994                 </t>
  </si>
  <si>
    <t>PROFESION REPETIDA CON  406</t>
  </si>
  <si>
    <t xml:space="preserve">Consejo Prof. de Arquitectura y sus Prof. Aux. </t>
  </si>
  <si>
    <t>TECNICO PROFESIONAL INTERMEDIO EN SISTEMAS</t>
  </si>
  <si>
    <t>TECNICO PROFESIONAL EN DECORACION Y DIBUJO ARQUITECTONICO</t>
  </si>
  <si>
    <t>NO COMPE. Res. 23-2009 Consejo Arquitectura</t>
  </si>
  <si>
    <t>TECNICO EN DIBUJO ARQUITECTONICO</t>
  </si>
  <si>
    <t>DECORADOR Y DELINEANTE DE ARQUITECTURA</t>
  </si>
  <si>
    <t>BLOQUEO DE CODIGO MAESTRO DE OBRA</t>
  </si>
  <si>
    <t>MAESTRO DE OBRA</t>
  </si>
  <si>
    <t>TECNICO PROFESIONAL DECORADOR DELINEANTE ARQUITECTURA</t>
  </si>
  <si>
    <t>TECNOLOGO DELINEANTE DE ARQUITECTURA</t>
  </si>
  <si>
    <t>ACTIVO REPETIDO CON EL 394</t>
  </si>
  <si>
    <t>TECNOLOGO EN LA FABRICACION DE PRODUCTOS PLASTICOS POR INYECCION</t>
  </si>
  <si>
    <t>Bloqueo memo NAL-CI-2014-03016/3103 REP 1015</t>
  </si>
  <si>
    <t>TECNICO PROFESIONAL DELINEANTE DE ARQUITECTURA E INGENIERIA Y DECORACION</t>
  </si>
  <si>
    <t>TECNICO PROFESIONAL EN ELECTROMECANICO</t>
  </si>
  <si>
    <t>TECNICO PROFESIONAL DISEÑO Y DECORACION DE ESPACIOS ARQUITECTURA</t>
  </si>
  <si>
    <t>TECNICO PROFESIONAL EN ARTE Y DECORACION ARQUITECTONICO</t>
  </si>
  <si>
    <t>TECNOLOGO EN SISTEMAS INTEGRADOS DE GESTION</t>
  </si>
  <si>
    <t xml:space="preserve">NAL-CI-2014-03103 NO COMPE. Res. 23-2009 </t>
  </si>
  <si>
    <t>TECNICO EN DIBUJO ARQUITECTONICO SUPERIOR</t>
  </si>
  <si>
    <t>Consejo Prof. de Arquitectura REPETIDO CON 631</t>
  </si>
  <si>
    <t>TECNICO PROF. INTERMEDIO EN DIBUJO DE INGENIERIA MECANICA Y ARQUITECTURA</t>
  </si>
  <si>
    <t>REACTIVACION VIGENCIA FEB 2012 NO COMPETENCIA ARQ</t>
  </si>
  <si>
    <t>BLOQUEO PROFESION COMITE</t>
  </si>
  <si>
    <t xml:space="preserve">TECNICO CONSTRUCTOR POR PRACTICA (Hoy Maestro de Obra - Ley 842 de 2003)                                                                              </t>
  </si>
  <si>
    <t xml:space="preserve">TECNICO CONSTRUCTOR POR PRACTICA (Hoy Maestro de Obra - Ley 842 de 2003)        </t>
  </si>
  <si>
    <t>TECNOLOGO PECUARIO</t>
  </si>
  <si>
    <t>TECNICO PROFESIONAL INSTALACION DE REDES DE COMPUTADORES</t>
  </si>
  <si>
    <t>TECNOLOGO EN DISEÑO DE ELEMENTOS MECANICOS PARA LA FABRICACION CON MAQUINAS HERRAMIENTAS CNC</t>
  </si>
  <si>
    <t>TECNOLOGO EN GESTION DE RECURSOS NATURALES</t>
  </si>
  <si>
    <t>ADMINISTRADOR AGROPECUARIO</t>
  </si>
  <si>
    <t>ADMINISTRADOR DE EMPRESAS AGROPECUARIAS</t>
  </si>
  <si>
    <t>TECNICO PROFESIONAL EN INSTALACION DE REDES DE COMPUTADORES</t>
  </si>
  <si>
    <t>TECNOLOGO EN DIBUJO INDUSTRIAL</t>
  </si>
  <si>
    <t>TECNICO PROFESIONAL EN COORDINACION DE LOS PROCESOS LOGISTICOS EN ALMACEN BODEGA O CENTROS DE DISTRIBUCION</t>
  </si>
  <si>
    <t>TECNICO PROF. EN C. PROC. LOGISTICO EN A. B. O. CENTROS DE DISTRIBU.</t>
  </si>
  <si>
    <t>TECNICO PROFESIONAL EN DESARROLLO SOFTWARE Y REDES</t>
  </si>
  <si>
    <t>INFORMATICO MATEMATICO</t>
  </si>
  <si>
    <t>INFORMATICO-MATEMATICO</t>
  </si>
  <si>
    <t>AGROZOOTECNISTA</t>
  </si>
  <si>
    <t>TECNOLOGO EN PRODUCCION Y GESTION AGROPECUARIA</t>
  </si>
  <si>
    <t>TECNOLOGO EN REMODELACION Y MANTENIMIENTO DE EDIFICACIONES</t>
  </si>
  <si>
    <t>TECNOLOGO EN MANEJO POST-COSECHA Y COMERCIALIZACION DE FRUTAS Y HORTALIZAS</t>
  </si>
  <si>
    <t>TECNOLOGO EN COMERCIALIZACION DE ALIMENTOS PERECEDEROS</t>
  </si>
  <si>
    <t>TECNOLOGO EN CONTROL AMBIENTAL</t>
  </si>
  <si>
    <t>INGENIERO EN DISEÑO DE MAQUINAS Y PRODUCTOS INDUSTRIALES</t>
  </si>
  <si>
    <t>TECNOLOGO EN ADMINISTRACION EN CONTABILIDAD Y EN SISTEMAS</t>
  </si>
  <si>
    <t>PROFESIONAL EN ADMINISTRACION DE EMPRESAS AGROPECUARIAS</t>
  </si>
  <si>
    <t>TECNICO PROFESIONAL EN DISEÑO TEXTIL</t>
  </si>
  <si>
    <t>TECNOLOGO EN DIBUJO ARQUITECTONICO</t>
  </si>
  <si>
    <t>TECNOLOGO ESPECIALIZADO EN DIBUJO MECANICO INDUSTRIAL</t>
  </si>
  <si>
    <t>DIBUJANTE ARQUITECTONICO</t>
  </si>
  <si>
    <t>TECNOLOGO EN DISEÑO DE MOLDES</t>
  </si>
  <si>
    <t>TECNICO PROFESIONAL DELINEANTE DE ARQUITECTURA Y DECORACION</t>
  </si>
  <si>
    <t>activo NAL-CI-2013-02204 23-MAY-2013</t>
  </si>
  <si>
    <t>TECNOLOGO EN GESTION INTEGRADA DE LA CALIDAD MEDIO AMBIENTE SEGURIDAD Y SALUD OCUPACIONAL</t>
  </si>
  <si>
    <t>DESBLOQUEO-CE-12-344 COMPETENCIA CE-2011-03433</t>
  </si>
  <si>
    <t>PROFESIONAL EN ADMINISTRACION FINANCIERA</t>
  </si>
  <si>
    <t>INGENIERO OCEANOLOGO</t>
  </si>
  <si>
    <t>PROFESIONAL EN MANEJO AGROECOLOGICO DE POST-COSECHA</t>
  </si>
  <si>
    <t>TECNOLOGO EN ADMINISTRACION DE EXPLOTACIONES ACUICOLAS</t>
  </si>
  <si>
    <t>TECNOLOGO EN DISEÑO TEXTIL</t>
  </si>
  <si>
    <t>TECNICO PROFESIONAL EN CARPINTERIA PARA LA CONSTRUCCION</t>
  </si>
  <si>
    <t>BLOQUE NO COMPETENCIA VER MEMO 2010</t>
  </si>
  <si>
    <t>TECNOLOGO EN SEGURIDAD INDUSTRIAL SALUD OCUPACIONAL Y MEDIO AMBIENTE EN LA CONSTRUCCION-HSE</t>
  </si>
  <si>
    <t>TECNOLOGO EN SEG. IND. SALUD OCUPA. Y M. AMB. EN LA CONSTRUC.-HSE</t>
  </si>
  <si>
    <t>TECNICO PROFESIONAL ELECTROMECANICO</t>
  </si>
  <si>
    <t>INGENIERO EN PROCESOS INDUSTRIALES</t>
  </si>
  <si>
    <t>INGENIERO PESQUERO CON ENFASIS EN ACUACULTURA</t>
  </si>
  <si>
    <t>INGENIERO METEOROLOGO</t>
  </si>
  <si>
    <t>TECNICO PROFESIONAL EN TECNICAS AGROPECUARIAS</t>
  </si>
  <si>
    <t>TECNICO PROFESIONAL INTERMEDIO EN AGROPECUARIO</t>
  </si>
  <si>
    <t>TECNOLOGO EN GESTION DE SISTEMAS</t>
  </si>
  <si>
    <t>TECNOLOGO EN PROGRAMACION</t>
  </si>
  <si>
    <t>TECNICO EN OBRAS CIVILES</t>
  </si>
  <si>
    <t>INGENIERO DE PROCESOS INDUSTRIALES</t>
  </si>
  <si>
    <t>TECNOLOGO LABORATORISTA</t>
  </si>
  <si>
    <t>TECNICO EN MINAS</t>
  </si>
  <si>
    <t>TECNOLOGO EN MINAS</t>
  </si>
  <si>
    <t>TECNICO EN SISTEMAS</t>
  </si>
  <si>
    <t>TECNOLOGO EN SISTEMAS</t>
  </si>
  <si>
    <t>TECNICO EN MINERIA</t>
  </si>
  <si>
    <t>TECNOLOGO EN ALIMENTOS</t>
  </si>
  <si>
    <t>TECNICO INDUSTRIAL</t>
  </si>
  <si>
    <t>TECNOLOGO INDUSTRIAL</t>
  </si>
  <si>
    <t>TECNICO PROFESIONAL EN TECNOLOGIA DE ALIMENTOS</t>
  </si>
  <si>
    <t>TECNOLOGO AGROINDUSTRIAL</t>
  </si>
  <si>
    <t>TECNOLOGO EN MINERIA</t>
  </si>
  <si>
    <t>GEOTECNOLOGO</t>
  </si>
  <si>
    <t>Consejo de Teno.en Electricidad, Electro, y Afines</t>
  </si>
  <si>
    <t>TECNOLOGO EN ELECTROMECANICA</t>
  </si>
  <si>
    <t>TECNOLOGO EN SISTEMAS INDUSTRIALES</t>
  </si>
  <si>
    <t>TECNICO PROFESIONAL EN PROGRAMACION DE SOFTWARE</t>
  </si>
  <si>
    <t>TECNOLOGO EN SANEAMIENTO AMBIENTAL</t>
  </si>
  <si>
    <t>TECNICO PROFESIONAL EN TECNOLOGIA DE PLASTICOS</t>
  </si>
  <si>
    <t>TECNOLOGO EN SEGURIDAD INDUSTRIAL E HIGIENE OCUPACIONAL</t>
  </si>
  <si>
    <t>TECNOLOGO EN SISTEMATIZACION DE DATOS</t>
  </si>
  <si>
    <t>TECNICO PROFESIONAL EN INSTALACION DE REDES</t>
  </si>
  <si>
    <t>TECNOLOGO EN GESTION DE PRODUCCION</t>
  </si>
  <si>
    <t>TECNOLOGO EN SISTEMATIZACION</t>
  </si>
  <si>
    <t>TECNOLOGO EN ANALISIS Y PROGRAMACION DE COMPUTADORES</t>
  </si>
  <si>
    <t>CANTIDAD IGUAL A 1</t>
  </si>
  <si>
    <t>TECNICO ANALISIS Y PROGRAMACION DE COMPUTADORES</t>
  </si>
  <si>
    <t>TECNOLOGO EN ADMINISTRACION DE SISTEMAS</t>
  </si>
  <si>
    <t>TECNOLOGO EN METALURGIA</t>
  </si>
  <si>
    <t>TECNICO PROFESIONAL EN SISTEMAS</t>
  </si>
  <si>
    <t>TECNOLOGO PROFESIONAL EN SISTEMAS</t>
  </si>
  <si>
    <t>TECNOLOGO EN ADMINISTRACION DE OBRAS CIVILES</t>
  </si>
  <si>
    <t>BLOQUEO NAL-CE-2013-00025 y  NAL-CI-2013-02204</t>
  </si>
  <si>
    <t>TECNOLOGO EN CONSTRUCCIONES CIVILES</t>
  </si>
  <si>
    <t>TECNICO EN CONSTRUCCIONES CIVILES</t>
  </si>
  <si>
    <t>TECNICO PROFESIONAL INTERMEDIO DE MINERIA</t>
  </si>
  <si>
    <t>TECNOLOGO EN LABORATORIO DE INGENIERIA</t>
  </si>
  <si>
    <t>ADMINISTRADOR DE SISTEMAS</t>
  </si>
  <si>
    <t>TECNICO PROFESIONAL EN INGENIERIA INDUSTRIAL</t>
  </si>
  <si>
    <t>TECNOLOGO EN GESTION DE OBRAS CIVILES Y CONSTRUCCIONES</t>
  </si>
  <si>
    <t>TECNICO PROFESIONAL EN SISTEMATIZACION</t>
  </si>
  <si>
    <t>TECNOLOGO EN CONSTRUCCION DE OBRAS CIVILES</t>
  </si>
  <si>
    <t>TECNICO PROFESIONAL EN OPERACION Y PROGRAMACION DE MAQUINAS CNC</t>
  </si>
  <si>
    <t>TECNOLOGO EN ELECTRONICA</t>
  </si>
  <si>
    <t>TECNOLOGO EN MECANICA</t>
  </si>
  <si>
    <t>TECNICO PROFESIONAL EN INGENIERIA AGROPECUARIA</t>
  </si>
  <si>
    <t>TECNICO PROFESIONAL EN ANALISIS DE SISTEMAS</t>
  </si>
  <si>
    <t>TECNICO EN MECANICA GENERAL</t>
  </si>
  <si>
    <t>TECNOLOGO EN GESTION LOGISTICA</t>
  </si>
  <si>
    <t>TECNOLOGO EN PRODUCCION INDUSTRIAL</t>
  </si>
  <si>
    <t>TECNICO PROFESIONAL EN MINERIA</t>
  </si>
  <si>
    <t>TECNICO PROFESIONAL EN CONSTRUCCIONES RURALES</t>
  </si>
  <si>
    <t>TECNICO PROFESIONAL EN ADMINISTRACION DE OBRAS CIVILES</t>
  </si>
  <si>
    <t>TECNICO PROFESIONAL EN ADMINISTRACION INDUSTRIAL</t>
  </si>
  <si>
    <t>TECNOLOGO MECANICO</t>
  </si>
  <si>
    <t>TECNOLOGO EN ELECTRICIDAD</t>
  </si>
  <si>
    <t>TECNOLOGO ELECTRICO</t>
  </si>
  <si>
    <t>TECNOLOGO EN RECURSOS HIDRICOS</t>
  </si>
  <si>
    <t>TECNICO PROFESIONAL EN INSTALACIONES HIDRAULICAS Y DE GAS</t>
  </si>
  <si>
    <t>TECNICO INTERMEDIO PROFESIONAL EN SISTEMATIZACION</t>
  </si>
  <si>
    <t>TECNOLOGO PROFESIONAL EN MECANICA INDUSTRIAL</t>
  </si>
  <si>
    <t>TECNOLOGO PROFESIONAL EN ELECTRONICA Y AUTOMATIZACION INDUSTRIAL</t>
  </si>
  <si>
    <t>TECNOLOGO EN INGENIERIA INDUSTRIAL</t>
  </si>
  <si>
    <t>TECNOLOGO EN RECURSOS NATURALES RENOVABLES</t>
  </si>
  <si>
    <t>TECNOLOGO EN GESTION AMBIENTAL Y SERVICIOS PUBLICOS</t>
  </si>
  <si>
    <t>TECNOLOGO ESPECIALIZADO EN INGENIERIA DE CONTROLES</t>
  </si>
  <si>
    <t>TECNOLOGO AGROPECUARIO</t>
  </si>
  <si>
    <t>TECNICO PROFESIONAL EN ELECTRONICA</t>
  </si>
  <si>
    <t>TECNOLOGO EN INGENIERIA DE SISTEMAS</t>
  </si>
  <si>
    <t>TECNICO PROFESIONAL INTERMEDIO EN SISTEMATIZACION</t>
  </si>
  <si>
    <t xml:space="preserve">BLOQUEO PROFESION NO VIGENTE </t>
  </si>
  <si>
    <t>TECNICO EN CONSTRUCCION DE ESTRUCTURAS EN CONCRETO</t>
  </si>
  <si>
    <t>TECNICO PROFESIONAL EN INGENIERIA DE SISTEMAS</t>
  </si>
  <si>
    <t>TECNICO PROFESIONAL EN ANALISIS Y DISEÑO DE SISTEMAS DE COMPUTACION</t>
  </si>
  <si>
    <t>SE ACTIVA A SOLICITUD DEL TEC 3655288</t>
  </si>
  <si>
    <t>TECNICO EN AGRIMENSURA Y CONSTRUCCION</t>
  </si>
  <si>
    <t>TECNICO EN CONSTRUCCION Y ADMINISTRACION DE OBRAS CIVILES</t>
  </si>
  <si>
    <t>TECNOLOGO EN ELECTRICA</t>
  </si>
  <si>
    <t>TECNICO PROFESIONAL EN SISTEMAS Y COMPUTADORES</t>
  </si>
  <si>
    <t>PROFESION REPETIDA CON  620</t>
  </si>
  <si>
    <t>TECNICO PROFESIONAL INTERMEDIO EN INGENIERIA INDUSTRIAL</t>
  </si>
  <si>
    <t>TECNICO INTERMEDIO PROFESIONAL EN INGENIERIA DE SISTEMAS</t>
  </si>
  <si>
    <t>TECNICO PROFESIONAL EN ELECTRONICA Y TELECOMUNICACIONES</t>
  </si>
  <si>
    <t>TECNICO PROFESIONAL EN CONSTRUCCIONES</t>
  </si>
  <si>
    <t>TECNOLOGO EN SISTEMAS DE INFORMACION</t>
  </si>
  <si>
    <t>TECNOLOGO EN SISTEMAS Y COMPUTADORES</t>
  </si>
  <si>
    <t>TECNOLOGO EN GESTION DE SERVICIOS PUBLICOS SANITARIOS</t>
  </si>
  <si>
    <t>TECNOLOGO EN HIDRONEUMATICA</t>
  </si>
  <si>
    <t>TECNICO PROFESIONAL INTERMEDIO EN INGENIERIA DE SISTEMAS</t>
  </si>
  <si>
    <t>TECNOLOGO EN SEGURIDAD E HIGIENE OCUPACIONAL</t>
  </si>
  <si>
    <t>TECNICO PROFESIONAL EN LABORATORIO</t>
  </si>
  <si>
    <t>TECNICO DE LABORATORIO</t>
  </si>
  <si>
    <t>TECNOLOGO EN MANEJO DEL AGUA</t>
  </si>
  <si>
    <t>TECNOLOGO EN ELECTRICIDAD INDUSTRIAL Y DE POTENCIA</t>
  </si>
  <si>
    <t>TECNICO PROFESIONAL EN INGENIERIA CIVIL</t>
  </si>
  <si>
    <t>TECNICO PROFESIONAL EN PROCESOS INDUSTRIALES</t>
  </si>
  <si>
    <t>TECNOLOGO EN ELECTRICIDAD Y TELEFONIA</t>
  </si>
  <si>
    <t>AUXILIAR DE INGENIERIA EN INSTRUMENTACION</t>
  </si>
  <si>
    <t>TECNICO PROFESIONAL EN DISEÑO DE MAQUINAS</t>
  </si>
  <si>
    <t>TECNOLOGO EN INSTRUMENTACION INDUSTRIAL</t>
  </si>
  <si>
    <t>TECNOLOGO EN INFORMATICA APLICADA</t>
  </si>
  <si>
    <t>TECNICO PROFESIONAL DIBUJO INDUSTRIAL</t>
  </si>
  <si>
    <t>TECNOLOGO PROFESIONAL EN ANALISIS DE SISTEMAS Y PROGRAMACION DE COMPUTADORES</t>
  </si>
  <si>
    <t>TECNOLOGO PROF. EN ANALISIS DE SISTEMAS Y PROGRAMACION DE COMPUTADORES</t>
  </si>
  <si>
    <t>TECNOLOGO EN INFORMATICA</t>
  </si>
  <si>
    <t>TECNICO PROFESIONAL EN ADMINISTRACION EMPRESARIAL E INFORMATICA</t>
  </si>
  <si>
    <t>ADMINISTRACION DE SISTEMAS DE INFORMACION</t>
  </si>
  <si>
    <t>TECNICO PROFESIONAL EN INGENIERIA AUTOMOTRIZ</t>
  </si>
  <si>
    <t>TECNICO PROFESIONAL EN INGENIERIA TERMICA</t>
  </si>
  <si>
    <t>TECNICO PROFESIONAL EN INFORMATICA CONTABLE Y FINANCIERA</t>
  </si>
  <si>
    <t>TECNOLOGO AGRICOLA</t>
  </si>
  <si>
    <t>TECNOLOGO EN GESTION AGROPECUARIA</t>
  </si>
  <si>
    <t>TECNOLOGO PROFESIONAL EN INGENIERIA DE SISTEMAS</t>
  </si>
  <si>
    <t>TECNOLOGO EN GESTION INDUSTRIAL</t>
  </si>
  <si>
    <t>BIOINGENIERO</t>
  </si>
  <si>
    <t>TECNOLOGO EN SISTEMAS INFORMATICOS</t>
  </si>
  <si>
    <t>INGENIERO DE TRANSPORTES</t>
  </si>
  <si>
    <t>TECNOLOGO EN INGENIERIA DE INSTRUMENTACION Y CONTROL</t>
  </si>
  <si>
    <t>PROFESIONAL EN GERENCIA DE SISTEMAS DE INFORMACION EN SALUD</t>
  </si>
  <si>
    <t>TECNICO PROFESIONAL EN REDES DE COMUNICACIONES</t>
  </si>
  <si>
    <t>TECNOLOGO EN EXPLOTACION MINERA</t>
  </si>
  <si>
    <t>TECNICO PROFESIONAL EN INGENIERIA TEXTIL</t>
  </si>
  <si>
    <t>TECNOLOGO EN ADMINISTRACION FINANCIERA Y DE SISTEMAS</t>
  </si>
  <si>
    <t>TECNICO PROFESIONAL EN MANTENIMIENTO DE COMPUTADORES</t>
  </si>
  <si>
    <t>TECNICO PROFESIONAL EN MANTENIMIENTO ELECTRONICO INDUSTRIAL</t>
  </si>
  <si>
    <t>TECNICO PROFESIONAL EN MANTENIMIENTO INDUSTRIAL</t>
  </si>
  <si>
    <t>RADICADO NAL-PR-2011-00272</t>
  </si>
  <si>
    <t>TECNICO PROFESIONAL EN MECANICA AUTOMOTRIZ</t>
  </si>
  <si>
    <t>TECNICO PROFESIONAL EN MECANICA INDUSTRIAL</t>
  </si>
  <si>
    <t>TECNICO PROFESIONAL EN ANALISIS Y PROGRAMACION DE COMPUTADORES</t>
  </si>
  <si>
    <t>TECNICO PROFESIONAL EN OPERACION DE PROCESOS INDUSTRIALES</t>
  </si>
  <si>
    <t>TECNICO PROF. EN ADMINISTRACION DE OBRAS DE ARQUITECTURA E INGENIERIA</t>
  </si>
  <si>
    <t>TECNOLOGO EN ADMINISTRACION DE REDES DE DATOS</t>
  </si>
  <si>
    <t>TECNOLOGO EN INSTRUMENTACION Y CONTROLES INDUSTRIALES</t>
  </si>
  <si>
    <t>TECNOLOGO EN MECANICA AUTOMOTRIZ</t>
  </si>
  <si>
    <t>PROFESIONAL ADMINISTRADOR DE SISTEMAS E INFORMATICA</t>
  </si>
  <si>
    <t>TECNICO PROFESIONAL EN MINERIA A CIELO ABIERTO</t>
  </si>
  <si>
    <t>PROFESION REPETIDA CON  971</t>
  </si>
  <si>
    <t>TECNICO PROFESIONAL EN OBRAS CIVILES Y MANEJO AMBIENTAL</t>
  </si>
  <si>
    <t>PROFESIONAL ADMINISTRADOR DE EMPRESAS AGROPECUARIAS</t>
  </si>
  <si>
    <t>TECNICO PROFESIONAL EN PROCESAMIENTO DE ALIMENTOS</t>
  </si>
  <si>
    <t>TECNICO PROFESIONAL EN OPERACION DE SISTEMAS DE MANEJO AMBIENTAL</t>
  </si>
  <si>
    <t>PROFESIONAL EN INGENIERO AMBIENTAL</t>
  </si>
  <si>
    <t>TECNOLOGO EN SUPERVISION DE PRODUCCION Y TRANSFORMACION DEL ACERO</t>
  </si>
  <si>
    <t>TECNICO PROFESIONAL EN PROGRAMACION DE COMPUTADORES</t>
  </si>
  <si>
    <t>TECNICO PROFESIONAL EN RECURSOS HIDRICOS Y GESTION DE ACUEDUCTOS</t>
  </si>
  <si>
    <t>TECNICO PROFESIONAL EN DISEÑO MECANICO</t>
  </si>
  <si>
    <t>TECNOLOGO EN MANTENIMIENTO AERONAUTICO</t>
  </si>
  <si>
    <t>TECNOLOGO EN ADMINISTRACION DE ENTORNOS WEB</t>
  </si>
  <si>
    <t>TECNICO PROFESIONAL EN SALUD OCUPACIONAL Y PROTECCION AMBIENTAL</t>
  </si>
  <si>
    <t>TECNICO PROFESIONAL EN SEGURIDAD E HIGIENE INDUSTRIAL</t>
  </si>
  <si>
    <t>TECNOLOGO EN MECANICA Y ESPECIALISTA TECNOLOGICO EN MECANICA AUTOMOTRIZ</t>
  </si>
  <si>
    <t>TECNICO PROFESIONAL EN SISTEMAS E INFORMATICA</t>
  </si>
  <si>
    <t>TECNICO PROFESIONAL EN SISTEMAS Y COMPUTACION</t>
  </si>
  <si>
    <t>TECNICO PROFESIONAL EN SISTEMAS Y DESARROLLO DE SOFTWARE</t>
  </si>
  <si>
    <t>TECNICO PROFESIONAL EN SISTEMAS Y TELECOMUNICACIONES</t>
  </si>
  <si>
    <t>BLOQUEADO NO COMPETENCIA ARQUITECTURA</t>
  </si>
  <si>
    <t>BLOQUEO NO COMPETENCIA ARQUITECTURA</t>
  </si>
  <si>
    <t>TECNICO PROFESIONAL EN TELECOMUNICACIONES</t>
  </si>
  <si>
    <t>TECNICO PROFESIONAL EN TRANSFORMACION DE PLASTICOS POR INYECCION</t>
  </si>
  <si>
    <t>TECNOLOGO EN ADMINISTRACION DE NUEVAS TECNOLOGIAS EN REDES</t>
  </si>
  <si>
    <t>TECNOLOGO AGROAMBIENTAL</t>
  </si>
  <si>
    <t>TECNOLOGO AMBIENTAL</t>
  </si>
  <si>
    <t>PROFESIONAL EN GESTION AGROPECUARIA</t>
  </si>
  <si>
    <t>TECNOLOGO DE SISTEMAS</t>
  </si>
  <si>
    <t>TECNOLOGO EN GESTION PARA EL SUMINISTRO  GASES COMBUSTIBLES Y NO COMBUSTIBLES</t>
  </si>
  <si>
    <t>PROFESIONAL UNIVERSITARIO EN RELACIONES INDUSTRIALES</t>
  </si>
  <si>
    <t>TECNOLOGO EN ADMINISTRACION DE REDES Y SISTEMAS TELEINFORMATICAS</t>
  </si>
  <si>
    <t>PROFESION REPETIDA CON  902</t>
  </si>
  <si>
    <t>TECNOLOGO EN ADMINISTRACION INFORMATICA</t>
  </si>
  <si>
    <t>TECNOLOGO EN AGROINDUSTRIA</t>
  </si>
  <si>
    <t>TECNICO PROFESIONAL EN CONTROL DE LA PRODUCCION INDUSTRIAL</t>
  </si>
  <si>
    <t>TECNOLOGO EN ANALISIS DE SISTEMAS Y PROGRAMACION DE COMPUTADORES</t>
  </si>
  <si>
    <t>TECNOLOGO EN ANALISIS Y DISEÑO DE SISTEMAS</t>
  </si>
  <si>
    <t>TECNOLOGO EN INFORMATICA EMPRESARIAL</t>
  </si>
  <si>
    <t>INGENIERO GEODESTA</t>
  </si>
  <si>
    <t>TECNOLOGO EN AUTOMATIZACION INDUSTRIAL</t>
  </si>
  <si>
    <t>TECNOLOGO EN AUTOTRONICA</t>
  </si>
  <si>
    <t>TECNICO PROFESIONAL EN MANTENIMIENTO DE EQUIPO PESADO</t>
  </si>
  <si>
    <t>TECNOLOGO EN CALIDAD</t>
  </si>
  <si>
    <t>TECNOLOGO EN CARTOGRAFIA</t>
  </si>
  <si>
    <t>TECNOLOGO EN INSTALACIONES HIDRAULICAS SANITARIAS Y DE GAS</t>
  </si>
  <si>
    <t>TECNOLOGO EN COMPUTACION</t>
  </si>
  <si>
    <t>PROFESIONAL ADMINISTRADOR AMBIENTAL Y DE LOS RECURSOS NATURALES</t>
  </si>
  <si>
    <t>TECNICO PROFESIONAL EN TECNOLOGIAS INFORMATICAS</t>
  </si>
  <si>
    <t>TECNOLOGO EN CONSTRUCCION DE EDIFICACIONES</t>
  </si>
  <si>
    <t>TECNOLOGO EN CONSTRUCCION Y ADMINISTRACION DE OBRAS CIVILES</t>
  </si>
  <si>
    <t>ESPECIALISTA TECNOLOGICO EN SISTEMAS</t>
  </si>
  <si>
    <t>TECNOLOGIA EN GESTION DE PRODUCCION DE GAS</t>
  </si>
  <si>
    <t>TECNOLOGO EN CONTROL DE CALIDAD</t>
  </si>
  <si>
    <t>TECNOLOGO EN DESARROLLO DE SOFTWARE</t>
  </si>
  <si>
    <t>TECNOLOGO EN ASEGURAMIENTO METROLOGICO INDUSTRIAL</t>
  </si>
  <si>
    <t>TECNOLOGO EN DISEÑO INDUSTRIAL</t>
  </si>
  <si>
    <t>TECNOLOGO EN DISEÑO Y ADMINISTRACION DE SISTEMAS</t>
  </si>
  <si>
    <t>ADMINISTRADOR DE EMPRESAS AGROINDUSTRIALES</t>
  </si>
  <si>
    <t>TECNOLOGO EN ECOLOGIA Y MANEJO AMBIENTAL</t>
  </si>
  <si>
    <t>TECNOLOGO EN EDIFICACION Y OBRA CIVIL</t>
  </si>
  <si>
    <t>NO ES COMPETENCIA CONALTEL</t>
  </si>
  <si>
    <t>TECNOLOGO EN ELECTRONICA Y TELECOMUNICACIONES</t>
  </si>
  <si>
    <t>TECNICO EN MANTENIMIENTO DE EQUIPO PESADO EN MINERIA Y OBRAS CIVILES</t>
  </si>
  <si>
    <t>SE ACTIVA CÓDIGO POR 1 MATRICULADO</t>
  </si>
  <si>
    <t>TECNOLOGO EN EQUIPOS BIOMEDICOS</t>
  </si>
  <si>
    <t xml:space="preserve">Consejo Prof. de Arquitectura y sus Prof. Aux...  </t>
  </si>
  <si>
    <t>ARQUITECTO DISEÑADOR</t>
  </si>
  <si>
    <t>ARQUITECTO CONSTRUCTOR</t>
  </si>
  <si>
    <t>ARQUITECTO PAISAJISTA</t>
  </si>
  <si>
    <t>ARQUITECTO NAVAL</t>
  </si>
  <si>
    <t>ARQUITECTO DE INTERIORES</t>
  </si>
  <si>
    <t>TECNOLOGO EN MANTENIMIENTO DE EQUIPO BIOMEDICO Y HOSPITALARIO</t>
  </si>
  <si>
    <t>ARQUITECTO AUXILIAR</t>
  </si>
  <si>
    <t>ARQUITECTO Y URBANISTA</t>
  </si>
  <si>
    <t>ARQUITECTO - INGENIERO</t>
  </si>
  <si>
    <t>ARQUITECTO CONSTRUCTOR DE EDIFICIOS</t>
  </si>
  <si>
    <t>TECNOLOGO ACUICULTOR</t>
  </si>
  <si>
    <t>TECNOLOGO EN GAS</t>
  </si>
  <si>
    <t>TECNOLOGO EN HIDROCARBUROS</t>
  </si>
  <si>
    <t>TECNOLOGO EN GESTION AMBIENTAL</t>
  </si>
  <si>
    <t>TECNOLOGO EN GESTION DE LA PRODUCCION INDUSTRIAL</t>
  </si>
  <si>
    <t>TECNOLOGO EN PROCESOS AGROINDUSTRIALES DE LA CAÑA DE AZUCAR</t>
  </si>
  <si>
    <t>TECNOLOGO EN HIGIENE Y SEGURIDAD INDUSTRIAL</t>
  </si>
  <si>
    <t>TECNOLOGO EN PROTECCION Y RECUPERACION DE ECOSISTEMAS</t>
  </si>
  <si>
    <t>TECNOLOGO EN INDUSTRIAL</t>
  </si>
  <si>
    <t>TECNOLOGO EN INFORMATICA Y TELECOMUNICACIONES</t>
  </si>
  <si>
    <t>TECNOLOGO EN EXPLORACION Y GEOFISICA</t>
  </si>
  <si>
    <t>TECNICO PROFESIONAL EN FABRICACION DE PRODUCTOS POR MECANIZADO</t>
  </si>
  <si>
    <t>TECNOLOGO EN GESTION DE LABORATORIOS DE ANALISIS DE AGUA</t>
  </si>
  <si>
    <t>TECNOLOGO EN INGENIERIA DE SISTEMAS Y TELECOMUNICACIONES</t>
  </si>
  <si>
    <t>TECNICO PROFESIONAL EN GESTION DE LA DISTRIBUCION FISICA INTERNACIONAL</t>
  </si>
  <si>
    <t>TECNOLOGO EN INGENIERIA MECATRONICA</t>
  </si>
  <si>
    <t>TECNOLOGO EN REDES Y COMUNICACION DE DATOS</t>
  </si>
  <si>
    <t>BLOQUEO SE MATRICULO 1 peticion CONALTEL 24-MAY-13</t>
  </si>
  <si>
    <t>TECNOLOGO EN INSTRUMENTACION Y CONTROL DE PROCESOS INDUSTRIALES</t>
  </si>
  <si>
    <t>TECNOLOGO EN AGRIMENSURA Y CONSTRUCCION</t>
  </si>
  <si>
    <t>TECNICO PROFESIONAL INTERMEDIO EN TECNOLOGIA DE ALIMENTOS</t>
  </si>
  <si>
    <t>TECNOLOGO EN MANEJO Y CONSERVACION DE SUELOS Y AGUAS</t>
  </si>
  <si>
    <t>TECNICO PROFESIONAL EN CONSTRUCCION DE EDIFICACIONES</t>
  </si>
  <si>
    <t>TECNICO PROFESIONAL EN OPERACIONES LOGISTICAS</t>
  </si>
  <si>
    <t>TECNOLOGO EN INFORMATICA MUSICAL</t>
  </si>
  <si>
    <t>TECNOLOGO EN MANTENIMIENTO DE EQUIPO BIOMEDICO</t>
  </si>
  <si>
    <t>TECNICO PROFESIONAL EN SILVICULTURA Y APROVECHAMIENTO DE PLANTACIONES PARA LA PRODUCCION DE MADERA</t>
  </si>
  <si>
    <t>TECNOLOGO EN MAQUINARIA E INSTRUMENTACION INDUSTRIAL</t>
  </si>
  <si>
    <t>TECNOLOGO EN MAQUINAS Y HERRAMIENTAS</t>
  </si>
  <si>
    <t>BLOQUEO COMPETENCIA ARQUITECTURA</t>
  </si>
  <si>
    <t>TECNOLOGO EN MECANICA INDUSTRIAL</t>
  </si>
  <si>
    <t>TECNOLOGO EN MECATRONICA</t>
  </si>
  <si>
    <t>TECNOLOGO EN MANEJO DE GESTION AMBIENTAL</t>
  </si>
  <si>
    <t>TECNOLOGO EN ARQUITECTURA DEL SOFTWARE</t>
  </si>
  <si>
    <t>TECNICO PROFESIONAL EN CONSTRUCCION DE SOFTWARE</t>
  </si>
  <si>
    <t>TECNICO PROFESIONAL EN GESTION EN SISTEMAS DE MANEJO AMBIENTAL</t>
  </si>
  <si>
    <t>TECNOLOGO EN MINAS CIELO ABIERTO</t>
  </si>
  <si>
    <t>ADMINISTRADOR DE OBRAS CIVILES</t>
  </si>
  <si>
    <t>ADMINISTRADOR DE SISTEMAS DE INFORMACION</t>
  </si>
  <si>
    <t>TECNICO PROFESIONAL BILINGUE EN MANTENIMIENTO ELECTRONICO</t>
  </si>
  <si>
    <t>INGENIERO EN SOFTWARE</t>
  </si>
  <si>
    <t>TECNOLOGO EN PRODUCCION</t>
  </si>
  <si>
    <t>TECNOLOGO EN AGRICULTURA DE PRECISION</t>
  </si>
  <si>
    <t>TECNOLOGO EN PRODUCTIVIDAD Y MANTENIMIENTO INDUSTRIAL</t>
  </si>
  <si>
    <t>TECNOLOGO EN GESTION ADMINISTRATIVA Y FINANCIERA</t>
  </si>
  <si>
    <t>ELECTRICISTA TECNICO</t>
  </si>
  <si>
    <t>TECNOLOGO EN PROGRAMACION Y SISTEMAS</t>
  </si>
  <si>
    <t>AUXILIAR DE INGENIERIA MECANICA</t>
  </si>
  <si>
    <t>TECNICO PROFESIONAL EN LA CONSTRUCCION DE ELEMENTOS ESTRUCTURALES Y NO ESTRUCTURALES PARA EDIFICACIONES</t>
  </si>
  <si>
    <t>TECNOLOGO EN GESTION DE PROCESOS INDUSTRIALES</t>
  </si>
  <si>
    <t>METEOROLOGO</t>
  </si>
  <si>
    <t>TECNICO PROFESIONAL EN GESTION DE SISTEMAS DE MANEJO AMBIENTAL</t>
  </si>
  <si>
    <t>TECNOLOGO EN GESTION DE SISTEMAS DE INFORMACION</t>
  </si>
  <si>
    <t>TECNOLOGO EN REDES COMPUTACIONALES Y COMUNICACIONES</t>
  </si>
  <si>
    <t>PROFESIONAL INGENIERO EN INFORMATICA</t>
  </si>
  <si>
    <t>INGENIERO TECNICO MECANICO ELECTRICISTA</t>
  </si>
  <si>
    <t>PROFESIONAL CONSTRUCTOR EN ARQUITECTURA E INGENIERIA</t>
  </si>
  <si>
    <t>TECNOLOGO EN PRODUCCION DE ESPECIES MENORES</t>
  </si>
  <si>
    <t>INGENIERIA ADMINISTRATIVA Y DE FINANZAS</t>
  </si>
  <si>
    <t>TECNICO EN GESTION DE SISTEMAS DE MANEJO AMBIENTAL</t>
  </si>
  <si>
    <t>TECNOLOGO EN ADMINISTRACION DE REDES Y SEGURIDAD INFORMATICA</t>
  </si>
  <si>
    <t>TECNOLOGO EN FABRICACION DE MOLDES Y TROQUELES</t>
  </si>
  <si>
    <t>TECNOLOGO EN SUPERVISION DE LABORES MINERAS</t>
  </si>
  <si>
    <t>TECNOLOGO EN SISTEMAS DE INFORMACION EN SALUD</t>
  </si>
  <si>
    <t>TECNICO PROFESIONAL EN CONSTRUCCION DE OBRA</t>
  </si>
  <si>
    <t>TECNOLOGO EN SISTEMAS E INFORMATICA EMPRESARIAL</t>
  </si>
  <si>
    <t>ADMINISTRADOR COMERCIAL Y DE MERCADEO</t>
  </si>
  <si>
    <t>TECNOLOGO EN SUPERVISION Y MANTENIMIENTO DE MAQUINARIA INDUSTRIAL</t>
  </si>
  <si>
    <t>TECNOLOGO EN TELECOMUNICACIONES</t>
  </si>
  <si>
    <t>TECNOLOGO EN TELEMATICA</t>
  </si>
  <si>
    <t>TECNICO PROFESIONAL EN GESTION DE MANTENIMIENTO</t>
  </si>
  <si>
    <t>TECNICO EN PRODUCCION PECUARIA</t>
  </si>
  <si>
    <t>TECNOLOGO PESQUERO</t>
  </si>
  <si>
    <t>TECNOLOGO EN PRODUCCION AGRICOLA</t>
  </si>
  <si>
    <t>ADMINISTRADOR EN INFORMATICA</t>
  </si>
  <si>
    <t>TECNOLOGO EN GESTION DE MANTENIMIENTO</t>
  </si>
  <si>
    <t>TECNOLOGO EN RECURSOS NATURALES Y DEL AMBIENTE</t>
  </si>
  <si>
    <t>TECNOLOGO EN DISEÑO E INTEGRACION DE AUTOMATISMOS MECATRONICOS</t>
  </si>
  <si>
    <t>TECNICO PROFESIONAL EN MANEJO Y APROVECHAMIENTO DE BOSQUES</t>
  </si>
  <si>
    <t>TECNOLOGO EN AGROAMBIENTAL</t>
  </si>
  <si>
    <t>TECNOLOGO EN GESTION DE MANTENIMIENTO Y OPERACION DE PLANTAS INDUSTRIALES</t>
  </si>
  <si>
    <t>INGENIERO EN TELEMATICA</t>
  </si>
  <si>
    <t>INGENIERO TELEINFORMATICO</t>
  </si>
  <si>
    <t>TECNOLOGO EN PROCESOS PRODUCTIVOS DE LA MADERA</t>
  </si>
  <si>
    <t>INGENIERO EN CONTROL E INSTRUMENTACION</t>
  </si>
  <si>
    <t>INGENIERO BIOTECNOLOGICO</t>
  </si>
  <si>
    <t>TECNOLOGIA EN SISTEMAS</t>
  </si>
  <si>
    <t>INGENIERO PRACTICO EN CONSTRUCCION (SIN TITULO)</t>
  </si>
  <si>
    <t>BLOQUEO MEMO NAL-CI-2014-03016/3103</t>
  </si>
  <si>
    <t>TECNOLOGO SEGURIDAD E HIGIENE OCUPACIONAL</t>
  </si>
  <si>
    <t>BLOQUE NO COMPETENCIA PETICION FEB-2013</t>
  </si>
  <si>
    <t>NO Res. 23-2009 Consejo Arqu.VIGENCIA 37834234</t>
  </si>
  <si>
    <t>TECNOLOGO EN DISEÑO DE SISTEMAS MECANICOS</t>
  </si>
  <si>
    <t>INGENIERO EN TOPOGRAFIA</t>
  </si>
  <si>
    <t>INGENIERO DE PRODUCCION ACUICOLA</t>
  </si>
  <si>
    <t>TECNICO PROFESIONAL INTERMEDIO EN DIBUJO ARQUITECTONICO Y DE INGENIERIAS</t>
  </si>
  <si>
    <t>TECNOLOGO EN PRODUCCION AGROPECUARIA</t>
  </si>
  <si>
    <t xml:space="preserve">BLOQUEADO NAL-CI-2014-03103 JUL-2014 </t>
  </si>
  <si>
    <t>TECNICO PROFESIONAL DELINEANTE CONSTRUCTOR</t>
  </si>
  <si>
    <t>TECNOLOGO DE ALIMENTOS</t>
  </si>
  <si>
    <t>TECNOLOGO EN INGENIERIA DE SISTEMAS Y COMPUTADORES</t>
  </si>
  <si>
    <t>TECNICO PROFESIONAL EN CONSTRUCCION Y ADMINISTRACION DE OBRAS CIVILES</t>
  </si>
  <si>
    <t>TECNICO INTERMEDIO PROFESIONAL EN INGENIERIA INDUSTRIAL</t>
  </si>
  <si>
    <t>INGENIERO DE MATERIALES</t>
  </si>
  <si>
    <t>TECNICO PROFESIONAL EN DISEÑO E INGENIERIA TEXTIL</t>
  </si>
  <si>
    <t>TECNOLOGO PROFESIONAL EN INGENIERIA DE INSTRUMENTACION Y CONTROL</t>
  </si>
  <si>
    <t>TECNOLOGO EN PRODUCCION PECUARIA</t>
  </si>
  <si>
    <t>INGENIERO EN COMPUTACION</t>
  </si>
  <si>
    <t>TECNOLOGO FORESTAL</t>
  </si>
  <si>
    <t>INGENIERO EN MANTENIMIENTO INDUSTRIAL Y HOSPITALARIO</t>
  </si>
  <si>
    <t>DESBLOQUEO NAL-CE-2012-07240 Y NAL-CI-2012-07240</t>
  </si>
  <si>
    <t>TECNOLOGO EN ADMINISTRACION FINANCIERA</t>
  </si>
  <si>
    <t>TECNOLOGO EN ADMINISTRACION DE SISTEMAS DE INFORMACION</t>
  </si>
  <si>
    <t>TECNICO PROFESIONAL EN GESTION DE RECURSOS NATURALES</t>
  </si>
  <si>
    <t>TECNICO EN INGENIERIA INDUSTRIAL</t>
  </si>
  <si>
    <t>TECNICO PROFESIONAL AMBIENTAL EN MINERIA</t>
  </si>
  <si>
    <t>INGENIERO EN INFORMATICA</t>
  </si>
  <si>
    <t>INGENIERO INFORMATICO</t>
  </si>
  <si>
    <t>INGENIERO AMBIENTAL Y DE SANEAMIENTO</t>
  </si>
  <si>
    <t>TECNOLOGO EN INGENIERIA DE MINAS</t>
  </si>
  <si>
    <t>ADMINISTRADOR DE INFORMATICA</t>
  </si>
  <si>
    <t>INGENIERO EN TELEINFORMATICA</t>
  </si>
  <si>
    <t>PROFESIONAL EN ADMINISTRACION DE OBRAS CIVILES</t>
  </si>
  <si>
    <t>TECNOLOGO EN GESTION DE OBRAS CIVILES</t>
  </si>
  <si>
    <t>TECNICO PROFESIONAL EN MANTENIMIENTO DE SISTEMAS DE REFRIGERACION Y AIRE ACONDICIONADO DOMESTICO Y CCIAL</t>
  </si>
  <si>
    <t>TECNICO PROF. EN MANT. DE SISTEMAS DE REFRIG. Y AIRE ACOND. DOMESTICO Y CCIAL</t>
  </si>
  <si>
    <t>INGENIERO DE PRODUCCION BIOTECNOLOGICA</t>
  </si>
  <si>
    <t>INGENIERO DE SISTEMAS Y TELEMATICA</t>
  </si>
  <si>
    <t>TECNOLOGO EN VALORIZACION DE SUSTANCIAS MINERALES</t>
  </si>
  <si>
    <t>TECNICO PROFESIONAL INTERMEDIO EN PROCESOS DE PRODUCCION</t>
  </si>
  <si>
    <t>INGENIERO DE SISTEMAS DE INFORMACION</t>
  </si>
  <si>
    <t>BLOQUEO POR PORFESION NO VIGENTE</t>
  </si>
  <si>
    <t>TECNICO SUPERIOR MECANICO</t>
  </si>
  <si>
    <t>TECNICO PROFESIONAL EN MINERIA BAJO TIERRA</t>
  </si>
  <si>
    <t>NO ES COMPETENCIA</t>
  </si>
  <si>
    <t>TECNICO PROFESIONAL EN TOPOGRAFIA DE MINAS Y OBRAS CIVILES</t>
  </si>
  <si>
    <t>TECNICO SUPERIOR INDUSTRIAL</t>
  </si>
  <si>
    <t>PROFESION REPETIDA CON  500</t>
  </si>
  <si>
    <t>CONSTRUCTOR EN ARQUITECTURA E INGENIERIA</t>
  </si>
  <si>
    <t>INGENIERO AGROAMBIENTAL</t>
  </si>
  <si>
    <t>ADMINISTRADOR COMERCIAL Y DE SISTEMAS</t>
  </si>
  <si>
    <t>REVISAR SOPORTE conaltel</t>
  </si>
  <si>
    <t>TECNOLOGO EN MANTENIMIENTO INDUSTRIAL</t>
  </si>
  <si>
    <t>INGENIERO DE SANEAMIENTO Y DESARROLLO AMBIENTAL</t>
  </si>
  <si>
    <t>INGENIERO EN MECATRONICA</t>
  </si>
  <si>
    <t>INGENIERO EN CONTROL ELECTRONICO E INSTRUMENTACION</t>
  </si>
  <si>
    <t>ADMINISTRADOR Y CONSTRUCTOR ARQUITECTONICO</t>
  </si>
  <si>
    <t>PROFESIONAL INGENIERIA DE SISTEMAS</t>
  </si>
  <si>
    <t>ADMINISTRADOR DE CONSTRUCCIONES</t>
  </si>
  <si>
    <t>TECNOLOGO PROFESIONAL EN INGENIERIA DE AUTOMATIZACION INDUSTRIAL</t>
  </si>
  <si>
    <t>PROFESIONAL EN INGENIERIA DE SISTEMAS</t>
  </si>
  <si>
    <t>ADMINISTRADOR INFORMATICO</t>
  </si>
  <si>
    <t>INGENIERO DE SISTEMAS Y TELECOMUNICACIONES</t>
  </si>
  <si>
    <t xml:space="preserve"> DESBLOQUEO S2016NAL00005942 LEY 1124 DE 2007</t>
  </si>
  <si>
    <t>ADMINISTRADOR DEL MEDIO AMBIENTE</t>
  </si>
  <si>
    <t>INGENIERO EN OBRAS CIVILES Y MILITARES</t>
  </si>
  <si>
    <t>TECNOLOGO CONSTRUCCION</t>
  </si>
  <si>
    <t>PROFESIONAL CONSTRUCTOR</t>
  </si>
  <si>
    <t>PROFESIONAL ADMINISTRADOR DE INFORMATICA</t>
  </si>
  <si>
    <t>TECNICO PROFESIONAL EN ELECTROMECANICA</t>
  </si>
  <si>
    <t>TECNICO PROFESIONAL EN CONTROL AMBIENTAL</t>
  </si>
  <si>
    <t>INGENIERO EN PRODUCCION INDUSTRIAL</t>
  </si>
  <si>
    <t>INGENIERO TELEINFORMATICA</t>
  </si>
  <si>
    <t>TECNOLOGO PROFESIONAL EN INGENIERIA ELECTRONICA DIGITAL</t>
  </si>
  <si>
    <t>LEY 1124 DE 2007 NAL-CI-2015-00953 EXP2015/008218</t>
  </si>
  <si>
    <t>ADMINISTRADOR AMBIENTAL Y DE LOS RECURSOS NATURALES</t>
  </si>
  <si>
    <t>ADMINISTRADOR FINANCIERO Y DE SISTEMAS</t>
  </si>
  <si>
    <t>INGENIERO DE MERCADO PUBLICIDAD Y VENTAS</t>
  </si>
  <si>
    <t>TECNOLOGO EN ELECTRONICA Y COMUNICACIONES</t>
  </si>
  <si>
    <t>TECNOLOGO ESPECIALIZADO EN TELECOMUNICACIONES</t>
  </si>
  <si>
    <t>TECNOLOGO EN ANALISIS Y DISEÑO DE SISTEMAS DE COMPUTACION</t>
  </si>
  <si>
    <t>TECNOLOGO EN ELECTRIFICACION Y TELEFONIA RURAL</t>
  </si>
  <si>
    <t>INGENIERO COMERCIAL CON ENFASIS EN PUBLICIDAD</t>
  </si>
  <si>
    <t>TECNICO PROFESIONAL EN MANTENIMIENTO ELECTRONICO</t>
  </si>
  <si>
    <t>INGENIERO PESQUERO</t>
  </si>
  <si>
    <t>PROFESIONAL EN INGENIERIA DE MINAS</t>
  </si>
  <si>
    <t>TECNOLOGO EN ADMINISTRACION DE INFORMATICA</t>
  </si>
  <si>
    <t>INGENIERO DE TELEINFORMATICA</t>
  </si>
  <si>
    <t>BLOQUEO NO COMPETENCIA CONESJO DE TOPOGRAFOS</t>
  </si>
  <si>
    <t>TECNOLOGO EN TOPOGRAFIA (BLOQUEO) - No compentencia</t>
  </si>
  <si>
    <t>INGENIERO DE DISEÑO INDUSTRIAL</t>
  </si>
  <si>
    <t>INGENIERO METALURGICO Y DE MATERIALES</t>
  </si>
  <si>
    <t>INGENIERO GEOLOGICO</t>
  </si>
  <si>
    <t>TECNOLOGO EN INGENIERIA ELECTRONICA</t>
  </si>
  <si>
    <t>TECNOLOGO EN PROGRAMACION DE COMPUTADORES</t>
  </si>
  <si>
    <t>TECNOLOGO EN CONMUTACION</t>
  </si>
  <si>
    <t>TECNOLOGO EN GESTION DEL CICLO DE VIDA DEL PRODUCTO</t>
  </si>
  <si>
    <t>TECNOLOGO EN INGENIERIA DE AUTOMATIZACION INDUSTRIAL</t>
  </si>
  <si>
    <t>ADMINISTRADOR DEL MEDIO AMBIENTE Y DE LOS RECURSOS NATURALES</t>
  </si>
  <si>
    <t>INGENIERO DE VIAS DE COMUNICACION (SIN TITULO)</t>
  </si>
  <si>
    <t>NAL-CI-2013-01209</t>
  </si>
  <si>
    <t>TECNICO PROFESIONAL EN LABORATORIO DE SUELOS</t>
  </si>
  <si>
    <t>NAL-CI-2013-00891</t>
  </si>
  <si>
    <t>TECNOLOGO EN PRODUCCION ANIMAL</t>
  </si>
  <si>
    <t>INGENIERO DE MINAS (SIN TITULO)</t>
  </si>
  <si>
    <t>TECNOLOGO EN MANTENIMIENTO Y REPARACION DE MOTORES DIESEL</t>
  </si>
  <si>
    <t>TECNICO PROFESIONAL EN PROGRAMACION Y ANALISIS DE SISTEMAS</t>
  </si>
  <si>
    <t>TECNICO PROFESIONAL EN INSTRUMENTACION Y CONTROL DE PROCESOS INDUSTRIALES</t>
  </si>
  <si>
    <t>ADMINISTRADOR AMBIENTAL</t>
  </si>
  <si>
    <t>INGENIERO DE PLANIFICACION RURAL Y DE ESPACIO LIBRE</t>
  </si>
  <si>
    <t>PROFESIONAL EN INGENIERIA AEREOESPACIAL</t>
  </si>
  <si>
    <t>TECNICO PROFESIONAL EN INGENIERIA ELECTRONICA Y DE SISTEMAS</t>
  </si>
  <si>
    <t>TECNICO PROFESIONAL EN AUTOMATIZACION</t>
  </si>
  <si>
    <t>TECNICO PROFESIONAL EN MANEJO Y EXTENSION AMBIENTAL</t>
  </si>
  <si>
    <t>POR SOLICITUD DE CERTIFICADO SE DESBLOQUEO</t>
  </si>
  <si>
    <t>INGENIERO CIVIL - ESTRUCTURAS</t>
  </si>
  <si>
    <t>PROFESIONAL EN ACUICULTURA</t>
  </si>
  <si>
    <t>TECNICO PROFESIONAL INTERMEDIO EN INGENIERIA ELECTROMECANICA</t>
  </si>
  <si>
    <t>TECNOLOGO EN POSCOSECHA Y COMERCIALIZACIÓN DE FRUTAS Y HORTALIZAS</t>
  </si>
  <si>
    <t>INGENIERO COMERCIAL CON ENFASIS EN MERCADEO</t>
  </si>
  <si>
    <t>INGENIERO GEOGRAFO Y AMBIENTAL</t>
  </si>
  <si>
    <t>PROFESION EXTRANJERA</t>
  </si>
  <si>
    <t>ANALISTA Y PROGRAMADOR DE COMPUTADORES</t>
  </si>
  <si>
    <t>TECNICO PROFESIONAL EN INSTALACION Y MANTENIMIENTO DE REDES DE DATOS</t>
  </si>
  <si>
    <t>PROFESIONAL EN ADMINISTRACION INFORMATICA</t>
  </si>
  <si>
    <t>ANALISTA EN INFORMATICA</t>
  </si>
  <si>
    <t>INGENIERO EN SISTEMAS</t>
  </si>
  <si>
    <t>TECNICO PROFESIONAL INTERMEDIO EN ANALISIS Y DISEÑO DE SISTEMAS DE COMPUTACION</t>
  </si>
  <si>
    <t>TECNICO PROF. INTERMEDIO EN ANALISIS Y DISEÑO DE SISTEMAS DE COMPUTACION</t>
  </si>
  <si>
    <t>INGENIERA AMBIENTAL Y SANITARIO</t>
  </si>
  <si>
    <t>INGENIERO EN BIORECURSOS</t>
  </si>
  <si>
    <t>ADMINISTRADOR INDUSTRIAL</t>
  </si>
  <si>
    <t>TECNOLOGO FORESTAL CON ENFASIS EN PROTECCION Y RECUPERACION DE ECOSISTEMAS FORESTALES</t>
  </si>
  <si>
    <t>TECNOLOGO FORESTAL CON ENF.EN PROTECCION Y RECUP.DE ECOSISTEMAS FORESTALES</t>
  </si>
  <si>
    <t>BLOQUEO CONCEPTO GEOLOGIA</t>
  </si>
  <si>
    <t>GEOFISICO</t>
  </si>
  <si>
    <t>TECNOLOGO EN SISTEMAS DE COMPUTACION</t>
  </si>
  <si>
    <t>TECNICO PROFESIONAL INTERMEDIO EN PROGRAMACION Y ANALISIS DE SISTEMAS</t>
  </si>
  <si>
    <t>TECNOLOGO EN ACUACULTURA</t>
  </si>
  <si>
    <t>TECNICO PROFESIONAL INTERMEDIO EN ELECTRONICA</t>
  </si>
  <si>
    <t>TECNOLOGO EN INGENIERIA ELECTRONICA DIGITAL</t>
  </si>
  <si>
    <t>TECNOLOGO EN ADMINISTRACION DE EMPRESAS AGROPECUARIAS</t>
  </si>
  <si>
    <t>TECNOLOGO EN ADMINISTRACION AGROPECUARIA</t>
  </si>
  <si>
    <t>TECNOLOGO EN ELECTRONICA INDUSTRIAL</t>
  </si>
  <si>
    <t>INGENIERO CARTOGRAFO</t>
  </si>
  <si>
    <t>PROFESIONAL EN INGENIERIA INDUSTRIAL</t>
  </si>
  <si>
    <t>TECNICO PROFESIONAL EN INFORMATICA</t>
  </si>
  <si>
    <t>INGENIERO AGROECOLOGICO</t>
  </si>
  <si>
    <t>PROFESIONAL EN ADMINISTRACION Y GESTION AMBIENTAL</t>
  </si>
  <si>
    <t>DESBLOQUEO SEGUN DJ Y STD PEL DÍA 23-ENE-2015</t>
  </si>
  <si>
    <t>ADMINISTRADOR DE SISTEMAS DE GESTION AMBIENTAL</t>
  </si>
  <si>
    <t>TECNICO PROFESIONAL EN EQUIPO PESADO</t>
  </si>
  <si>
    <t>TECNOLOGO EN SISTEMAS EMPRESARIALES DE INFORMACION</t>
  </si>
  <si>
    <t>TECNICO PROFESIONAL EN PROCESOS DE TRANSFORMACION DE PLASTICOS POR EXTRUSION DE PELICULA SOPLADA</t>
  </si>
  <si>
    <t>TEC.PROF.EN PROCESOS DE TRANSFOR. DE PLASTICOS POR EXTRUSION DE PELICULAS</t>
  </si>
  <si>
    <t>TECNOLOGO EN CONTROL DE CALIDAD DE ALIMENTOS</t>
  </si>
  <si>
    <t>TECNICO PROFESIONAL EN IMPACTO AMBIENTAL</t>
  </si>
  <si>
    <t>INGENIERO EN MULTIMEDIA</t>
  </si>
  <si>
    <t>TECNOLOGO EN INFORMATICA Y SISTEMAS DE INFORMACION</t>
  </si>
  <si>
    <t>INGENIERO EN SISTEMAS Y COMPUTACION</t>
  </si>
  <si>
    <t>TECNOLOGO EN ADMINISTRACION DE REDES DE COMPUTADORES</t>
  </si>
  <si>
    <t>TECNICO PROFESIONAL EN REFRIGERACION Y AIRE ACONDICIONADO</t>
  </si>
  <si>
    <t>TECNICO PROFESIONAL EN REFRIGRERACION Y AIRE ACONDICIONADO</t>
  </si>
  <si>
    <t>TECNICO PROFESIONAL EN ADECUACION DE TIERRAS</t>
  </si>
  <si>
    <t>TECNOLOGO EN TECNOLOGIA AUTOMOTRIZ</t>
  </si>
  <si>
    <t>INGENIERO DE AUTOMATIZACION Y CONTROL</t>
  </si>
  <si>
    <t>TECNICO PROFESIONAL EN ELECTRICIDAD INDUSTRIAL</t>
  </si>
  <si>
    <t>TECNOLOGO EN GESTION DE REDES Y SISTEMAS TELEINFORMATICOS</t>
  </si>
  <si>
    <t>ADMINISTRADOR DE SISTEMAS E INFORMATICA</t>
  </si>
  <si>
    <t>PROFESIONAL EN MANEJO AGROFORESTAL</t>
  </si>
  <si>
    <t>INGENIERO HIDROLOGICO</t>
  </si>
  <si>
    <t>INGENIERO ACUICOLA</t>
  </si>
  <si>
    <t>TECNOLOGO EN DESARROLLO AMBIENTAL</t>
  </si>
  <si>
    <t>TECNICO PROFESIONAL EN INSTALACIONES HIDRAULICAS SANITARIAS Y DE GAS</t>
  </si>
  <si>
    <t>TECNOLOGO EN MANTENIMIENTO MECANICO INDUSTRIAL</t>
  </si>
  <si>
    <t>TECNOLOGO EN INGENIERIA ELECTRONICA Y TELECOMUNICACIONES</t>
  </si>
  <si>
    <t>INGENIERO EN CONTROL</t>
  </si>
  <si>
    <t>TECNOLOGO EN ANALISIS Y DESARROLLO DE SISTEMAS DE INFORMACION</t>
  </si>
  <si>
    <t>TECNICO PROFESIONAL EN TECNICAS FORESTALES</t>
  </si>
  <si>
    <t>TECNICO PROFESIONAL DELINEANTE Y AUXILIAR DE INGENIERIA MECANICA</t>
  </si>
  <si>
    <t>TECNOLOGO EN DISEÑO DE TROQUELES</t>
  </si>
  <si>
    <t>TECNOLOGO EN SALUD OCUPACIONAL</t>
  </si>
  <si>
    <t>PROFESIONAL EN INGENIERIA DE RECURSOS NATURALES Y DEL AMBIENTE</t>
  </si>
  <si>
    <t>TECNICO PROFESIONAL TELECOMUNICACIONES</t>
  </si>
  <si>
    <t>TECNOLOGO EN ADMINISTRACION DE LA PRODUCCION INDUSTRIAL</t>
  </si>
  <si>
    <t>ADMINISTRADOR FINANCIERO</t>
  </si>
  <si>
    <t>PROFESIONAL EN ADMINISTRACION DE SISTEMAS DE INFORMACION</t>
  </si>
  <si>
    <t>PROFESIONAL EN MANEJO AGROECOLOGICO Y DE POST-COSECHA</t>
  </si>
  <si>
    <t>BLOQUEO POR NO COMPETENCIA VER NAL-PR-2010-00198</t>
  </si>
  <si>
    <t>TECNICO PROFESIONAL EN QUIMICA INDUSTRIAL (BLOQUEO)</t>
  </si>
  <si>
    <t>TECNICO PROFESIONAL EN AGUA POTABLE Y SANEAMIENTO BASICO</t>
  </si>
  <si>
    <t>TECNOLOGO EN SISTEMAS DE INFORMACION Y DOCUMENTACION</t>
  </si>
  <si>
    <t>TECNOLOGO PESQUERA</t>
  </si>
  <si>
    <t>TECNOLOGO EN RECURSOS NATURALES Y MEDIO AMBIENTE</t>
  </si>
  <si>
    <t>TECNOLOGO EN INGENIERIA HIDRONEUMATICA</t>
  </si>
  <si>
    <t>TECNOLOGO EN FORESTAL</t>
  </si>
  <si>
    <t>TECNICO PROFESIONAL EN TECNICAS DE INTERVENTORIA EN OBRAS CIVILES Y EDIFICACIONES</t>
  </si>
  <si>
    <t>TECNICO PROF.EN TECNICAS DE INTERVENTORIA EN OBRAS CIVILES Y EDIFICACIONES</t>
  </si>
  <si>
    <t>TECNOLOGO EN AGROPECUARIA AMBIENTAL</t>
  </si>
  <si>
    <t>PROFESIONAL EN RELACIONES INDUSTRIALES</t>
  </si>
  <si>
    <t>DESBLOQUEO CON NAL-CE-2012-02892 JUL2012</t>
  </si>
  <si>
    <t>TECNICO PROFESIONAL EN INGENIERIA ELECTRONICA</t>
  </si>
  <si>
    <t>TECNICO PROFESIONAL EN ADMINISTRACION CON ENFASIS EN SISTEMAS</t>
  </si>
  <si>
    <t>TECNICO PROFESIONAL MANTENIMIENTO ELECTRONICO</t>
  </si>
  <si>
    <t>ACTIVO SEGUN LEY 392/97 HABILITADO MAY2012</t>
  </si>
  <si>
    <t>TECNICO PROFESIONAL EN INGENIERIA ELECTROMECANICA</t>
  </si>
  <si>
    <t>TECNICO PROFESIONAL EN PRODUCCION PECUARIA</t>
  </si>
  <si>
    <t>TECNOLOGO EN POSTCOSECHA Y COMERCIALIZACION DE FRUTAS Y HORTALIZAS</t>
  </si>
  <si>
    <t>TECNOLOGO EN PRODUCCION AGROINDUSTRIAL</t>
  </si>
  <si>
    <t>TECNOLOGO EN SISTEMAS Y TELECOMUNICACIONES</t>
  </si>
  <si>
    <t>TECNICO PROFESIONAL EN INFORMATICA PARA GESTION MUNICIPAL</t>
  </si>
  <si>
    <t>TECNOLOGO ESPECIALIZADO EN CONTROLES INDUSTRIALES</t>
  </si>
  <si>
    <t>INGENIERO MECANIZADOR AGROPECUARIO</t>
  </si>
  <si>
    <t>BLOQUEO POR PROFEISON NO VIGENTE</t>
  </si>
  <si>
    <t>TECNOLOGIA EN ADMINISTRACION DE EMPRESAS AGROPECUARIAS</t>
  </si>
  <si>
    <t>TECNOLOGO EN DISEÑO DE PRODUCTOS INDUSTRIALES</t>
  </si>
  <si>
    <t>TECNOLOGO EN TRANSFORMACION DEL CACAO Y ELABORACION DE PRODUCTOS DE CHOCOLATERIA INDUSTRIAL</t>
  </si>
  <si>
    <t>ADMINISTRADOR LOGISTICO</t>
  </si>
  <si>
    <t>INGENIERO MULTIMEDIA</t>
  </si>
  <si>
    <t>NAL-CE-2013-03611</t>
  </si>
  <si>
    <t>PROFESIONAL EN ADMINISTRACION LOGISTICA</t>
  </si>
  <si>
    <t>NAL-CI-2013-03473</t>
  </si>
  <si>
    <t>TECNICO PROFESIONAL EN MECANICA</t>
  </si>
  <si>
    <t>NAL-CI-2013-02204</t>
  </si>
  <si>
    <t>TECNOLOGO EN SISTEMAS AGROPECUARIOS</t>
  </si>
  <si>
    <t>TECNOLOGO EN MANTENIMIENTO DE EQUIPOS DE COMPUTO, DISEÑO E INSTALACION DE CABLEADO ESTRUCTURADO</t>
  </si>
  <si>
    <t>TECNOLOGO EN MANT. DE EQUIPOS DE COMPUTO, DISEÑO E INST. CABLEADO ESTRUCTURADO</t>
  </si>
  <si>
    <t>TECNICO PROFESIONAL EN TELECOMUNICACIONES EN PROCESOS DE INGENIERA</t>
  </si>
  <si>
    <t xml:space="preserve">NAL-CI-2013-02293 </t>
  </si>
  <si>
    <t>TECNOLOGO EN FABRICACION DE PRODUCTOS PLASTICOS POR EXTRUSION</t>
  </si>
  <si>
    <t>TECNOLOGOS EN FABRICACION DE PRODUCTOS PLASTICOS POR EXTRUSION</t>
  </si>
  <si>
    <t xml:space="preserve">NAL-CI-2013-01744 </t>
  </si>
  <si>
    <t>TECNOLOGO EN GESTION Y ADMINISTRACION AGRICOLA</t>
  </si>
  <si>
    <t>NAL-CI-2013-01744</t>
  </si>
  <si>
    <t xml:space="preserve">TECNICO PROFESIONAL EN SISTEMAS DE MONITOREO AGRICOLA </t>
  </si>
  <si>
    <t>TECNICO PROFESIONAL EN MECANIZACION AGRICOLA</t>
  </si>
  <si>
    <t>NAL-CE-2013-02676 NO COMPETENCIA</t>
  </si>
  <si>
    <t>ADMINISTRADOR BANCARIO Y FINANCIERO</t>
  </si>
  <si>
    <t>ADMINISTRADOR COMERCIAL</t>
  </si>
  <si>
    <t>NAL-CE-2013-02606</t>
  </si>
  <si>
    <t>TECNOLOGO EN SISTEMAS AGROFORESTALES</t>
  </si>
  <si>
    <t>NAL-CE-2013-02609</t>
  </si>
  <si>
    <t>TECNOLOGO EN SISTEMAS INTEGRADOS DE CALIDAD, MEDIO AMBIENTE, SEGURIDAD Y SALUD OCUPACIONAL</t>
  </si>
  <si>
    <t>TECNOLOGO EN SIS. INTE. DE CALIDAD, MEDIO AMB. SEGURIDAD Y SALUD OCUPACIONAL</t>
  </si>
  <si>
    <t>NAL-CE-2013-02220</t>
  </si>
  <si>
    <t>TECNICO PROFESIONAL EN MANTENIMIENTO DE HARDWARE Y REDES</t>
  </si>
  <si>
    <t>TECNOLOGO EN DISEÑO DE ELEM. MECANICOS PARA SU FABRICACION CON MAQ. HERRAMIENTAS CNC</t>
  </si>
  <si>
    <t>TECNICO PROFESIONAL INTERMEDIO EN AGROPECUARIA</t>
  </si>
  <si>
    <t>TECNOLOGO EN ASFALTOS Y PAVIMENTOS</t>
  </si>
  <si>
    <t>TECNICO PROFESIONAL INTERMEDIO EN LA ESPEC. DE ING. DE PROCESOS INDUSTRIALES</t>
  </si>
  <si>
    <t>NAL-CI-2013-03723.2</t>
  </si>
  <si>
    <t>TECNOLOGO EN GESTION DE EMPRESAS AGROPECUARIAS</t>
  </si>
  <si>
    <t>TECNOLOGO EN ADMINISTRACION DE SERVICIOS FINANCIEROS</t>
  </si>
  <si>
    <t>INGENIERIA CON ENFASIS EN METEOROLOGIA</t>
  </si>
  <si>
    <t>TECNICO PROFESIONAL EN ADMINISTRACION DE LA CONSTRUCCION</t>
  </si>
  <si>
    <t>TECNOLOGO EN OPERACION DE PLANTAS Y PROCESOS INDUSTRIALES</t>
  </si>
  <si>
    <t>INGENIERO DE SISTEMAS INFORMATICO</t>
  </si>
  <si>
    <t>TECNOLOGO EN PROGRAMACION Y DESARROLLO DE SOFTWARE</t>
  </si>
  <si>
    <t>INGENIERO EN GEOLOGIA</t>
  </si>
  <si>
    <t>INGENIERO EN INFORMATICA Y GESTION</t>
  </si>
  <si>
    <t>TECNOLOGO EN CONTROL AMBIENTAL Y SEGURIDAD INDUSTRIAL</t>
  </si>
  <si>
    <t>INGENIERO DE SISTEMAS INFORMATICOS</t>
  </si>
  <si>
    <t>INGENIERO EN HIGIENE Y SEGURIDAD INDUSTRIAL</t>
  </si>
  <si>
    <t>TECNOLOGO EN MANT. DE EQUIPOS DE COMPUTO DISEÑO E INSTAL. DE CABLEADO ESTRUCTURADO</t>
  </si>
  <si>
    <t>TECNICO PROF. EN TRANSFOR. DE PLASTICOS POR EXTRUSION DE PELICULA SOPLADA</t>
  </si>
  <si>
    <t>TECNICO PROFESIONAL EN MANTENIMIENTO DE SISTEMAS INFORMATICOS</t>
  </si>
  <si>
    <t>BLOQUEDO NO ES COMPETENCIA</t>
  </si>
  <si>
    <t>PROFESIONAL EN ADMINISTRACION BANCARIA Y FINANCIERA</t>
  </si>
  <si>
    <t>TECNICO PROFESIONAL EN BANCA E INSTITUCIONES FINANCIERAS</t>
  </si>
  <si>
    <t>TECNICO PROFESIONAL EN EXPLOTACIONES AGROPECUARIAS</t>
  </si>
  <si>
    <t>TECNICO PROFESIONAL EN MECANICA DIESEL</t>
  </si>
  <si>
    <t>TECNICO PROFESIONAL EN PRODUCCION AGRICOLA ECOLOGICA</t>
  </si>
  <si>
    <t>TECNICO PROFESIONAL EN SEGURIDAD OCUPACIONAL</t>
  </si>
  <si>
    <t>TECNICO PROFESIONAL EN SOFTWARE</t>
  </si>
  <si>
    <t>TECNICO PROFESIONAL EN TELEINFORMATICA</t>
  </si>
  <si>
    <t>TECNICO PROFESIONAL INTERMEDIO EN INGENIERIA DE PROCESOS INDUSTRIALES</t>
  </si>
  <si>
    <t>TECNOLOGO EN ENSAMBLE Y MANTENIMIENTO DE COMPUTADORES Y REDES</t>
  </si>
  <si>
    <t>TECNOLOGO EN DISEÑO DE MOLDES PARA TRANSFORMACION DE MATERIALES PLASTICOS</t>
  </si>
  <si>
    <t>TECNOLOGO EN FABRICACION DE PRODUCTOS PLASTICOS POR INYECCION Y SOPLADO</t>
  </si>
  <si>
    <t>TECNOLOGO EN GESTION DE EMPRESAS AGROFORESTALES</t>
  </si>
  <si>
    <t>TECNOLOGO EN GESTION Y ADMINISTRACION DE EMPRESAS AGROINDUSTRIALES</t>
  </si>
  <si>
    <t>TECNOLOGO EN LABORATORIO DE ANALISIS DE AGUA NIVEL 3</t>
  </si>
  <si>
    <t>TECNOLOGO NAVAL EN OCEANOGRAFIA FISICA</t>
  </si>
  <si>
    <t>TECNOLOGO BIOMEDICO</t>
  </si>
  <si>
    <t>nal-ce-2013-06369</t>
  </si>
  <si>
    <t>TECNOLOGO EN GESTION DE REDES DE DATOS</t>
  </si>
  <si>
    <t>TECNOLOGO EN MEDIO AMBIENTE</t>
  </si>
  <si>
    <t>INGENIERO EN DISEÑO DE PRODUCTOS</t>
  </si>
  <si>
    <t>TECNICO PROF.  EN LA ESPECIALIDAD DE DIBUJO DE INGENIERIA MECANICA Y ARQUITECTURA</t>
  </si>
  <si>
    <t>TECNICO PROFESIONAL EN PROCESAMIENTO DE ALIMENTOS PERECEDEROS</t>
  </si>
  <si>
    <t>NAL-CE-2013-06183 - NAL-CE-2014-05714</t>
  </si>
  <si>
    <t>PROFESIONAL EN CIENCIAS AMBIENTALES</t>
  </si>
  <si>
    <t>TECNICO PROFESIONAL EN PROCESOS INFORMATICOS</t>
  </si>
  <si>
    <t>TECNICO PROFESIONAL EN DESARROLLO DE SOFTWARE Y REDES</t>
  </si>
  <si>
    <t>TECNOLOGO EN PROCESOS ADMINISTRATIVOS</t>
  </si>
  <si>
    <t>TECNOLOGO EN GESTION LOGISTICA Y DISTRIBUCION</t>
  </si>
  <si>
    <t>TECNICO PROFESIONAL EN CONSTRUCCION DE OBRAS</t>
  </si>
  <si>
    <t>TECNICO PROFESIONAL EN SISTEMAS INFORMATICOS</t>
  </si>
  <si>
    <t>oficio NAL-CE-2014-00448 DEL 16-ENE</t>
  </si>
  <si>
    <t>TECNOLOGO EN RECURSOS FORESTALES</t>
  </si>
  <si>
    <t>TECNICO PROFESIONAL EN AGRIMENSURA Y CONSTRUCCION</t>
  </si>
  <si>
    <t>TECNOLOGO EN GESTION DE REDES</t>
  </si>
  <si>
    <t>TECNOLOGO EN MINERIA A CIELO ABIERTO</t>
  </si>
  <si>
    <t>INGENIERO DE GASES</t>
  </si>
  <si>
    <t>TECNICO PROFESIONAL EN CONSTRUCCION Y MONTAJE</t>
  </si>
  <si>
    <t>ADMINISTRADOR EN LOGISTICA Y PRODUCCION</t>
  </si>
  <si>
    <t>TECNOLOGO EN SISTEMAS E INFORMATICA</t>
  </si>
  <si>
    <t>TECNOLOGO EN DISEÑO IMPLEMENT. Y MANT. DE SISTEMAS DE TELECOMUNICACIONES</t>
  </si>
  <si>
    <t>NAL-CI-2013-03583.2</t>
  </si>
  <si>
    <t>INGENIERO EN BIOTECNOLOGIA</t>
  </si>
  <si>
    <t>INGENIERO DE GAS</t>
  </si>
  <si>
    <t>TECNOLOGO EN ACUICULTURA CONTINENTAL</t>
  </si>
  <si>
    <t xml:space="preserve">NAL-CI-2013-04285 </t>
  </si>
  <si>
    <t>TECNOLOGO EN RECURSOS AMBIENTALES</t>
  </si>
  <si>
    <t>TECNOLOGO EN MANEJO DE PETROLEO Y GAS EN SUPERFICIE</t>
  </si>
  <si>
    <t>TECNOLOGO EN MANEJO DE PETRÓLEO Y GAS EN SUPERFICIE</t>
  </si>
  <si>
    <t>TECNOLOGO EN GESTION DE PROCESOS ADMINISTRATIVOS</t>
  </si>
  <si>
    <t>ADMINISTRADOR EN SISTEMAS DE INFORMACION</t>
  </si>
  <si>
    <t>TECNICO PROFESIONAL EN INSTALACION DE REDES DE TELECOMUNICACIONES</t>
  </si>
  <si>
    <t>CONSEJO  GEOLOGOS</t>
  </si>
  <si>
    <t>GEOCIENTIFICO</t>
  </si>
  <si>
    <t>TECNOLOGO EN SEGURIDAD IND. SALUD OCUPACIONAL Y MEDIO AMBIENTE EN LA CONSTRUCCION</t>
  </si>
  <si>
    <t>TECNOLOGO EN PROCESOS DE PRODUCCION INDUSTRIAL</t>
  </si>
  <si>
    <t>TECNOLOGO EN ANALISIS Y DESARROLLO DE SISTEMAS DE LA INFORMACION</t>
  </si>
  <si>
    <t>TECNOLOGIA EN ADMINISTRACION AGROPECUARIA</t>
  </si>
  <si>
    <t>PROFESIONAL UNIVERSITARIO INGENIERO DE SISTEMAS</t>
  </si>
  <si>
    <t>TECNOLOGO EN SISTEMAS DE GESTION AMBIENTAL</t>
  </si>
  <si>
    <t>TECNOLOGO EN PROCESOS METALURGICOS</t>
  </si>
  <si>
    <t>TECNICO PROFESIONAL EN ANALISIS Y DISEÑO DE BASES DE DATOS-CICLOS</t>
  </si>
  <si>
    <t>TECNOLOGO EN GESTION DE REDES DE DATOS Y SISTEMAS OPERATIVOS</t>
  </si>
  <si>
    <t>TECNOLOGO EN PRODUCCION DE MULTIMEDIA</t>
  </si>
  <si>
    <t>TECNOLOGO EN PRODUCCION TEXTIL</t>
  </si>
  <si>
    <t>TECNICO PROFESIONAL EN PROCESOS INDUSTRIALES  DE MECATRONICA</t>
  </si>
  <si>
    <t>TECNOLOGO EN GESTION DE LA CONSTRUCCION DE EDIFICACIONES</t>
  </si>
  <si>
    <t>TECNOLOGIA EN PROCESOS INDUSTRIALES</t>
  </si>
  <si>
    <t>TECNICO PROFESIONAL EN ANALISIS Y DISEÑO DE BASES DE DATOS</t>
  </si>
  <si>
    <t>TECNICO PROFESIONAL EN DESARROLLO DEL SOFTWARE</t>
  </si>
  <si>
    <t>TECNICO PROFESIONAL EN SISTEMAS Y REDES</t>
  </si>
  <si>
    <t>COMP.NAL-CI-2014-03403</t>
  </si>
  <si>
    <t>TECNOLOGO EN ADMINISTRACION DE LA PRODUCCION AGROPECUARIA</t>
  </si>
  <si>
    <t>TECNOLOGO EN ANALISIS DE MATERIALES PARA LA INDUSTRIA</t>
  </si>
  <si>
    <t>TECNICO PROFESIONAL EN DESARROLLO DE LA PRODUCCION PECUARIA</t>
  </si>
  <si>
    <t>TECNOLOGO EN ACUICULTURA DE AGUAS MARINAS Y CONTINENTALES</t>
  </si>
  <si>
    <t>TECNOLOGO EN IMPLEMENTACION DE SERVICIOS DE TELECOMUNICACIONES POR REDES CABLEADAS</t>
  </si>
  <si>
    <t xml:space="preserve">Tecnicos laborales- Ley 30 de 1992  y conceptos </t>
  </si>
  <si>
    <t>TECNICO AGROPECUARIO</t>
  </si>
  <si>
    <t>TECNOLOGO EN GESTION DE BASES DE DATOS</t>
  </si>
  <si>
    <t>TECNOLOGO EN PRODUCCION AGROECOLOGICA DE CULTIVOS</t>
  </si>
  <si>
    <t>PROFESIONAL EN INGENIERIA BIOMEDICA</t>
  </si>
  <si>
    <t>TECNICO PROFESIONAL EN ASEGURAMIENTO METROLOGICO INDUSTRIAL</t>
  </si>
  <si>
    <t>PROFESIONAL EN INGENIERA DE SISTEMAS</t>
  </si>
  <si>
    <t>TECNOLOGO EN ANALISIS AMBIENTALES</t>
  </si>
  <si>
    <t>PROFESIONAL UNIVERSITARIO DE CIENCIAS AMBIENTALES</t>
  </si>
  <si>
    <t>TECNOLOGO EN RIEGO  DRENAJE Y MANEJO DE SUELOS AGRICOLAS</t>
  </si>
  <si>
    <t>TECNICO PROF. EN TRANSF. DE PLASTICOS POR EXTRUSION DE TUBOS Y PERFILES</t>
  </si>
  <si>
    <t>TECNOLOGO HIDROSANITARIO Y GAS</t>
  </si>
  <si>
    <t xml:space="preserve">TECNICO CONSTRUCTOR POR ESTUDIO (Hoy Técnico Profesional en Construcción - Ley 842 de 2003)                                                           </t>
  </si>
  <si>
    <t xml:space="preserve">MAESTRO DE OBRA LABORATORISTA                                                                                                                         </t>
  </si>
  <si>
    <t>TECNOLOGO EN DESARROLLO DE SISTEMAS INFORMATICOS</t>
  </si>
  <si>
    <t>INGENIERO EN CONTROL Y AUTOMATIZACION INDUSTRIAL</t>
  </si>
  <si>
    <t>TECNOLOGO NAVAL EN HIDROGRAFIA</t>
  </si>
  <si>
    <t xml:space="preserve">NO COMPETENCIA VER CONALTEL                       </t>
  </si>
  <si>
    <t>TECNOLOGO EN MANTENIMIENTO ELECTRONICO E INSTRUMENTAL INDUSTRIAL</t>
  </si>
  <si>
    <t>TECNICO PROFESIONAL EN OPERACION Y MANTENIMIENTO MECANICO</t>
  </si>
  <si>
    <t>TECNICO PROFESIONAL EN INSTALACION DE REDES DE TELECOMUNICACIONES-CICLOS</t>
  </si>
  <si>
    <t>TECNICO PROFESIONAL EN MECANICA Y ELECTRONICA AUTOMOTRIZ</t>
  </si>
  <si>
    <t>TECNOLOGO EN ADMINISTRACION FINANCIERA Y COMERCIAL</t>
  </si>
  <si>
    <t>TECNICO PROFESIONAL AUTOMOTRIZ</t>
  </si>
  <si>
    <t>TECNOLOGO EN PROGRAMACION DE SISTEMAS INFORMATICOS</t>
  </si>
  <si>
    <t>ADMINISTRADOR TECNOLOGICO</t>
  </si>
  <si>
    <t>TECNOLOGO EN GESTION AMBIENTAL DE RESIDUOS</t>
  </si>
  <si>
    <t>TECNOLOGO EN GESTION DE LA CONSTRUCCION</t>
  </si>
  <si>
    <t>TECNICO PROFESIONAL EN PROCESOS AMBIENTALES</t>
  </si>
  <si>
    <t>TECNOLOGO EN SOPORTE TECNICO DE HARDWARE Y SOFTWARE</t>
  </si>
  <si>
    <t>TECNOLOGO EN GESTION INFORMATICA</t>
  </si>
  <si>
    <t>TECNICO PROFESIONAL EN INSTALACION Y MANTENIMIENTO DE REDES Y COMPUTADORES</t>
  </si>
  <si>
    <t>TECNOLOGO EN MANEJO DE SISTEMAS DE AGROBOSQUES</t>
  </si>
  <si>
    <t>TECNOLOGO EN ANALISIS Y DESARROLLO DE SISTEMAS</t>
  </si>
  <si>
    <t>TECNICO PROFESIONAL EN PROCESOS DE TRANSFORMACION DE PLASTICOS POR INYECCION</t>
  </si>
  <si>
    <t>TECNOLOGO PROFESIONAL EN MANEJO DE SISTEMAS DE AGROBOSQUES</t>
  </si>
  <si>
    <t>INGENIERO DE MULTIMEDIA</t>
  </si>
  <si>
    <t>BIOTECNOLOGO</t>
  </si>
  <si>
    <t>TECNOLOGO EN ANALISIS Y PROGRAMACION DE SISTEMAS DE INFORMACION</t>
  </si>
  <si>
    <t>TECNICO PROFESIONAL EN OPERACION DE SISTEMAS DE TRATAMIENTO DE VERTIMIENTOS LIQUIDOS</t>
  </si>
  <si>
    <t>TECNICO PROFESIONAL EN AMBIENTAL EN MINERIA</t>
  </si>
  <si>
    <t>TECNICO PROFESIONAL EN ADMINISTRACION DE SISTEMAS E INFORMATICA</t>
  </si>
  <si>
    <t>TECNICO PROFESIONAL EN DIBUJO ARQUITECTURA E INGENIERIAS</t>
  </si>
  <si>
    <t>TECNICO PROFESIONAL EN OPERACION DE PLANTAS PETROQUIMICAS</t>
  </si>
  <si>
    <t>TECNOLOGO EN REPRODUCCION BOVINA</t>
  </si>
  <si>
    <t>TECNOLOGO EN DISEÑO MECANICO</t>
  </si>
  <si>
    <t>TECNOLOGO EN SEG. IND. SALUD OCUPAC. Y MEDIO AMB. EN EL SECTOR DE LA CONSTRUCCION</t>
  </si>
  <si>
    <t>TECNICO PROFESIONAL EN INFORMATICA Y SISTEMAS</t>
  </si>
  <si>
    <t>TECNOLOGO EN GESTION DE LA PRODUCCION AGROINDUSTRIAL</t>
  </si>
  <si>
    <t>TECNOLOGO EN MECANIZACION AGRICOLA</t>
  </si>
  <si>
    <t>PROFESIONAL UNIVERSITARIO EN CIENCIAS AMBIENTALES</t>
  </si>
  <si>
    <t>TECNICO PROFESIONAL EN PRODUCCION FORESTAL</t>
  </si>
  <si>
    <t>TECNOLOGO EN HIGIENE Y SEGURIDAD OCUPACIONAL</t>
  </si>
  <si>
    <t>TECNOLOGO COMERCIAL Y FINANCIERO</t>
  </si>
  <si>
    <t>TECNICO PROFESIONAL INTERMEDIO EN SISTEMAS Y COMPUTACION</t>
  </si>
  <si>
    <t>TECNICO PROFESIONAL EN MANEJO AMBIENTAL</t>
  </si>
  <si>
    <t>TECNOLOGO EN PRODUCCION DE PETROLEO</t>
  </si>
  <si>
    <t xml:space="preserve">TECNICO PROFESIONAL INTERMEDIO EN SISTEMAS Y COMPUTADORES </t>
  </si>
  <si>
    <t xml:space="preserve">TECNOLOGO EN RECURSOS AMBIENTALES </t>
  </si>
  <si>
    <t>TECNOLOGO EN GESTION DE SISTEMAS INFORMATICOS</t>
  </si>
  <si>
    <t>TECNICO PROFESIONAL EN AGROPECUARIO</t>
  </si>
  <si>
    <t xml:space="preserve">TECNICO PROFESIONAL EN SOPORTE DE SISTEMAS DE CALIDAD SEGURIDAD Y AMBIENTE  </t>
  </si>
  <si>
    <t>TECNICO PROFESIONAL EN SISTEMAS Y ANALISIS DE LA COMPUTACION</t>
  </si>
  <si>
    <t>TECNICO PROFESIONAL EN ADMINISTRACION Y CONSTRUCCION DE OBRAS CIVILES</t>
  </si>
  <si>
    <t>INGENIERO DE CONTROL Y AUTOMATIZACION INDUSTRIAL</t>
  </si>
  <si>
    <t>TECNICO PROFESIONAL EN PROCESOS DE TRANSFORMACION DE PLASTICOS POR SOPLADO</t>
  </si>
  <si>
    <t>INGENIERO EN REFINACION Y PETROQUIMICA</t>
  </si>
  <si>
    <t>TECNOLOGO EN SISTEMAS Y COMPUTACION</t>
  </si>
  <si>
    <t>TECNOLOGO EN GESTION DE AGROINDUSTRIAS ALIMENTICIAS LACTEOS</t>
  </si>
  <si>
    <t xml:space="preserve">INGENIERO DE MECATRONICA </t>
  </si>
  <si>
    <t>TECNOLOGO EN GESTION DE EMPRESAS AGRICOLAS</t>
  </si>
  <si>
    <t>TECNOLOGO EN ADMINISTRACION DE REDES</t>
  </si>
  <si>
    <t>TECNOLOGO EN OPERACION Y MANTENIMIENTO DE MAQUINAS DE CONTROL NUMERICO</t>
  </si>
  <si>
    <t>TECNOLOGO EN GESTION DE SISTEMAS MECATRONICOS</t>
  </si>
  <si>
    <t>TECNOLOGO EN DISEÑO DE APLICACIONES MOVILES Y WEB</t>
  </si>
  <si>
    <t>TECNOLOGO EN GESTION DE LA PRODUCCION</t>
  </si>
  <si>
    <t>TECNICO PROFESIONAL EN MANTENIMIENTO DE SISTEMAS MECATRONICOS</t>
  </si>
  <si>
    <t>PROFESIONAL EN GEOFISICA</t>
  </si>
  <si>
    <t>PROFESIONAL EN INGENIERIA TEXTIL</t>
  </si>
  <si>
    <t>TECNOLOGO EN POST-COSECHA Y COMERCIALIZACION DE FRUTAS Y HORTALIZAS</t>
  </si>
  <si>
    <t xml:space="preserve">TECNICO PROFESIONAL EN OPERACIONES AGROINDUSTRIALES DE LA CAÑA DE AZÚCAR </t>
  </si>
  <si>
    <t>TECNOLOGO EN PROCESOS AGROINDUSTRIALES</t>
  </si>
  <si>
    <t>TECNICO PROFESIONAL EN CONSTRUCCION Y MONTAJE DE INSTALACIONES ELECTRICAS</t>
  </si>
  <si>
    <t>TECNICO PROFESIONAL EN COMERCIALIZACION DE ALIMENTOS PERECEDEROS</t>
  </si>
  <si>
    <t>PROFESIONAL EN GESTION DE SISTEMAS DE INFORMACION</t>
  </si>
  <si>
    <t>TECNICO INTERMEDIO PROFESIONAL EN INGENIERIA AGROPECUARIA</t>
  </si>
  <si>
    <t>TECNICO PROF. EN SOPORTE DE INFRAESTTRUCTURA DE TECNOL. DE LA INFORMACION</t>
  </si>
  <si>
    <t>TECNICO PROF. EN SOPORTE DE INFRAEST DE TECNOL. DE LA INFORMACIÓN</t>
  </si>
  <si>
    <t>TECNICO PROFESIONAL EN MANTENIMIENTO DE HARDWARE Y SISTEMAS OPERATIVOS DE COMPUTADORES</t>
  </si>
  <si>
    <t>TECNICO PROF. EN MANT. DE HARDWARE Y SISTEMAS OPERATIVOS DE COMPUTADORES</t>
  </si>
  <si>
    <t>TECNOLOGO EN PROGRAMACION DE APLICACIONES WEB</t>
  </si>
  <si>
    <t>TECNOLOGO EN GESTIÓN DE EMPRESAS AGROINDUSTRIALES</t>
  </si>
  <si>
    <t>TECNOLOGO EN REDES Y COMUNICACIONES</t>
  </si>
  <si>
    <t>TECNOLOGO MINERO</t>
  </si>
  <si>
    <t>TECNOLOGO NAVAL EN OCEANOGRAFIA</t>
  </si>
  <si>
    <t>TECNOLOGO EN ANALISIS Y DISEÑO DE SISTEMAS Y COMPUTACION</t>
  </si>
  <si>
    <t>TECNICO PROFESIONAL EN PROGRAMACION DE SISTEMAS DE INFORMACION</t>
  </si>
  <si>
    <t>INFORMATICA Y CIENCIAS DE LA COMPUTACION</t>
  </si>
  <si>
    <t>INGENIERO EN NANOTECNOLOGIA</t>
  </si>
  <si>
    <t>TECNOLOGO EN DISEÑO DE SOFTWARE</t>
  </si>
  <si>
    <t xml:space="preserve">TECNOLOGO EN GESTION MINERO AMBIENTAL </t>
  </si>
  <si>
    <t>TECNICO PROFESIONAL EN PRODUCCION INDUSTRIAL</t>
  </si>
  <si>
    <t>INGENIERO EN CONTROL E INSTRUMENTACION INDUSTRIAL</t>
  </si>
  <si>
    <t>TECNICO PROFESIONAL EN AGROINDUSTRIA ALIMENTARIA</t>
  </si>
  <si>
    <t>INGENIERO EN SEGURIDAD Y SALUD PARA EL TRABAJO</t>
  </si>
  <si>
    <t>TECNOLOGO EN TEXTIL</t>
  </si>
  <si>
    <t>TECNOLOGO EN DISEÑO DE PRODUCTOS EN MADERA</t>
  </si>
  <si>
    <t>INGENIERA AMBIENTAL Y SANITARIA</t>
  </si>
  <si>
    <t>TECNICO PROFESIONAL EN GESTION EN ANALISIS Y PROGRAMACION DE COMPUTADORES</t>
  </si>
  <si>
    <t>TECNICO PROF. EN GESTION EN ANALISIS Y PROGRAM. DE COMPUTADORES</t>
  </si>
  <si>
    <t>TECNICO PROF. EN ASEGURAMIENTO DE LA CALIDAD ALIMENTARIA</t>
  </si>
  <si>
    <t>TECNOLOGO EN GESTION EN LABORATORIOS DE ANALISIS DE AGUA NIVEL 3</t>
  </si>
  <si>
    <t>TECNOLOGO EN GESTION SOSTENIBLE DE LA BIODIVERSIDAD VEGETAL</t>
  </si>
  <si>
    <t>TECNICO PROFESIONAL EN SOPORTE DE INFRAESTRUCTURAS INFORMATICAS Y REDES DE DATOS</t>
  </si>
  <si>
    <t>TECNICO PROF. EN SOPORTE DE INFRAEST. INFORM Y REDES DE DATOS</t>
  </si>
  <si>
    <t>TECNOLOGO EN GESTION DE PROCESOS MECATRONICOS</t>
  </si>
  <si>
    <t>ADMINISTRADOR DE OBRAS DE ARQUITECTURA</t>
  </si>
  <si>
    <t>TECNICO PROFESIONAL EN IMPLEMENTACIÓN DE SOFTWARE</t>
  </si>
  <si>
    <t xml:space="preserve">TECNOLOGO EN PLANEACIÓN Y SUPERVISIÓN DE LA PRODUCCIÓN </t>
  </si>
  <si>
    <t>TECNOLOGO EN PROGRAMACION Y SISTEMAS DE COMPUTACION</t>
  </si>
  <si>
    <t>TECNICO PROFESIONAL EN PROCESOS AGROINDUSTRIALES</t>
  </si>
  <si>
    <t>TECNOLOGO EN LOGISTICA DE TRANSPORTE</t>
  </si>
  <si>
    <t>TECNICO PROFESIONAL EN PRODUCCION AGROINDUSTRIAL</t>
  </si>
  <si>
    <t>TECNOLOGO EN CONTROL DE PROCESOS INDUSTRIALES</t>
  </si>
  <si>
    <t>TECNOLOGO INFORMATICO</t>
  </si>
  <si>
    <t>TECNOLOGO EN PRODUCCIÓN DE CONTENIDOS ANIMADOS PARA LA SIMULACIÓN DE PROCESOS INDUSTRIALES</t>
  </si>
  <si>
    <t>TECNOLOGO EN PROD. DE CONTENIDOS ANIM. PARA LA SIMULACIÓN DE P IND.</t>
  </si>
  <si>
    <t>IDUNIVERSIDAD</t>
  </si>
  <si>
    <t>IDPAIS</t>
  </si>
  <si>
    <t>IDGRUNIVERSIDADES</t>
  </si>
  <si>
    <t>UNNOMBRE</t>
  </si>
  <si>
    <t>UNABREVIATURA</t>
  </si>
  <si>
    <t>IDUNORIGEN</t>
  </si>
  <si>
    <t>IDUNTIPO</t>
  </si>
  <si>
    <t>NO REGISTRA NOMBRE UNIVERSIDAD</t>
  </si>
  <si>
    <t>NO REGISTRA ABREVIATURA DE UNIVERSIDAD</t>
  </si>
  <si>
    <t>UNIVERSIDAD DEL CAUCA</t>
  </si>
  <si>
    <t>UNIVERSIDAD DEL QUINDIO</t>
  </si>
  <si>
    <t>UNIVERSIDAD DEL VALLE</t>
  </si>
  <si>
    <t>UNIVERSIDAD EAFIT</t>
  </si>
  <si>
    <t>UNIVERSIDAD ARGENTINA JOHN F. KENNEDY ARGENTINA</t>
  </si>
  <si>
    <t>UNIVERSIDAD INCCA DE COLOMBIA</t>
  </si>
  <si>
    <t>UNIVERSIDAD LA GRAN COLOMBIA</t>
  </si>
  <si>
    <t>UNIVERSIDAD LIBRE</t>
  </si>
  <si>
    <t>UNIVERSIDAD MILITAR NUEVA GRANADA</t>
  </si>
  <si>
    <t>UNIVERSIDAD NACIONAL DE COLOMBIA</t>
  </si>
  <si>
    <t>UNIVERSIDAD NACIONAL DE COLOMBIA SEDE MANIZALES</t>
  </si>
  <si>
    <t>UNIVERSIDAD NACIONAL DE COLOMBIA SEDE MEDELLIN</t>
  </si>
  <si>
    <t>UNIVERSIDAD PEDAGOGICA Y TECNOLOGICA DE COLOMBIA</t>
  </si>
  <si>
    <t>CORPORACION UNIVERSIDAD PILOTO DE COLOMBIA</t>
  </si>
  <si>
    <t>UNIVERSIDAD PONTIFICIA BOLIVARIANA</t>
  </si>
  <si>
    <t>UNIVERSIDAD DE LA SABANA</t>
  </si>
  <si>
    <t>UNIVERSIDAD DE SAN BUENAVENTURA - CALI</t>
  </si>
  <si>
    <t>UNIVERSIDAD TECNOLOGICA DE PEREIRA</t>
  </si>
  <si>
    <t>UNIVERSIDAD DE LOS ANDES</t>
  </si>
  <si>
    <t>UNIVERSIDAD DE MEDELLIN</t>
  </si>
  <si>
    <t>UNIVERSIDAD DE NARIÑO</t>
  </si>
  <si>
    <t>UNIVERSIDAD DE SUCRE</t>
  </si>
  <si>
    <t>UNIVERSIDAD CATOLICA DE COLOMBIA</t>
  </si>
  <si>
    <t>UNIVERSIDAD DE ANTIOQUIA</t>
  </si>
  <si>
    <t>UNIVERSIDAD DE CARTAGENA</t>
  </si>
  <si>
    <t>UNIVERSIDAD DE LA SALLE</t>
  </si>
  <si>
    <t>PONTIFICIA UNIVERSIDAD JAVERIANA - CALI</t>
  </si>
  <si>
    <t>UNIDAD UNIVERSITARIA DEL SUR DE BOGOTA</t>
  </si>
  <si>
    <t>UNIVERSIDAD AUTONOMA LATINOAMERICANA</t>
  </si>
  <si>
    <t>UNIVERSIDAD DE TULANE - U.S.A.</t>
  </si>
  <si>
    <t>UNIVERSIDAD SANTO TOMAS - BUCARAMANGA</t>
  </si>
  <si>
    <t>UNIVERSIDAD SAN CARLOS DE GUATEMALA</t>
  </si>
  <si>
    <t>NEW JERSEY INSTITUTE OF TECHNOLOGY-ESTADOS UNIDOS</t>
  </si>
  <si>
    <t>UNIVERSITY OF CONNECTICUT</t>
  </si>
  <si>
    <t>UNIVERSITY OF KENTUCKY</t>
  </si>
  <si>
    <t>L ECOLE POLYTECHNIQUE FEDERALE DE LAUSANNE - SUIZA</t>
  </si>
  <si>
    <t>ESCUELA TECNICA SUPERIOR DE LA REPUPBLICA Y CANTON DE GINEBRA</t>
  </si>
  <si>
    <t>RENSSELAER POLYTECHNIC INSTITUTE NEW YORK</t>
  </si>
  <si>
    <t>LA ESCUELA NAVAL DE SUBOFICIALES ARC BARRANQUILLA</t>
  </si>
  <si>
    <t>LA ESCUELA NAVAL DE SUBOFICIALES ARC B</t>
  </si>
  <si>
    <t>OKLAHOMA STATE UNIVERSITY OF AGR. AND APPLIED SCIENCE</t>
  </si>
  <si>
    <t>UNIVERSIDAD POLITECNICA DE PZNAN - POLONIA</t>
  </si>
  <si>
    <t>INSTITUTO UNIVERSITARIO DE PETROLEO Y GASES DE PLOIESTI</t>
  </si>
  <si>
    <t>UNIVERSIDAD BOLIVIANA MAYOR DE SAN ANDRES LA PAZ</t>
  </si>
  <si>
    <t>ESCUELA TECNICA SUPERIOR DE BERLIN</t>
  </si>
  <si>
    <t>NEW JERSEY INSTITUTE OF TECHNOLOGY MEWARK</t>
  </si>
  <si>
    <t>THE CHICAGO TECHNICAL COLLEGE</t>
  </si>
  <si>
    <t>ESCUELA POLITECNICA NACIONAL - ECUADOR</t>
  </si>
  <si>
    <t>THE UNIVERSITY OF AKRON</t>
  </si>
  <si>
    <t>UNIVERSIDAD SIMON BOLIVAR - VENEZUELA</t>
  </si>
  <si>
    <t>UNIVERSIDAD TECNICA DE PRAGA - CHECOSLOVAQUIA</t>
  </si>
  <si>
    <t>UNIVERSIDAD DE COLUMBIA - EE.UU.</t>
  </si>
  <si>
    <t>UNIVERSIDAD AUTONOMA DE CENTRO AMERICA - COSTA RICA</t>
  </si>
  <si>
    <t>UNIVERSITY OF THE PACIFIC</t>
  </si>
  <si>
    <t>THE UNIVERSITY OF DETROIT</t>
  </si>
  <si>
    <t>UNIVERSIDAD DE COLORADO - EE.UU.</t>
  </si>
  <si>
    <t>INSTITUTO DE HIDROMETEOROLOGIA DE ODESA - U.R.S.S.</t>
  </si>
  <si>
    <t>INSTITUTO AZERBAIDZHANO DE QUIMICA Y PETROLEO - U.R.S.S.</t>
  </si>
  <si>
    <t>INSTITUTO DE CONSTRUCCIONES E INGENIERIA DE MOSCU</t>
  </si>
  <si>
    <t>DO VALE DO RIO DOS SINOS - BRASIL</t>
  </si>
  <si>
    <t>UNIVERSIDAD CATOLICA DE WASHINGTON</t>
  </si>
  <si>
    <t>UNIVERSIDAD NACIONAL DE INGENIERIA - PERU</t>
  </si>
  <si>
    <t>UNIVERSIDAD DE LOS ESTUDIOS DE ROMA</t>
  </si>
  <si>
    <t>UNIVERSIDAD DE PARANA - BRASIL</t>
  </si>
  <si>
    <t>UNIVERSIDAD CATOLICA DE ORIENTE</t>
  </si>
  <si>
    <t>UNIVERSIDAD FEDERAL DE RIO DE JANEIRO - BRASIL</t>
  </si>
  <si>
    <t>INSTITUTO DE AUTOMOVILES Y CARRETERAS DE TASHKENT</t>
  </si>
  <si>
    <t>THE UNIVERSITY OF NEBRASKA - ESTADOS UNIDOS</t>
  </si>
  <si>
    <t>UNIVERSIDAD REGIOMONTANA - MEXICO</t>
  </si>
  <si>
    <t>RUTGERS UNIVERSITY - U.S.A.</t>
  </si>
  <si>
    <t>UTTAR PRADESH TECHCHNICAL UNIVERSITY INDIA</t>
  </si>
  <si>
    <t>UNIVERSIDAD AUTONOMA DE MANIZALES</t>
  </si>
  <si>
    <t>CORPORACION UNIVERSITARIA TECNOLOGICA DE BOLIVAR</t>
  </si>
  <si>
    <t>UNIVERSIDAD ANTONIO NARIÑO</t>
  </si>
  <si>
    <t>CORPORACION UNIVERSITARIA AUTONOMA DE OCCIDENTE</t>
  </si>
  <si>
    <t>FUNDACION UNIVERSITARIA DE BOYACA</t>
  </si>
  <si>
    <t>CORPORACION UNIVERSITARIA DE IBAGUE</t>
  </si>
  <si>
    <t>CORPORACION UNIVERSITARIA DE LA COSTA C.U.C.</t>
  </si>
  <si>
    <t>ESCUELA COLOMBIANA DE INGENIERIA JULIO GARAVITO</t>
  </si>
  <si>
    <t>ESCUELA DE INGENIERIA DE ANTIOQUIA</t>
  </si>
  <si>
    <t>ESCUELA NAVAL DE CADETES ALMIRANTE PADILLA</t>
  </si>
  <si>
    <t>UNIVERSIDAD AUTONOMA DE COLOMBIA</t>
  </si>
  <si>
    <t>UNIVERSIDAD DEL NORTE</t>
  </si>
  <si>
    <t>FUNDACION UNIVERSITARIA DE POPAYAN</t>
  </si>
  <si>
    <t>TECHNISCHE HOCHSCHULE DARMSTADT - ALEMANIA</t>
  </si>
  <si>
    <t>FUNDACION UNIVERSIDAD JORGE TADEO LOZANO - CARIBE</t>
  </si>
  <si>
    <t>CLAUSTHAL - ALEMANIA</t>
  </si>
  <si>
    <t>UNIVERSITY OF MIAMI - ESTADOS UNIDOS</t>
  </si>
  <si>
    <t>INSTITUTO METODISTA BENNET</t>
  </si>
  <si>
    <t>ESCUELA CAMONDO - PARIS</t>
  </si>
  <si>
    <t>UNIVERSIDAD AUTONOMA DE ZACATECAS</t>
  </si>
  <si>
    <t>UNIVERSIDAD DEL ESTADO DE LOUISIANA</t>
  </si>
  <si>
    <t>ESCUELA DE INGENIERIA HEALD - SAN FRANCISCO</t>
  </si>
  <si>
    <t>UNIVERSIDAD DE LA AMISTAD PATRICIO LUMUMBA - MOSCU</t>
  </si>
  <si>
    <t>INSTITUTO POLITECNICO DE KIEV</t>
  </si>
  <si>
    <t>INSTITUTO POLITECNICO DE VINNITSA - RUSIA</t>
  </si>
  <si>
    <t>INSTITUTO DE ARQUITECTURA DE VENECIA - ITALIA</t>
  </si>
  <si>
    <t>INDIANA INSTITUTE OF TECHNOLOGY</t>
  </si>
  <si>
    <t>UNIVERSIDAD TECNICA ESTATAL DE DONETSK - UCRANIA</t>
  </si>
  <si>
    <t>UNIVERSIDAD DE ZULIA - VENEZUELA</t>
  </si>
  <si>
    <t>IDAHO STATE COLLEGE - USA.</t>
  </si>
  <si>
    <t>WENTWORH INSTITUTE OF TECHNOLOGY</t>
  </si>
  <si>
    <t>UNIVERSIDAD NACIONAL DE LA PLATA - ARGENTINA</t>
  </si>
  <si>
    <t>INSTITUTO DE INGENIERIA CIVIL DE MOSCU V.V. KUIBISHEV</t>
  </si>
  <si>
    <t>INSTITUTO HIDROMETEOROLOGICO DE LENINGRADO</t>
  </si>
  <si>
    <t>PRATT INSTITUTE - EE.UU.</t>
  </si>
  <si>
    <t>UNIVERSIDAD CENTRAL DEL ECUADOR</t>
  </si>
  <si>
    <t>INSTITUTO POLITECNICO M.I. KALININ DE LENINGRADO</t>
  </si>
  <si>
    <t>DIE BERGAKADEMIE CLAUSTHAL TECHNISCHE HOCHSCHULE</t>
  </si>
  <si>
    <t>INST.MOSCOVITA DE INV. GEOLOGICAS SERGO ORDJONIQUIDZE</t>
  </si>
  <si>
    <t>UNIVERSIDAD DE GUAYAQUIL - ECUADOR</t>
  </si>
  <si>
    <t>UNIVERSIDAD DE BUENOS AIRES - ARGENTINA</t>
  </si>
  <si>
    <t>THE SOUTHEAST MISSOURI STATE UNIVERSITY</t>
  </si>
  <si>
    <t>UNIVERSIDAD TECNICA DE BERLIN</t>
  </si>
  <si>
    <t>PONTIFICIA UNIVERSIDAD CATOLICA DEL ECUADOR-ECUADOR</t>
  </si>
  <si>
    <t>TEXAS A &amp; M UNIVERSITY - U.S.A.</t>
  </si>
  <si>
    <t>UNIVERSIDAD NACIONAL AUTONOMA - MEXICO</t>
  </si>
  <si>
    <t>UNIVERSIDAD DE BRASILIA</t>
  </si>
  <si>
    <t>L UNIVERSITE DE L ETAT A LIEGE</t>
  </si>
  <si>
    <t>INSTITUTO DE INGENIERIA CIVIL DE ODESA</t>
  </si>
  <si>
    <t>UNIVERSIDAD DE FLORIDA - EE.UU.</t>
  </si>
  <si>
    <t>UNIDAD PEDAGOGICA DE ARQUITECTURA DE VERSALLES - FRANCIA</t>
  </si>
  <si>
    <t>INSTITUTO POLITECNICO DE JARKOV V.I. LENIN</t>
  </si>
  <si>
    <t>UNIVERSITY OF CINCINNATI OHIO - EE.UU.</t>
  </si>
  <si>
    <t>UNIVERSIDAD CATOLICA DE BUENOS AIRES - ARGENTINA</t>
  </si>
  <si>
    <t>HOKKAIDO UNIVERSITY SAPPORO - JAPON</t>
  </si>
  <si>
    <t>INSTITUTO DE TECNOLOGIA DE MASSACHUSETTS - U.S.A.</t>
  </si>
  <si>
    <t>POLITECNICO DE MILAN - ITALIA</t>
  </si>
  <si>
    <t>GEORGIA INSTITUTE OF TECHNOLOGY - ATLANTA</t>
  </si>
  <si>
    <t>UNIVERSIDAD DE CALIFORNIA -EE.UU.</t>
  </si>
  <si>
    <t>UNIVERSIDAD DE RIO DE JANEIRO - BRASIL</t>
  </si>
  <si>
    <t>UNIVERSIDAD POLYTECHNIC OF THE SOUTH BANK LONDRES</t>
  </si>
  <si>
    <t>UNIVERSIDAD AUTONOMA DE NUEVO LEON - MONTERREY</t>
  </si>
  <si>
    <t>UNIVERSIDAD DE GRENOBLE - FRANCIA</t>
  </si>
  <si>
    <t>UNIVERSIDAD NACIONAL DE PANAMA</t>
  </si>
  <si>
    <t>UNIVERSITY AUBURN - EE.UU.</t>
  </si>
  <si>
    <t>INSTITUTO POLITECNICO ORDEN LENIN DE L VOV</t>
  </si>
  <si>
    <t>MAYOR DE SAN ANDRES LA PAZ BOLIVIA</t>
  </si>
  <si>
    <t>ILLINOIS INSTITUTE OF TECHNOLOGY - EE.UU.</t>
  </si>
  <si>
    <t>FUNDACION UNIVERSIDAD CENTRAL</t>
  </si>
  <si>
    <t>UNIVERSIDAD NACIONAL DE INGENIERIA DEL PERU</t>
  </si>
  <si>
    <t>UNIVERSITY OF NEW YORK</t>
  </si>
  <si>
    <t>THE GEORGE WASHINGTON UNIVERSITY</t>
  </si>
  <si>
    <t>INSTITUTO UNIVERSIDAD DE CONSTRUCCION DE BUCAREST - RUMANIA</t>
  </si>
  <si>
    <t>UNIVERSIDAD TECNICA DE DESDREN - ALEMANIA</t>
  </si>
  <si>
    <t>UNIVERSIDAD DEL AMAZONAS - MANAOS - BRASIL</t>
  </si>
  <si>
    <t>UNIVERSIDAD DE PITTSBURG - PENSILVANIA</t>
  </si>
  <si>
    <t>INSTITUTO SUPERIOR DE CONST. DE MAQUINAS V.I. CHUBAR</t>
  </si>
  <si>
    <t>INSTITUTO DE CONS. DE MAQUINARIA DE VOROSHILOVGRADO</t>
  </si>
  <si>
    <t>ESCUELA SUPERIOR DE ESTUDIOS PROF. OTTO VON GUERICKE</t>
  </si>
  <si>
    <t>INSTITUTO SUPERIOR ENERGETICO DE MOSCU - RUSIA</t>
  </si>
  <si>
    <t>INSTITUTO ROSTOV DE INGENIERIA CIVIL - RUSIA</t>
  </si>
  <si>
    <t>THE UNIVERSITY OF TENNSSE - KNOVILLE</t>
  </si>
  <si>
    <t>UNIVERSIDAD TECNICA DE BUDAPEST - HUNGRIA</t>
  </si>
  <si>
    <t>UNIVERSIDAD FEMENINA DEL SAGRADO CORAZON - LIMA</t>
  </si>
  <si>
    <t>INSTITUTO DE ARQUITECTURA ION MINCU</t>
  </si>
  <si>
    <t>INSTITUTO DE HIDROBONIFICACION DE MOSCU - RUSIA</t>
  </si>
  <si>
    <t>INSTITUTO SUPERIOR POLITECNICO JULIO A. MELLA - CUBA</t>
  </si>
  <si>
    <t>INSTITUTO TECNOLOGICO Y DE ESTUDIOS SUPERIORES DE MONTERREY-MEXICO</t>
  </si>
  <si>
    <t>INSTITUTO DE INGENIEROS DE TRANSPORTE FERROVIARIO - MOSCU</t>
  </si>
  <si>
    <t>ACADEMIA DE MINAS Y METALURGIA STANISLAV - POLONIA</t>
  </si>
  <si>
    <t>INSTITUTO DE MINAS G.V PLEJANOV DE LENINGRADO - U.R.S.S.</t>
  </si>
  <si>
    <t>CENTRO DE LA CONSTRUCCION DE PARIS - FRANCIA</t>
  </si>
  <si>
    <t>UNIVERSIDAD CENTRAL DE VENEZUELA-VENEZUELA</t>
  </si>
  <si>
    <t>UNIVERSIDAD DE COSTA RICA - COSTA RICA</t>
  </si>
  <si>
    <t>UNIVERSIDAD DE MINERIA DE FREIBERG - ALEMANIA</t>
  </si>
  <si>
    <t>INSTITUTO ELECTROTECNICO DE COMUNICACIONES</t>
  </si>
  <si>
    <t>L UNIVERSITA DEGLI STUDI DI NAPOLI - ITALIA</t>
  </si>
  <si>
    <t>UNIVERSIDAD DE CHILE - CHILE</t>
  </si>
  <si>
    <t>CALIFORNIA STATE UNIVERSITY SACRAMENTO</t>
  </si>
  <si>
    <t>INSTITUTO DE INGENIEROS DE LA AVIACION CIVIL DE RIGA</t>
  </si>
  <si>
    <t>UNIVERSIDAD DE PENSYLVANIA - EE.UU.</t>
  </si>
  <si>
    <t>UNIVERSIDAD FEDERAL DE SANTA MARIA - BRASIL</t>
  </si>
  <si>
    <t>UNIVERSITA DEGLI STUDI DI CATANIA ITALIA</t>
  </si>
  <si>
    <t>THE UNIVERSITY OF DAYTON - OHIO</t>
  </si>
  <si>
    <t>INSTITUTO SUPERIOR DE INGENIERIA MECANICA Y ELECTROTEC.</t>
  </si>
  <si>
    <t>INSTITUTO DE MOSCU PARA INGENIEROS DE LA AGRICULTURA</t>
  </si>
  <si>
    <t>ESCUELA TEC. SUP. DE ARQUITECTURA DE MADRID - ESPAÑA</t>
  </si>
  <si>
    <t>ESCUELA TEC. SUP. DE ARQ. DE LA U.POLITECNICA DE MADRID</t>
  </si>
  <si>
    <t>UNIVERSITY OF NORTH DAKOTA</t>
  </si>
  <si>
    <t>INSTITUTO TECNICO DE PESCA DE ASTRAKHAN</t>
  </si>
  <si>
    <t>INSTITUTO POLITECNICO DE ODESA - RUSIA</t>
  </si>
  <si>
    <t>UNIVERSIDAD FEDERAL DE MINAS GERAIS - BRASIL</t>
  </si>
  <si>
    <t>UNIVERSIDAD BOLIVIANA TECNICA DE ORURO - BOLIVIA</t>
  </si>
  <si>
    <t>INSTITUTO DE ING. DE CONSTRUCCION DE KIEV</t>
  </si>
  <si>
    <t>INSTITUTO DE ING. DE CONSTRUCCION DE JARKOV - UCRANIA</t>
  </si>
  <si>
    <t>INSTITUTO DE INGENIERIA DE LA CONSTRUCCION DE LENINGRADO</t>
  </si>
  <si>
    <t>ACADEMIA DE ARTES Y DISEÑO BEZALEL</t>
  </si>
  <si>
    <t>INSTITUTO MOSCOVITA DE LA INDUSTRIA PETROQUIMICA Y DEL GAS GUBKIN</t>
  </si>
  <si>
    <t>INSTITUTO POLITECNICO DE VLADIMIR - U.R.S.S.</t>
  </si>
  <si>
    <t>INSTITUTO POLITECNICO DE BUCAREST- RUMANIA</t>
  </si>
  <si>
    <t>INSTITUTO POLITECNICO DE KHARVOV</t>
  </si>
  <si>
    <t>UNIVERSIDAD DE KANSAS - EE.UU</t>
  </si>
  <si>
    <t>UNIVERSIDAD DE TEXAS - EE.UU</t>
  </si>
  <si>
    <t>UNIVERSIDAD DE ILLINOIS - EE.UU.</t>
  </si>
  <si>
    <t>ISRAEL INSTITUTE OF TECHNOLOGY - ISRAEL</t>
  </si>
  <si>
    <t>UNIVERSIDAD DE NAIROBI - KENIA</t>
  </si>
  <si>
    <t>INSTITUTO DE TECNOLOGIA DE NEW YORK</t>
  </si>
  <si>
    <t>UNIVERSIDAD DEL ESTADO KENT OHIO</t>
  </si>
  <si>
    <t>UNIVERSIDAD DE PERNAMBUCO - BRASIL</t>
  </si>
  <si>
    <t>ESCUELA NACIONAL SUPERIOR DE MINAS DE SAINT- ETIENNE</t>
  </si>
  <si>
    <t>THE SOUTHERN CALIFORNIA INSTITUTE OF ARCHITECTURE</t>
  </si>
  <si>
    <t>INSTITUTO POLITECNICO DE TIMISOARA</t>
  </si>
  <si>
    <t>INSTITUTO POLITECNICO NACIONAL - MEXICO</t>
  </si>
  <si>
    <t>INSTITUTO POLITECNICO DI TORINO - ITALIA</t>
  </si>
  <si>
    <t>NUEVA AMERICA FUNDACION DE EDUCACION SUPERIOR</t>
  </si>
  <si>
    <t>INSTITUTO SUPERIOR DE INGENIERIA CIVIL DE SOFIA - BULGARIA</t>
  </si>
  <si>
    <t>UNIVERSIDAD DE GINEBRA</t>
  </si>
  <si>
    <t>UNIVERSIDAD DE BILBAO - ESPAÑA</t>
  </si>
  <si>
    <t>ESCUELA NACIONAL DE INGENIERIA TECNICA - PERU</t>
  </si>
  <si>
    <t>UNIVERSIDAD TECNICA DE CRACOVIA - POLONIA</t>
  </si>
  <si>
    <t>UNIVERSIDAD NACIONAL DE ROSARIO - ARGENTINA</t>
  </si>
  <si>
    <t>UNIVERSIDAD DE MONTERREY - MEXICO</t>
  </si>
  <si>
    <t>UNIVERSIDAD DEL ESTADO B. M. E. GENT - BELGICA</t>
  </si>
  <si>
    <t>CORNELL UNIVERSITY</t>
  </si>
  <si>
    <t>UNIVERSIDAD DE VIRGINIA - CHARLOTTESVILLE</t>
  </si>
  <si>
    <t>UNIVERSIDAD CATOLICA DE VALPARAISO - CHILE</t>
  </si>
  <si>
    <t>UNIVERSIDAD DE BRASIL</t>
  </si>
  <si>
    <t>UNIVERSIDAD DE PURDUE - EE.UU.</t>
  </si>
  <si>
    <t>ACADEMIA REAL DE BELLAS ARTES DE BRUSELAS - BELGICA</t>
  </si>
  <si>
    <t>DEGLI STUDI DI ROMA - ITALIA</t>
  </si>
  <si>
    <t>SAN CARLOS - GUATEMALA</t>
  </si>
  <si>
    <t>INSTITUTO DE MINERIA DE KRIVOI ROG. RUSIA</t>
  </si>
  <si>
    <t>ESCUELA SUP. DE ESTUDIOS PROFESIONALES DE REGENSBURG</t>
  </si>
  <si>
    <t>UNIVERSIDAD DE CUENCA - ECUADOR</t>
  </si>
  <si>
    <t>ESC. TECNICA SUPERIOR DE INGENIEROS INDUSTRIALES DE SAN SEBASTIAN - NAVARRA</t>
  </si>
  <si>
    <t>UNIVERSIDAD DE YACAMBU - VENEZUELA</t>
  </si>
  <si>
    <t>MINISTERIO DEL MEDIO AMBIENTE DE LA VIDA - REP.FRANCESA</t>
  </si>
  <si>
    <t>UNIVERSIDAD DE URSS</t>
  </si>
  <si>
    <t>UNIVERSIDAD DE CLEMSON - U.S.A.</t>
  </si>
  <si>
    <t>U.UTAH STATE UNIVERSITY</t>
  </si>
  <si>
    <t>UNIVERSIDAD TECNOLOGICA DE MICHIGAN - EE.UU.</t>
  </si>
  <si>
    <t>UNIVERSIDAD TECNOLOGICA DE MUNICH</t>
  </si>
  <si>
    <t>UNIVERSIDAD DE ROMA</t>
  </si>
  <si>
    <t>UNIVERSIDAD SANTA MARIA - VENEZUELA</t>
  </si>
  <si>
    <t>UNIVERSIDAD TECNICA DE POZNAN</t>
  </si>
  <si>
    <t>UNIVERSIDAD PARTICULAR RICARDO PALMA - ARGENTINA</t>
  </si>
  <si>
    <t>INSTITUTO DE ARQUITECTURA DE RUMANIA</t>
  </si>
  <si>
    <t>UNIVERSIDAD TRI STATE ANGOLA INDIANA</t>
  </si>
  <si>
    <t>INSTITUTO TECNICO DE ESTUDIOS SUPERIORES DE OCCIDENTE - ITESO</t>
  </si>
  <si>
    <t>SOUTHERN ILLINIOS UNIVERSITY - ILLINOIS</t>
  </si>
  <si>
    <t>INSTITUTO POLITECNICO TRIAN VUIA TIMISOARA</t>
  </si>
  <si>
    <t>INSTITUTO SUPERIOR DE ARQUITECTURA Y CONSTRUCCION</t>
  </si>
  <si>
    <t>UNIVERSIDAD FEDERAL DO PARA - BRASIL</t>
  </si>
  <si>
    <t>CONSERVATORIO NACIONAL DE ARTES Y OFICIOS DE FRANCIA</t>
  </si>
  <si>
    <t>UNIVERSIDAD DE LUISIANA - EE.UU.</t>
  </si>
  <si>
    <t>UNIVERSIDAD DE RIO GRANDE DO SUL - BRASIL</t>
  </si>
  <si>
    <t>UNIVERSIDAD CENTRAL DE QUITO - ECUADOR</t>
  </si>
  <si>
    <t>UNIVERSIDAD DEGLISTUDY - ITALIA</t>
  </si>
  <si>
    <t>UNIVERSITY OF WISCONSIN - MILWAUKEE</t>
  </si>
  <si>
    <t>UNIVERSIDAD NACIONAL DE NAPOLES - ITALIA</t>
  </si>
  <si>
    <t>UNIVERSIDAD DE MACKENZIE DE SAO PAULO</t>
  </si>
  <si>
    <t>UNIVERSIDAD DE LA REPUBLICA - URUGUAY</t>
  </si>
  <si>
    <t>UNIVERSIDAD CATOLICA DE AMERICA - WASHINGTON - EE.UU.</t>
  </si>
  <si>
    <t>UNIVERSIDAD DE LA GRAN BRETAÑA</t>
  </si>
  <si>
    <t>UNIVERSIDAD ESTATAL DE OHIO</t>
  </si>
  <si>
    <t>U.ESCUELA ESTATAL PARA INGENIERIA DE LA CONSTRUCCION</t>
  </si>
  <si>
    <t>UNIVERSIDAD DE LOS ESTUDIOS DE GENOVA - ITALIA</t>
  </si>
  <si>
    <t>UNIVERSIDAD DE MISSOURI - EE.UU.</t>
  </si>
  <si>
    <t>UNIVERSIDAD AUTONOMA METROPOLITANA - MEXICO</t>
  </si>
  <si>
    <t>UNIVERSITY OF IOWA - ESTADOS UNIDOS</t>
  </si>
  <si>
    <t>OF. NORTH CAROLINA STATE COLLEGE</t>
  </si>
  <si>
    <t>UNIVERSIDAD DE HARVARD - EE.UU.</t>
  </si>
  <si>
    <t>ROYAL INSTITUTE OF BRITISH ARCHITECTS</t>
  </si>
  <si>
    <t>UNIVERSIDAD DE PUERTO RICO</t>
  </si>
  <si>
    <t>UNIVERSIDAD DE BAHIA - BRASIL</t>
  </si>
  <si>
    <t>CORPORACION UNIVERSITARIA LASALLISTA DE MEDELLIN</t>
  </si>
  <si>
    <t>UNIVERSITY OF ILLINOIS - CHICAGO</t>
  </si>
  <si>
    <t>UNIVERSIDAD AUTONOMA DE PUEBLA - MEXICO</t>
  </si>
  <si>
    <t>LEHIGH UNIVERSITY</t>
  </si>
  <si>
    <t>UNIVERSIDAD NORDESTANA</t>
  </si>
  <si>
    <t>UNIVERSIDAD TECNOLOGICA DE ORURO - BOLIVIA</t>
  </si>
  <si>
    <t>UNIVERSIDAD DE MINAS DE GERAIS - BRASIL</t>
  </si>
  <si>
    <t>UNIVERSIDAD NACIONAL DE CORDOBA - ARGENTINA</t>
  </si>
  <si>
    <t>INDIANA TECHNICAL COLLEGE U.S.A.</t>
  </si>
  <si>
    <t>INSTITUTO METALURGICO DE ZHDANOV - RUSIA</t>
  </si>
  <si>
    <t>COOPER UNION - NUEVA YORK</t>
  </si>
  <si>
    <t>UNIVERSIDAD TECNICA Y NAUTICA ESTATAL DE LUBEK</t>
  </si>
  <si>
    <t>INSTITUTO DE AUTOMOVILES Y CARRETERAS DE MOSCU</t>
  </si>
  <si>
    <t>INSTITUTO DE VIAS AUTOMOVILISTICAS DE MOSCU</t>
  </si>
  <si>
    <t>PONTIFICIA UNIVERSIDAD CATOLICA MADRE Y MAESTRA</t>
  </si>
  <si>
    <t>UNIVERSIDAD DE LA GUAJIRA</t>
  </si>
  <si>
    <t>UNIVERSIDAD LA GRAN COLOMBIA SEDE ARMENIA</t>
  </si>
  <si>
    <t>UNIVERSIDAD RICARDO PALMA - PERU</t>
  </si>
  <si>
    <t>ACADEMIA ROYALE - BRUSELAS</t>
  </si>
  <si>
    <t>DRUZHBA NARODOV AMISTAD DE LOS PUEBLOS MOSCU - RUSIA</t>
  </si>
  <si>
    <t>UNIVERSIDAD DE RECIFE PERNAMBUCO - BRASIL</t>
  </si>
  <si>
    <t>UNIVERSIDAD DE HAITI</t>
  </si>
  <si>
    <t>UNIVERSIDAD TECNICA DE GDANSK - POLONIA</t>
  </si>
  <si>
    <t>UNIVERSIDAD INTERNACIONAL DE LA FLORIDA - EE.UU</t>
  </si>
  <si>
    <t>UNIVERSIDAD DE LOS ESTUDIOS DE FLORENCIA - ITALIA</t>
  </si>
  <si>
    <t>THE UNITED STATES AIR FORCE ACADEMY</t>
  </si>
  <si>
    <t>CORPORACION UNIVERSIDAD PILOTO DE COLOMBIA - ALTO MAGDALENA</t>
  </si>
  <si>
    <t>UNIVERSIDAD TECNICA DE DELFT - HOLANDA</t>
  </si>
  <si>
    <t>RHODE ISLAND SCHOOL OF DESIGN - USA</t>
  </si>
  <si>
    <t>HOCHSCHULE FBK - ALEMANIA</t>
  </si>
  <si>
    <t>UNIVERSIDAD DE TORONTO - CANADA</t>
  </si>
  <si>
    <t>UNIVERSIDAD NACIONAL MAYOR DE SAN MARCOS - LIMA</t>
  </si>
  <si>
    <t>ACADEMIA DE METALURGIA Y MINERIA DE CRACOVIA</t>
  </si>
  <si>
    <t>UNIVERSIDAD CUAUHTEMOC - MEXICO</t>
  </si>
  <si>
    <t>UNIVERSIDAD AUTONOMA DE GUADALAJARA - MEXICO</t>
  </si>
  <si>
    <t>UNIVERSITY OF CENTRAL FLORIDA - ORLANDO</t>
  </si>
  <si>
    <t>HEALD ENGINEERING COLLEGE - SAN FRANCISCO</t>
  </si>
  <si>
    <t>ESCUELA SUPERIOR DE INGENIERIA MARITIMA DE ODESSA</t>
  </si>
  <si>
    <t>INSTITUTO DE INGENIEROS DE LA FLOTA MARITIMA DE ODESSA</t>
  </si>
  <si>
    <t>UNIVERSIDAD NACIONAL DE BUENOS AIRES - ARGENTINA</t>
  </si>
  <si>
    <t>UNIVERSIDAD DE MAINE - ORONO</t>
  </si>
  <si>
    <t>INSTITUTO SUPERIOR POLITECNICO JOSE ANTONIO ECHEVERRIA - CUBA</t>
  </si>
  <si>
    <t>UNIVERSIDAD DE LUND - SUECIA</t>
  </si>
  <si>
    <t>UNIVERSIDAD TECNICA DE KOSICE - CHECOSLOVAQUIA</t>
  </si>
  <si>
    <t>UNIVERSIDAD DE LOS ANDES - VENEZUELA</t>
  </si>
  <si>
    <t>THE GEORGIA INSTITUTE OF TECHNOLOGY - ESTADOS UNIDOS</t>
  </si>
  <si>
    <t>THE UNIVERSITY OF FLORIDA GAINESVILLE - U.S.A.</t>
  </si>
  <si>
    <t>UNIVERSIDAD PEDAGOGICA Y TECNOLOGICA DE COLOMBIA - SOGAMOSO</t>
  </si>
  <si>
    <t>UNIVERSIDAD NACIONAL DE RIO DE JANEIRO - BRASIL</t>
  </si>
  <si>
    <t>UNIVERSIDAD DE SAN BUENAVENTURA</t>
  </si>
  <si>
    <t>UNIVERSIDAD DE SAN BUENAVENTURA - MEDELLIN</t>
  </si>
  <si>
    <t>UNIVERSIDAD NACIONAL DEL BRASIL</t>
  </si>
  <si>
    <t>ACADEMIA POLITECNICA ESTATAL DE BIELORRUSIA</t>
  </si>
  <si>
    <t>THE UNITED STATES INTERNATIONAL UNIVERSITY</t>
  </si>
  <si>
    <t>INSTITUTO PETROQUIMICO DE MOSCU - RUSIA</t>
  </si>
  <si>
    <t>UNIVERSIDAD FEDERAL DO CEARA - BRASIL</t>
  </si>
  <si>
    <t>UNIVERSIDAD AUTONOMA DEL ESTADO DE MORELOS- MEXICO</t>
  </si>
  <si>
    <t>UNIVERSIDAD DE CORNELL - EE.UU</t>
  </si>
  <si>
    <t>UNIVERSIDAD ICESI</t>
  </si>
  <si>
    <t>UNIVERSIDAD DEL NORTE - MONTERREY MEXICO</t>
  </si>
  <si>
    <t>THE ARCHITECTURAL ASSOCIATION LONDRES - GRAN BRETAÑA</t>
  </si>
  <si>
    <t>POLITECNICO DI MILANO - ITALIA</t>
  </si>
  <si>
    <t>UNIVERSIDAD POLITECHNIKA WROCLAWSKA POLONIA</t>
  </si>
  <si>
    <t>UNIVERSIDAD TECNICA ESTATAL DE SAN PETERSBURGO RUSIA</t>
  </si>
  <si>
    <t>ESCUELA SUPERIOR TECNICA DE COLONIA ALEMANIA</t>
  </si>
  <si>
    <t>INSTITUTO DE INGENIEROS DE GEODESIA DE MOSCU</t>
  </si>
  <si>
    <t>UNIVERSIDAD KIEV - UNION SOVIETICA</t>
  </si>
  <si>
    <t>L ECOLE NATIONALE SUPERIEURE DES BEAUX - ARTS - FRANCIA</t>
  </si>
  <si>
    <t>INSTITUTO DE PROSPECCION GEOLOGICA DE MOSCU</t>
  </si>
  <si>
    <t>UNIVERSIDAD TECNICA DE INDIANA - EE.UU.</t>
  </si>
  <si>
    <t>UNIVERSIDAD DE MCGILL - MONTREAL CANADA</t>
  </si>
  <si>
    <t>UNIVERSIDAD TECNOLOGICA NACIONAL DE KAZAJSTAN - U.R.S.S.</t>
  </si>
  <si>
    <t>INSTITUTO DE MINERIA DE KRIVOI ROG - U.R.S.S.</t>
  </si>
  <si>
    <t>ACADEMIA ESTATAL DE CONSTRUCCION DE ROSTOV</t>
  </si>
  <si>
    <t>CASE WESTERN RESERVE - U.S.A.</t>
  </si>
  <si>
    <t>ESCUELA TECNICA SUPERIOR DE ILMENAU</t>
  </si>
  <si>
    <t>INSTITUTO DE INGENIERIA Y CONS.DE ROSTOV DEL DON</t>
  </si>
  <si>
    <t>UNIVERSIDAD DE MONTREAL - CANADA</t>
  </si>
  <si>
    <t>THE TRUSTEES OF RHODE ISLAND SCHOOL OF DESIGN</t>
  </si>
  <si>
    <t>ESCUELA SUPERIOR DE HIDROMETEOROLOGIA DE TACHKENT - U.R.S.S.</t>
  </si>
  <si>
    <t>ESCUELA PPAL DE ECONOMIA RURAL-ACAD. AGRICULTURA-VARSOVIA</t>
  </si>
  <si>
    <t>INSTITUTO DE INGENIERIA DE CONSTRUCCION DE POLTAVA</t>
  </si>
  <si>
    <t>INSTITUTO POLITECNICO DE LAS FUERZAS ARMADAS NACIONALES - VENEZUELA</t>
  </si>
  <si>
    <t>UNIVERSIDAD CATOLICA DE SANTIAGO DE GUAYAQUIL - ECUADOR</t>
  </si>
  <si>
    <t>ESCUELA SUPERIOR DE AGRICULTURA U. MENDEL REPUB. CHECA</t>
  </si>
  <si>
    <t>WORCESTER POLTECHNIC INSTITUTE MASSACHUSETTES - USA</t>
  </si>
  <si>
    <t>INSTITUTO DE INGENIERIA CIVIL DE KIEV - UCRANIA</t>
  </si>
  <si>
    <t>UNIVERSIDAD NACIONAL EXPERIMENTAL RAFAEL MARIA BARLT - VENEZUELA</t>
  </si>
  <si>
    <t>ESCUELA DE ARQUITECTURA PARIS</t>
  </si>
  <si>
    <t>L ECOLE D ARCHITECTURE DE VERSALLES - PARIS FRANCIA</t>
  </si>
  <si>
    <t>FUNDACION POLITECNICO GRANCOLOMBIANO</t>
  </si>
  <si>
    <t>UNIVERSIDAD TECNICA DE KIRGUIZIA - BISHKEK EX-U.R.S.S.</t>
  </si>
  <si>
    <t>OKLAHOMA AGRICULTURAL AND MECHANICAL COL. DE STILWATER</t>
  </si>
  <si>
    <t>UNIVERSIDAD DE VYTAUTAS EL GRANDE</t>
  </si>
  <si>
    <t>UNIVERSIDAD FEDERAL DE BAHIA - BRASIL</t>
  </si>
  <si>
    <t>ESCUELA SUPERIOR TECNICA FEDERAL DE ZURICH</t>
  </si>
  <si>
    <t>UNIVERSIDAD DE MUNSTER - ALEMANIA</t>
  </si>
  <si>
    <t>THE SOUTHERN ILLINOIS UNIVERSITY</t>
  </si>
  <si>
    <t>UNIVERSIDAD NACIONAL DE SAN AGUSTIN DE AREQUIPA - PERU</t>
  </si>
  <si>
    <t>ESCUELA SUPERIOR TECNICA DE DELFT - HOLANDA</t>
  </si>
  <si>
    <t>INSTITUTO POLITECNICO DE BRUSELAS - BELGICA</t>
  </si>
  <si>
    <t>UNIVERSIDAD DE HOWARD - DISTRITO DE COLUMBIA</t>
  </si>
  <si>
    <t>UNIVERSIDAD DE FILIPINAS</t>
  </si>
  <si>
    <t>UNIVERSIDAD FEDERAL DO RIO GRANDE DO SUL BRASIL</t>
  </si>
  <si>
    <t>UNIVERSIDAD AMISTAD DE LOS PUEBLOS - RUSIA</t>
  </si>
  <si>
    <t>UNIVERSIDAD DE LOUSIVILLE ESTADO DE KENTUCHKY - EE.UU.</t>
  </si>
  <si>
    <t>POLITECNICA DE WROCLAW - POLONIA</t>
  </si>
  <si>
    <t>FUNDACION UNIVERSITARIA DEL AREA ANDINA</t>
  </si>
  <si>
    <t>INSTITUTO DE ING. DE GEODESIA AEROFOTOGRAFIA Y CARTOGRAFIA MOSCU</t>
  </si>
  <si>
    <t>INSTITUTO SUPERIOR DE ARQUITECTURA - MEXICO D.F.</t>
  </si>
  <si>
    <t>UNIVERSIDAD METROPOLITANA - VENEZUELA</t>
  </si>
  <si>
    <t>L UNIVERSITA DEGLI STUDI DI FIRENZA - ITALIA</t>
  </si>
  <si>
    <t>THE LAMAR UNIVERSITY - BEAUMONT TEXAS</t>
  </si>
  <si>
    <t>CORPORACION AUTONOMA UNIVERSITARIA DE MANIZALES</t>
  </si>
  <si>
    <t>UNIVERSIDAD DE MICHIGAN - EE.UU.</t>
  </si>
  <si>
    <t>UNIVERSIDAD ESTATAL TECNICA DE TVER - U.R.S.S.</t>
  </si>
  <si>
    <t>INSTITUTO METALURGICO DE MARIUPOL</t>
  </si>
  <si>
    <t>UNIVERSIDAD CATOLICA DE CORDOBA - ARGENTINA</t>
  </si>
  <si>
    <t>ACADEMIA DE ARQUITECTURA DE AMSTERDAM - HOLANDA</t>
  </si>
  <si>
    <t>UNIVERSIDAD DE SAO PAULO - BRASIL</t>
  </si>
  <si>
    <t>UNIVERSIDAD RAFAEL URDANETA - VENEZUELA</t>
  </si>
  <si>
    <t>ESCUELA ESP. DE OBRAS PUBLICAS DE LA CONSTRUC. Y DE LA IND.</t>
  </si>
  <si>
    <t>ESCUELA DE INGENIERIA DEL TRIANGULO MINEIRO - BRASIL</t>
  </si>
  <si>
    <t>FACULDADE DE ENGENHARIA FUNDACAO MINEIRA DE EDUC. E. CUL.</t>
  </si>
  <si>
    <t>UNIVERSIDAD NACIONAL EXPERIMENTAL DEL TACHIRA - VENEZUELA</t>
  </si>
  <si>
    <t>INSTITUTO SUPERIOR POLITECNICO DE AZERBAIDHZHAN BAKU - U.R.S.S.</t>
  </si>
  <si>
    <t>ESCUELA SUPERIOR DE MINAS EN OSTRAVA - REP.CHECA</t>
  </si>
  <si>
    <t>UNIVERSIDAD DE ORIENTE - BOLIVAR - VENEZUELA</t>
  </si>
  <si>
    <t>UNIVERSIDAD POLITECNICA DE PUERTO RICO</t>
  </si>
  <si>
    <t>POLITECNICO COLOMBIANO JAIME ISAZA CADAVID</t>
  </si>
  <si>
    <t>UNIVERSIDAD NACIONAL PEDRO HENRIQUEZ UREÑA-REP. DOMINIC.</t>
  </si>
  <si>
    <t>UNIVERSIDAD ESTATAL DE IOWA DE CIENCIAS Y TECNOLOGIA</t>
  </si>
  <si>
    <t>UNIVERSIDAD TECNICA DEL NORTE - IBARRA - ECUADOR</t>
  </si>
  <si>
    <t>UNIVERSIDAD JOSE MARIA VARGAS - VENEZUELA</t>
  </si>
  <si>
    <t>RHEINISCH-WESTFALISCHE TECHNISCHE HOCHSCHULE AACHEN - ALEMANIA</t>
  </si>
  <si>
    <t>UNIVERSIDAD POLITECNICA DE MADRID - ESPAÑA</t>
  </si>
  <si>
    <t>GEORGE WASHINGTON UNIVERSITY</t>
  </si>
  <si>
    <t>UNIVERSIDAD DE MISSOURI - COLUMBIA</t>
  </si>
  <si>
    <t>INSTITUTO TECNOLOGICO DE DURANGO</t>
  </si>
  <si>
    <t>INSTITUTO DE INGENIERIA URBANA JARCOV - U.R.S.S.</t>
  </si>
  <si>
    <t>UNIVERSIDAD NACIONAL FEDERICO VILLARREAL - PERU</t>
  </si>
  <si>
    <t>ESCUELA NACIONAL SUPERIOR DE BELLAS ARTES UP8 - PARIS</t>
  </si>
  <si>
    <t>INSTITUTO ESTATAL HIDROMETEOROLOGICO DE RUSIA - SAN PETERSBURGO U.R.S.S.</t>
  </si>
  <si>
    <t>UNIVERSIDAD ESTATAL DE MOSCU DE ING. DEL MEDIO AMBIENTE</t>
  </si>
  <si>
    <t>UNIVERSIDAD AUTONOMA DE NUEVO LEON MONTERREY - MEXICO</t>
  </si>
  <si>
    <t>UNIVERSIDAD DE SIRACUSA - NEW YORK</t>
  </si>
  <si>
    <t>REAL ACADEMIA DANESA DE BELLAS ARTES - COPENHAGUE</t>
  </si>
  <si>
    <t>PRATT INSTITUTE NEW YORK - ESTADOS UNIDOS</t>
  </si>
  <si>
    <t>PONTIFICIA UNIVERSIDAD CATOLICA DE MINAS GERAIS</t>
  </si>
  <si>
    <t>UNIVERSIDAD DE NOTRE DAME DU LAC INDIANA - EE.UU.</t>
  </si>
  <si>
    <t>FLORIDA AGRICULTURAL AND MECHANICAL UNIVERSITY FLORIDA-EE.UU</t>
  </si>
  <si>
    <t>ECOLE SPECIALED ARCHITECURE PARIS - FRANCIA</t>
  </si>
  <si>
    <t>UNIVERSITY OF MARYLAND CATHOLIC UNIVERSITY OF AMERICA</t>
  </si>
  <si>
    <t>ESCUELA DE ARQUITECTURA DE VERSALLES - PARIS</t>
  </si>
  <si>
    <t>ACADEMIA ESTATAL DE PETROLEO Y GAS GUPKIN - MOSCU</t>
  </si>
  <si>
    <t>FUNDACION UNIVERSITARIA MANUELA BELTRAN UMB</t>
  </si>
  <si>
    <t>UNIVERSIDAD NACIONAL ABIERTA - VENEZUELA</t>
  </si>
  <si>
    <t>UNIVERSIDAD DE WISCONSIN RIVER FALLS - EE.UU.</t>
  </si>
  <si>
    <t>INSTITUTO DE INGENIERIA DE TRANSPORTE DE PETERSBURGO</t>
  </si>
  <si>
    <t>TEXAS A &amp; M UNIVERSITY - KINGSVILLE  ESTADOS UNIDOS</t>
  </si>
  <si>
    <t>ESCUELA DE ARQUITECTURA Y CONSTRUCCION DE MINSK - U.R.S.S.</t>
  </si>
  <si>
    <t>INSTITUTE CATHOLIQUE D ARTS ET METIERS FRANCIA</t>
  </si>
  <si>
    <t>FACHHOSCHULE KONSTANZ</t>
  </si>
  <si>
    <t>UNIVERSIDAD ANTONIO NARIÑO - CALI</t>
  </si>
  <si>
    <t>UNIVERSIDAD ANTONIO NARIÑO - TUNJA</t>
  </si>
  <si>
    <t>UNIVERSIDAD POLITECNICA TRIAN VUIA - RUMANIA</t>
  </si>
  <si>
    <t>UNIVERSIDAD AUTONOMA DE BUCARAMANGA</t>
  </si>
  <si>
    <t>UNIVERSIDAD NACIONAL DE AMAZONIA PERUANA</t>
  </si>
  <si>
    <t>FUNDACION CENTRO COLOMBIANO DE ESTUDIOS SUPERIORES</t>
  </si>
  <si>
    <t>UNIVERSIDAD DE LIMA - PERU</t>
  </si>
  <si>
    <t>UNIVERSIDAD DE LIMA PERU</t>
  </si>
  <si>
    <t>UNIVERSIDAD DE BELGRANO - BUENOS AIRES</t>
  </si>
  <si>
    <t>INSTITUTO SUPERIOR DE LA INDUSTRIA ALIMENTICIA - BULGARIA</t>
  </si>
  <si>
    <t>UNIVERSIDAD DE ARQUITECTURA CONST.Y GEODESIA - BULGARIA</t>
  </si>
  <si>
    <t>INSTITUTO ELECTRONICO DE LENINGRADO V.I.ULIANOV LENIN URSS</t>
  </si>
  <si>
    <t>UNIVERSIDAD CENTRAL DE LAS VILLAS - CUBA</t>
  </si>
  <si>
    <t>UNIVERSIDAD ANTONIO NARIÑO - IBAGUE</t>
  </si>
  <si>
    <t>FACHHOCHSCHULE DARMSTADT - ALEMANIA</t>
  </si>
  <si>
    <t>REAL INSTITUTO DE TECNOLOGIA ESTOCOLMO - SUIZA</t>
  </si>
  <si>
    <t>UNIVERSIDAD NACIONAL ABIERTA Y A DISTANCIA UNAD</t>
  </si>
  <si>
    <t>UNIVERSIDAD TECNICA ESLOVACA EN BRATISLAVA - ESLOVAQUIA</t>
  </si>
  <si>
    <t>INSTITUTO DE INGENIEROS DE CONSTRUCCION DE MOSCU</t>
  </si>
  <si>
    <t>UNIVERSITAT GESAMTHOCHSCHULE SIEGEN VERLEIHT - SIEGEN</t>
  </si>
  <si>
    <t>INSTITUTO DE CONSTRUCCION DE ZAPOROZHYE V.Y.</t>
  </si>
  <si>
    <t>UNIVERSIDAD OF OKLAHOMA - U.S.A.</t>
  </si>
  <si>
    <t>FACHHOCHSCHULE MUNCHEN - ALEMANIA</t>
  </si>
  <si>
    <t>ESCUELA SUPERIOR DE ARQUITECTURA E INGENIERIA CIVIL</t>
  </si>
  <si>
    <t>CORPORACION UNIVERSITARIA MINUTO DE DIOS-UNIMINUTO</t>
  </si>
  <si>
    <t>FRIEDRICH LIST - ALEMANIA</t>
  </si>
  <si>
    <t>OF ILLINOIS - CHAMPAIGN - U.S.A.</t>
  </si>
  <si>
    <t>FUNDACION UNIVERSITARIA MANUELA BELTRAN - BUCARAMANGA</t>
  </si>
  <si>
    <t>THE CITY UNIVERSITY OF NEW YORK</t>
  </si>
  <si>
    <t>UNIVERSIDAD ANTONIO NARIÑO - ARMENIA</t>
  </si>
  <si>
    <t>UNIVERSIDAD DE CAMAGUEY - CUBA</t>
  </si>
  <si>
    <t>UNIVERSIDAD ANTONIO NARIÑO - MEDELLIN</t>
  </si>
  <si>
    <t>UNIVERSIDAD NAL. INST. CENTRAL MINESSOTA - U.S.A.</t>
  </si>
  <si>
    <t>THE UNIVERSITY OF OKLAHOMA - ESTADOS UNIDOS</t>
  </si>
  <si>
    <t>INSTITUTO ESTATAL DE MINAS DE SAN PETERSBURGO</t>
  </si>
  <si>
    <t>UNIVERSIDAD DE MIAMI - FLORIDA U.S.A.</t>
  </si>
  <si>
    <t>UNIVERSIDAD DE LISBOA</t>
  </si>
  <si>
    <t>UNIVERSIDAD DE IDAHO STATE COLLEGE U.S.A.</t>
  </si>
  <si>
    <t>ESCUELA DE INGENIERIA DE TORINO</t>
  </si>
  <si>
    <t>POLITECNICO DE TURIN - ITALIA</t>
  </si>
  <si>
    <t>ESCUELA SUPERIOR DE ARQUITECTURA SAN LUCAS GANTE - BELGICA</t>
  </si>
  <si>
    <t>UNIVERSIDAD TECNICA DE DINAMARCA</t>
  </si>
  <si>
    <t>UNIVERSIDAD DE PANAMA</t>
  </si>
  <si>
    <t>MASSACHUSETTS INSTITUTE OF TECNOLOGY - U.S.A.</t>
  </si>
  <si>
    <t>UNIVERSIDAD DE FLORIDA - GAINESVILLE</t>
  </si>
  <si>
    <t>UNIVERSIDAD DE NUEVO MEXICO</t>
  </si>
  <si>
    <t>UNIVERSITY OF CALIFORNIA</t>
  </si>
  <si>
    <t>UNIVERSIDAD DE LAUSANA</t>
  </si>
  <si>
    <t>L COLE NATIONALE DES PONTS ETCHAUSSES - PARIS</t>
  </si>
  <si>
    <t>FACULTAD DE OKLAHOMA U.S.A.</t>
  </si>
  <si>
    <t>ESCUELA INDUSTRIAL DE INGS. DE MADRID - ESPAÑA</t>
  </si>
  <si>
    <t>DE PURDUE LAFAYETTE - INDIANA - ESTADOS UNIDOS</t>
  </si>
  <si>
    <t>UNIVERSIDAD DE GANTE - BELGICA</t>
  </si>
  <si>
    <t>INST. TEC. STECENS DE HODOKEN - NEW YORK</t>
  </si>
  <si>
    <t>INSTITUTO TECNICO CENTRAL</t>
  </si>
  <si>
    <t>PONTIFICIA UNIVERSIDAD CATOLICA DE RIO DE JANEIRO</t>
  </si>
  <si>
    <t>DE PRICENTON - U.S.A.</t>
  </si>
  <si>
    <t>UNIVERSIDAD CALIFORNIA STATE POLYTECHNIC COLLEGE</t>
  </si>
  <si>
    <t>INSTITUTO TECNOLOGICO DE MORELIA - MEXICO</t>
  </si>
  <si>
    <t>MIAMI UNIVERSITY EN OXFORD - OHIO U.S.A.</t>
  </si>
  <si>
    <t>DE BIRMINGHAN EDGBASTON - INGLATERRA</t>
  </si>
  <si>
    <t>INSTITUCION DE INGENIEROS CIVILES - LONDRES</t>
  </si>
  <si>
    <t>UNIVERSIDAD STANFOR CALIFORNIA - ESTADOS UNIDOS</t>
  </si>
  <si>
    <t>UNIVERSIDAD TECHNISCHE HOSCHSCULE STUTTGART</t>
  </si>
  <si>
    <t>UNIVERSIDAD DE COLORADO SCHCOOL OF MINES DE GLODEN</t>
  </si>
  <si>
    <t>UNIVERSIDAD DE COPENHAGUE</t>
  </si>
  <si>
    <t>INSTITUTO TECNOLOGICO DE VILLAHERMOSA - MEXICO</t>
  </si>
  <si>
    <t>UNIVERSIDAD OF PENNSYLVANIA - PHILADELPHIA</t>
  </si>
  <si>
    <t>UNIVERSIDAD DE SANTA CLARA CALIFORNIA - ESTADOS UNIDOS</t>
  </si>
  <si>
    <t>UNIVERSIDAD DE VIENA - AUSTRIA</t>
  </si>
  <si>
    <t>UNIVERSIDAD DE ESTUDIOS DE BOLONIA - ITALIANA</t>
  </si>
  <si>
    <t>INSTITUTO AGRICOLA DEL ESTADO GEMBLOUX - BELGICA</t>
  </si>
  <si>
    <t>ESCUELA SUPERIOR DE ARQUITECTURA DE BARCELONA - ESPAÑA</t>
  </si>
  <si>
    <t>UNIVERSIDAD TULSA - OKLAHOMA - U.S.A.</t>
  </si>
  <si>
    <t>UNIVERSIDAD NACIONAL POR PRACTICA SEGUN EXAMEN</t>
  </si>
  <si>
    <t>UNIVERSIDAD HANNOVER - ALEMANIA</t>
  </si>
  <si>
    <t>FAC. SILVICULTURA DE LA FAC. TECNICA DE VIENA - AUSTRIA</t>
  </si>
  <si>
    <t>ESCUELA DE ARQUITECTURA DE MUNICH - ALEMANIA</t>
  </si>
  <si>
    <t>UNIVERSIDAD LIVERPOOL - INGLATERRA</t>
  </si>
  <si>
    <t>UNIVERSIDAD LATINO AMERICANA DE LA HABANA</t>
  </si>
  <si>
    <t>DOCTOR BHIMRAO AMBEDKAR UNIVERSITY INDIA</t>
  </si>
  <si>
    <t>DE READLANDS CALIFORNIA - ESTADOS UNIDOS</t>
  </si>
  <si>
    <t>FACULTAD DE ARQUITECTURA DE MUNICH - ALEMANIA</t>
  </si>
  <si>
    <t>UNIVERSIDAD REAL ESC. POLITECNICA DE DINAMARCA</t>
  </si>
  <si>
    <t>ECOLE ESPECIALES DES TRAVAUX PUBLICS - PARIS</t>
  </si>
  <si>
    <t>UNIVERSIDAD REAL DE NAPOLES - ITALIA</t>
  </si>
  <si>
    <t>DE ILLINOIS INSTITUTE OF TECHNOLOGY - U.S.A.</t>
  </si>
  <si>
    <t>ESCUELA DE MINAS DE ESTADO COLORADO - U.S.A.</t>
  </si>
  <si>
    <t>CHICAGO THECHICAL COLLEGE - U.S.A.</t>
  </si>
  <si>
    <t>UNIVERSIDAD REAL ESCUELA DE INGENIERIA DE ROMA</t>
  </si>
  <si>
    <t>ESCUELA DE BELLAS ARTES DE QUITO - ECUADOR</t>
  </si>
  <si>
    <t>ESCUELA ESPECIAL DE TRABAJOS PUBLICOS - FRANCIA</t>
  </si>
  <si>
    <t>UNIVERSIDAD DE LA FLORIDA - U.S.A.</t>
  </si>
  <si>
    <t>UNIVERSIDAD CRISTIANA DE TEXAS - U.S.A.</t>
  </si>
  <si>
    <t>ESCUELA NACIONAL DE MILAN - ITALIA</t>
  </si>
  <si>
    <t>UNIVERSIDAD DE NAPOLI - ITALIA</t>
  </si>
  <si>
    <t>FAC. DE MASSACHUSSTES INST. OF. TECHINOLOGY CAMBRIGE - U.S.A</t>
  </si>
  <si>
    <t>ESCUELA INTERNACIONALES</t>
  </si>
  <si>
    <t>INSTITUTE POLYTECHNIQUE DE LA UNIVERSIDAD DE GRENOBLE</t>
  </si>
  <si>
    <t>UNIVERSIDAD INDIANA TECHNICAL COLLEGE</t>
  </si>
  <si>
    <t>UNIVERSIDAD NACIONAL DE CHILE</t>
  </si>
  <si>
    <t>UNIVERSIDAD DANVER EN COLORADO - U.S.A.</t>
  </si>
  <si>
    <t>ESCUELA SUPERIOR DE AGRICULTURA LUIS DE QUIROZ</t>
  </si>
  <si>
    <t>NEWARK COLLEGE OF ENGINEERING - U.S.A.</t>
  </si>
  <si>
    <t>MACQUARIE UNIVERSITY - AUSTRALIA</t>
  </si>
  <si>
    <t>UNIVERSIDAD FACULTAD TECNICA DE BERLIN - ALEMANIA</t>
  </si>
  <si>
    <t>INSTITUTO POLYTECHNIQUE DE GLONS LIEGE - BELGICA</t>
  </si>
  <si>
    <t>UNIVERSIDAD FACULTAD DE BUCKNELL LEWISBURG - U.S.A.</t>
  </si>
  <si>
    <t>UNIVERSIDAD DE FLORENCIA - ITALIA</t>
  </si>
  <si>
    <t>ESCUELA DE BARCELONA - ESPAÑA</t>
  </si>
  <si>
    <t>UNIVERSIDAD REAL FAC. TEC. DE GLASGOW - INGLATERRA</t>
  </si>
  <si>
    <t>THE TRUTEES OF COLUMBIA UNIV. NEW YORK</t>
  </si>
  <si>
    <t>UNIVERSIDAD DAVIS AND ALKINS COLLEGE - U.S.A.</t>
  </si>
  <si>
    <t>FACULTAD DE AGRONOMIA DE PALMIRA</t>
  </si>
  <si>
    <t>UNIVERSIDAD DE GEORGIA - ATLANTA U.S.A.</t>
  </si>
  <si>
    <t>UNIVERSIDAD BIRMINGHAN</t>
  </si>
  <si>
    <t>UNITE STATES POSTGRADUATE SCHOOL - ENGINEERING</t>
  </si>
  <si>
    <t>ESCUELA DE INGENIERIA DE NAPOLES - ITALIA</t>
  </si>
  <si>
    <t>COLEGIO DE AGRICULTURA Y CIENCIAS APLICADAS - MICHIGAN</t>
  </si>
  <si>
    <t>ESCUELA TECNICA SUPERIOR DE INGENIEROS DE BARCELONA</t>
  </si>
  <si>
    <t>UNIVERSIDAD DE IDAHO - FED. IND. BRITANICAS</t>
  </si>
  <si>
    <t>ESCUELA CENTRAL DE ARTES</t>
  </si>
  <si>
    <t>UNIVERSIDAD BEN  GURION EN EL NEGEV ISRAEL</t>
  </si>
  <si>
    <t>ESCOLE POLYTECHNIQUE - CANADA</t>
  </si>
  <si>
    <t>THE ALABAMA POLYTECHNIC INSTITUTE AUBURN</t>
  </si>
  <si>
    <t>ESCUELA DE ARTES Y OFICIOS DE GINEBRA</t>
  </si>
  <si>
    <t>ESCUELA UNIVERSITARIA DE INGENIERIA TECNICA DE OBRAS PUBLICAS DE MADRID ESPAÑA</t>
  </si>
  <si>
    <t>ESCUELA UNIVERSITARIA DE INGENIERIA TECNICA DE OBRAS PUBLICAS DE MADRID ESPA</t>
  </si>
  <si>
    <t>UNIVERSIDAD DE MEXICO</t>
  </si>
  <si>
    <t>UNIVERSIDADE ESTADUAL PAULISTA JULIO DE MESQUITA FILHO BRASIL</t>
  </si>
  <si>
    <t>UNIVERSIDAD DE SAN CARLOS - GUATEMALA</t>
  </si>
  <si>
    <t>INSTITUTO HIDROMETEOROLOGICO DE LENINGRADO - U.R.S.S</t>
  </si>
  <si>
    <t>UNIVERSIDAD DE PASTO</t>
  </si>
  <si>
    <t>UNIVERSIDAD DE YALE - U.S.A.</t>
  </si>
  <si>
    <t>UNIVERSIDAD DE TECNOLOGIA PALATINO JOSE DE SPRON - HUNGRIA</t>
  </si>
  <si>
    <t>INSTITUTO PRATT DE BROKLYN - NEW YORK</t>
  </si>
  <si>
    <t>UNIVERSIDAD NACIONAL DE QUITO - ECUADOR</t>
  </si>
  <si>
    <t>ESCUELA NALCIOANL SUPERIOR DE PETROLEOS COMBUSTIBLES U. STRSBURGO</t>
  </si>
  <si>
    <t>ESCCUELA SUPERIOR DE AGRICULTURA - MINAS GERAIS - BRASIL</t>
  </si>
  <si>
    <t>UNIVERSIDAD DE TOLOSA - FRANCIA</t>
  </si>
  <si>
    <t>UNIVERSIDAD DE BOTON ROUGE - LOUSISIANA U.S.A.</t>
  </si>
  <si>
    <t>UNIVERSIDAD REPUBLICANA - BUCARAMANGA</t>
  </si>
  <si>
    <t>LONDRES KING S COLLEGUE - INGLATERRA</t>
  </si>
  <si>
    <t>DE CAMBRIDGE INGLATERRA EMMANUEL COLLEGE</t>
  </si>
  <si>
    <t>UNIVERSIDAD DE ALBERTA - CANADA</t>
  </si>
  <si>
    <t>FACULTAD ESCUELA SUPERIOR DE AGRONOMIA DE BOGOTA</t>
  </si>
  <si>
    <t>ESCUELA DE INGENIEROS INDUSTRIALES - ESPAÑA</t>
  </si>
  <si>
    <t>INSTITUTO TECNICO DE AQUILA - ITALIA</t>
  </si>
  <si>
    <t>FACULTAD DE CIENCIAS AGRONOMICAS</t>
  </si>
  <si>
    <t>FACULTAD DE CIENCIAS DE GRENOBLE - FRANCIA</t>
  </si>
  <si>
    <t>UNIVERSIDAD TECNICA STUTTGART - ALEMANIA</t>
  </si>
  <si>
    <t>ACADEMIA POLITEC. ESCUELA SUP. DE INGENIERIA DE DINAMARCA</t>
  </si>
  <si>
    <t>POLITECNICO DE BROOKLIN - NEW YORK - U.S.A.</t>
  </si>
  <si>
    <t>UNIVERSIDAD CARMEGIE INST. OF TECNOLOGY DE PITSSBURGH</t>
  </si>
  <si>
    <t>UNIVERSITY OF LONDON REINO UNIDO</t>
  </si>
  <si>
    <t>INSTITUTO POLITECNICO HIDENBURG DE OLDENBURG - ALEMANIA</t>
  </si>
  <si>
    <t>UNIVERSIDAD DE LEHIG - U.S.A.</t>
  </si>
  <si>
    <t>UNIVERSIDAD DEL ESTADO DE OIHO - U.S.A.</t>
  </si>
  <si>
    <t>UNIVERSIDAD DE RUTGERS - NEW JERSEY</t>
  </si>
  <si>
    <t>ACADEMIA TECNICA SUPERIOR DE BADEN - ALEMANIA</t>
  </si>
  <si>
    <t>DE PARA U.S.A. DEL BRASIL</t>
  </si>
  <si>
    <t>DE KARLSRUBE Y HANNOVER</t>
  </si>
  <si>
    <t>UNIVERSIDAD DE SAINT PAUL MINNESOTA - E.U.</t>
  </si>
  <si>
    <t>UNIVERSIDAD DE SAINT PAUL MINNESOTA - EE.UU.</t>
  </si>
  <si>
    <t>UNIVERSIDAD PRIVADA BOLIVIANA BOLIVIA</t>
  </si>
  <si>
    <t>UNIVERSIDAD MANITOBA - DEL DOMINIO - CANADA</t>
  </si>
  <si>
    <t>UNIVERSIDAD OF MICHIGAN ANN ARBOR MICH - U.S.A.</t>
  </si>
  <si>
    <t>COLEGIO NACIONAL DE EDUCACION PROFESIONAL TECNICA MEXICO</t>
  </si>
  <si>
    <t>ESCUELA TECNICA DE VIENA</t>
  </si>
  <si>
    <t>INSTITUTO TEC. INDUSTRIAL DE GOBNO. FED. DE VIENA</t>
  </si>
  <si>
    <t>CORPORACION TECNOLOGICA INDOAMERICA</t>
  </si>
  <si>
    <t>INSTITUTO DE TECNOLOGIA DE MASSACHUSSETS - U.S.A.</t>
  </si>
  <si>
    <t>UNIVERSIDAD REPUBLICANA - EXTERNADO DE COLOMBIA</t>
  </si>
  <si>
    <t>ACADEMIA TEC. DE INGENIERIA DE TURINGIA - ALEMANIA</t>
  </si>
  <si>
    <t>UNIVERSIDAD DE NORHT CAROLINA - U.S.A.</t>
  </si>
  <si>
    <t>UNIVERSIDAD LIBRE DE BRUSELAS</t>
  </si>
  <si>
    <t>FAC. TECNICA DE DANZING - POLONIA</t>
  </si>
  <si>
    <t>UNIVERSIDAD DE OREGON - EUGENE ESTADOS UNIDOS</t>
  </si>
  <si>
    <t>UNIVERSIDAD UNION COLLEGE DE SCHENECTADY - NEW YORK</t>
  </si>
  <si>
    <t>UNIVERSIDAD TUFTS DE MEDFORDS MASSACHUSSETS - U.S.A.</t>
  </si>
  <si>
    <t>ECOLE SAINT LUCAS INST. BALTHUNE DE BRUSELAS</t>
  </si>
  <si>
    <t>TECHNICAL COLLEGE HALIFAX - NOVA SCOTIA - CANADA</t>
  </si>
  <si>
    <t>UNIVERSIDAD LAFAYETTE COLEGE</t>
  </si>
  <si>
    <t>UNIVERSIDAD DE MISSISSIPI - U.S.A.</t>
  </si>
  <si>
    <t>UNIVERSIDAD DE GENOVA - ITALIA</t>
  </si>
  <si>
    <t>ESCUELA NACIONAL POLITECNICA METSOVION DE ATENAS</t>
  </si>
  <si>
    <t>UNIVERSIDAD REAL DE LOS ESTUDIOS DE GENOVA - ITALIA</t>
  </si>
  <si>
    <t>ESCUELA DE MINAS MIERES - ASTURIAS ESPAÑA</t>
  </si>
  <si>
    <t>UNIVERSIDAD CITY AND GUILDSOF LONDON INSTITUTE</t>
  </si>
  <si>
    <t>VISVESWARAIAH TECHNOLOGICAL UNIVERSITY BELGAUM INDIA</t>
  </si>
  <si>
    <t>UNIV. O INSTITUTO TECNICO DE MONS - BELGICA</t>
  </si>
  <si>
    <t>ESCOLE SPECIAL PRAVAUS PUBLICS DU BATIMANT</t>
  </si>
  <si>
    <t>UNIVERSIDAD DE LIEJA - FRANCIA</t>
  </si>
  <si>
    <t>UNIVERSIDAD DE QEENS - KINGSTON</t>
  </si>
  <si>
    <t>UNIVERSIDAD DE LA HABANA - CUBA</t>
  </si>
  <si>
    <t>COLEGIO DEL ESTADO DE WASHINGTON - U.S.A.</t>
  </si>
  <si>
    <t>ESC. ESP. DE MAQUINAS DE LA SOCIEDAD TECNICA - COPENHAQUE</t>
  </si>
  <si>
    <t>INSTITUTO TECNICO DEL CANTON DE BURGDORF - BERNA</t>
  </si>
  <si>
    <t>UNITED STATES NAVAL POTSGRADUATE SCHOL DE MONTERREY</t>
  </si>
  <si>
    <t>COLEGIO DE CIENCIAS E ING. DEL INST. TEC. DE CARNEGIE</t>
  </si>
  <si>
    <t>UNIVERSIDAD DE LAUSANNE - SUIZA</t>
  </si>
  <si>
    <t>UNIVERSIDAD DE ILLINOIS INST. TECHNOLOGY DE CHICAGO</t>
  </si>
  <si>
    <t>COLEGIO DE AGRONOMIA DE BOYACA</t>
  </si>
  <si>
    <t>UNIVERSITY OF NORTE CAME DU LAC. - INDIANA - U.S.A.</t>
  </si>
  <si>
    <t>UNIVERSIDAD ANTONIO NARIÑO - PEREIRA</t>
  </si>
  <si>
    <t>UNIVERSIDAD NACIONAL - MADRID</t>
  </si>
  <si>
    <t>INSTITUTO TECNICO DE MITWEIDA - ALEMANIA</t>
  </si>
  <si>
    <t>REAL ESCUELA SUPERIOR TECNICA DE ESTOCOLMO - SUECIA</t>
  </si>
  <si>
    <t>UNIV. MINIS. FED. COMERCIO Y COMUNICACIONES - VIENNA</t>
  </si>
  <si>
    <t>UNIVERSIDAD FACULTAD DE BESLAU - ALEMANIA</t>
  </si>
  <si>
    <t>UNIVERSIDAD MINNESOTAMEN MINEAPOLIS - U.S.A.</t>
  </si>
  <si>
    <t>UNIVERSIDAD OF WYOMING - EE.UU</t>
  </si>
  <si>
    <t>INSTITUTO UNIVERSITARIO DE TECNOLOGIA DEL MAR - VENEZUELA</t>
  </si>
  <si>
    <t>UNIVERSIDAD DE COLOMBIA</t>
  </si>
  <si>
    <t>UNIVERSIDAD POLITECNICA DE KARLSRUHE - ALEMANIA</t>
  </si>
  <si>
    <t>UNIVERSIDAD DE COLOMBIA - NEW YORK</t>
  </si>
  <si>
    <t>UNIVERSIDAD SANTA CLARA - CALIFORNIA</t>
  </si>
  <si>
    <t>UNIVERSIDAD OF NEVADA DE NORTEAMERICA</t>
  </si>
  <si>
    <t>REAL INSTITUTO POLITECNICO DE COPENHAGUE</t>
  </si>
  <si>
    <t>UNIVERSIDADE TECNICA DE LISBOA PORTUGAL</t>
  </si>
  <si>
    <t>ESCUELA DE SAN LUCAS DE SAINT-GILLES - BRUSELAS</t>
  </si>
  <si>
    <t>UNIVERSIDAD DE BERLIN - ALEMANIA</t>
  </si>
  <si>
    <t>INSTITUTO TECNOLOGICO DE CALIFORNIA - U.S.A.</t>
  </si>
  <si>
    <t>COLEGIO UNIVERSITARIO DE MARACAIBO - VENEZUELA</t>
  </si>
  <si>
    <t>INSTITUTO UNIVERSITARIO DE TECNOLOGIA ALONSO GAMERO - VENEZUELA</t>
  </si>
  <si>
    <t>UNIVERSITE DE TOULOUSE III FRANCIA</t>
  </si>
  <si>
    <t>UNIVERSIDAD DEL ESTADO DE WAYNE</t>
  </si>
  <si>
    <t>U.S. NAVAL POS GRADUATE SHOLL DE MONTERREY</t>
  </si>
  <si>
    <t>UNIVERSIDAD TECNICA DE ANTIOQUIA</t>
  </si>
  <si>
    <t>UNIVERSIDAD GALES - SWANSEA</t>
  </si>
  <si>
    <t>UNIVERSIDAD FACULTAD TECNICA DE DELFT - HOLANDA</t>
  </si>
  <si>
    <t>STATE UNIVERSITY OF NEW MEXICO</t>
  </si>
  <si>
    <t>UNIVERSIDAD DE WYORMING - U.S.A.</t>
  </si>
  <si>
    <t>INSTITUTO SUPERIOR DE ING. DE MUNCHEN - ALEMANIA</t>
  </si>
  <si>
    <t>ESCUELA SUPERIOR DE DANZIG - ALEMANIA</t>
  </si>
  <si>
    <t>UNIVERSIDAD CARNEGIE INSTITUTO OF TECHOLOGY PITTSBURG</t>
  </si>
  <si>
    <t>FACULTAD DE WEST VIRGINIA UNIVERSITY - U.S.A.</t>
  </si>
  <si>
    <t>ESCUELA TECNICO SUPERIOR DE MUNICH - ALEMANIA</t>
  </si>
  <si>
    <t>UNIVERSIDAD QUENNE - U.S.A.</t>
  </si>
  <si>
    <t>UNIVERSIDAD AGRARIA DE VIENA - FORESTAL DE HARAHNDT</t>
  </si>
  <si>
    <t>ESCUELA DE AGRICULTURA Y ARTES MECANICA DE OIWA - U.S.A.</t>
  </si>
  <si>
    <t>INSTITUTO POLITECNICO DE MILAN</t>
  </si>
  <si>
    <t>INSTITUTO POLITECNICO DE COPENHAGUE - DINAMARCA</t>
  </si>
  <si>
    <t>ESCUELA TECNICA SUPERIOR ING. INDUSTRIALES UNIV. NAVARRA</t>
  </si>
  <si>
    <t>UNIVERSIDAD DE MUNICH - ALEMANIA</t>
  </si>
  <si>
    <t>UNIVERSIDAD TECNICA DE GRAZ - AUSTRIA</t>
  </si>
  <si>
    <t>COLLEGE FINLAY ENGINEERING DE KANSAS - U.S.A.</t>
  </si>
  <si>
    <t>ESCUELA ESPECIAL LIBRE DE ESTUDIOS SUP. DE VALENCIA</t>
  </si>
  <si>
    <t>UNIVERSIDAD DE LONDRES</t>
  </si>
  <si>
    <t>UNIVERSIDAD FACULTAD DEL ESTADO DE PENNSYLVANIA</t>
  </si>
  <si>
    <t>INSTITUTO TECNICO DE CHALMERS DE GOTEMBURGO</t>
  </si>
  <si>
    <t>UNIVERSIDAD AGRARIA DE LA HABANA FRUCTUOSO RODRIGUEZ PEREZ CUBA</t>
  </si>
  <si>
    <t>UNIVERSIDAD FAC. DE ING. DE HEALD S. FCO. CALIFORNIA</t>
  </si>
  <si>
    <t>UNIVERSITY OF MINNESOTA - U.S.A.</t>
  </si>
  <si>
    <t>ESCUELA POLITECNICA DE CHECOESLOVACA</t>
  </si>
  <si>
    <t>UNIVERSIDAD REAL DE PALERMO - ITALIA</t>
  </si>
  <si>
    <t>UNIVERSIDAD THE NEW YORK ELECTRICAL SCHOOL-CARINEGIE</t>
  </si>
  <si>
    <t>ACADEMIA POLITECNICA EXC. SUP. DE ING. DINAMARCA</t>
  </si>
  <si>
    <t>ESCUELA SUPERIOR DE ARTES Y OFICIOS DE BUCAREST - RUMANIA</t>
  </si>
  <si>
    <t>ESCUELA POLITECNICA DE LAUSANA - SUIZA</t>
  </si>
  <si>
    <t>INSTITUTO POLITECNICO GHEORCHE GHEORCHIU DEJ.</t>
  </si>
  <si>
    <t>UNIVERSITA DEGLI STUDI DI PADOVA ITALIA</t>
  </si>
  <si>
    <t>ESCUELA SUPERIOR DE AGRONOMIA DE MEDELLIN</t>
  </si>
  <si>
    <t>UNIVERSIDAD DE PADUA - ITALIA</t>
  </si>
  <si>
    <t>INST. TEC. SUP. DE BERLIN - CHARLOTENBURGO</t>
  </si>
  <si>
    <t>UNIVERSIDAD OF CHICAGO - U.S.A.</t>
  </si>
  <si>
    <t>UNIVERSIDAD SOUTHERN - CALIFORNIA</t>
  </si>
  <si>
    <t>UNIVERSIDAD DE MARYLANDA - U.S.A.</t>
  </si>
  <si>
    <t>UNIVERSIDAD DE HUOSTON - TEXAS - U.S.A.</t>
  </si>
  <si>
    <t>INSTITUTO POLITECNICO DE PENZA - UNION DE REPUBLICAS SOCIALISTAS SOVIETICAS</t>
  </si>
  <si>
    <t>UNIVERSIDAD AUTONOMA DE SANTO DOMINGO</t>
  </si>
  <si>
    <t>MISSISSIPI STATE COLLEGE - U.S.A.</t>
  </si>
  <si>
    <t>ESCUELA POLITECNICA FEDERAL DE SUIZA</t>
  </si>
  <si>
    <t>ACADEMIA DE BELLAS ARTES Y LICEO ARTISTICO DE BOLONIA</t>
  </si>
  <si>
    <t>UNIVERSIDAD DE CIENCIAS EQUIVOS LORAND - BUDAPEST</t>
  </si>
  <si>
    <t>UNIVERSIDAD TUFTS COLLEGE MASSACHUSSETTS - U.S.A.</t>
  </si>
  <si>
    <t>ESCUELA POLITECNICA DE LONDRES</t>
  </si>
  <si>
    <t>UNIVERSIDAD POLITECNICO DI MILANO - ITALIA</t>
  </si>
  <si>
    <t>UNIVERSIDAD TECNOLOGICA DE PANAMA - PANAMA</t>
  </si>
  <si>
    <t>FAC. DE MINAS Y METALURGIA IMPERIAL Y REAL DE LEOBEN</t>
  </si>
  <si>
    <t>FAC. DE AGRO. ESTADO BELGA - GEMBLOUX</t>
  </si>
  <si>
    <t>UNIVERSIDAD DE CLAUSTHAL - ALEMANIA</t>
  </si>
  <si>
    <t>REAL ACADEMIA DE BELLAS ARTES Y ARQ. DE ROMA</t>
  </si>
  <si>
    <t>ESCUELA NACIONAL DE BELLAS ARTES - FRANCIA</t>
  </si>
  <si>
    <t>POLITECNICO DE QUITO - ECUADOR</t>
  </si>
  <si>
    <t>UNIVERSIDAD MARIANA</t>
  </si>
  <si>
    <t>UNIVERSIDAD DE BARCELONA</t>
  </si>
  <si>
    <t>THE JOHNS HOPKINS UNIVERSITY</t>
  </si>
  <si>
    <t>M.H. SABOO SIDDIK POLYTECHNIC MUMBAI - INDIA</t>
  </si>
  <si>
    <t>ESCUELA INDUSTRIAL DE BOGOTA</t>
  </si>
  <si>
    <t>UNIVERSIDAD OREGON - U.S.A.</t>
  </si>
  <si>
    <t>UNIVERSIDAD TECNOLOGICA DE COAHUILA - MEXICO</t>
  </si>
  <si>
    <t>STTE COLLEGE OF ENGINEERING ANGOLA - INDIANA</t>
  </si>
  <si>
    <t>ESCUELA INDUSTRIAL - ARGENTINA</t>
  </si>
  <si>
    <t>UNIVERSIDAD DE CONCEPCION - CHILE</t>
  </si>
  <si>
    <t>UNIVERSIDAD THE MASSACHUSETTS - U.S.A.</t>
  </si>
  <si>
    <t>POLITECNICO GRANCOLOMBIANO - CONVENIO COMFENALCO</t>
  </si>
  <si>
    <t>ESCUELA DE ARTILLERIA E INGENIERIA REP. ECUADOR</t>
  </si>
  <si>
    <t>UNIVERSIDAD COLUMBIA BRITANICA - CANADA</t>
  </si>
  <si>
    <t>CARLETON UNIVERSITY CANADA</t>
  </si>
  <si>
    <t>UNIVERSIDAD CAMILO JOSE CELA ESPAÑA</t>
  </si>
  <si>
    <t>INSTITUTO TECNICO DE CUNEO - ITALIA</t>
  </si>
  <si>
    <t>COLEGIO POLITECNICO FEDERAL ZURICH</t>
  </si>
  <si>
    <t>INST. SAINT-LUC DE BRUSELAS - BELGICA</t>
  </si>
  <si>
    <t>POLITECNICA HUNGARA DE JOSEPH - BUDAPEST</t>
  </si>
  <si>
    <t>ESCUELA CENTRAL DE ARTES Y OFICIOS - BRUSELAS</t>
  </si>
  <si>
    <t>UNIVERSIDAD SOUTH WESTER - LOUSIANA</t>
  </si>
  <si>
    <t>INSTITUTO AGRONOMICO DEL ESTADO DE BELGA - GEMBLOUX</t>
  </si>
  <si>
    <t>ESCUELA TECNICA DE BERLIN - ALEMANIA</t>
  </si>
  <si>
    <t>INSTITUTO SUP. DES ARTES DECORATFIS - BELGICA</t>
  </si>
  <si>
    <t>UNIVERSIDAD MAYOR DE SAN ANDRES - BOLIVIA</t>
  </si>
  <si>
    <t>UNIVERSIDAD DE NORTWESTERN</t>
  </si>
  <si>
    <t>INSTITUTO ELECTROTECHNIQUE DE BRUSELAS</t>
  </si>
  <si>
    <t>ESCUELA DE INGENIEROS INDUSTRIAL - BILBAO</t>
  </si>
  <si>
    <t>UNIVERSIDAD VIRGINIA MILTARY INSTITUTE</t>
  </si>
  <si>
    <t>FAIRLEIGH DICKINSON COLLEGE RUTHERFORDM - NEW JERSEY</t>
  </si>
  <si>
    <t>UNIVERSIDAD TECNOLOGICA DE PALMIRA</t>
  </si>
  <si>
    <t>ESCUELA TECNICA SUP. DE ARQUITECTURA DE SANINT - LUC.</t>
  </si>
  <si>
    <t>UNIVERSIDAD BACHELOR OF SCIENCE ENGINEERING</t>
  </si>
  <si>
    <t>UNIVERSIDAD DE PISA - ITALIA</t>
  </si>
  <si>
    <t>INST. DE CAMBRIDGE DE MASSACHUSETTES - U.S.A.</t>
  </si>
  <si>
    <t>UNIVERSIDAD DU TRAVAIL DE CHARLEROI - BELGICA</t>
  </si>
  <si>
    <t>UNIVERSIDAD DEL TRABAJO PAUL PASTUR - CHARLERRI</t>
  </si>
  <si>
    <t>COLLEGE DAVIS AND ELLINS - ELKINS - VIRGINIA U.S.A.</t>
  </si>
  <si>
    <t>UNIV. ENINEERING CENTRAL TRAINING SCHOLL - INGLATERRA</t>
  </si>
  <si>
    <t>INSTITUTE OD ARTES AND SCIENCE DE FILADELFIA</t>
  </si>
  <si>
    <t>ESCUELA ESTATAL DE INGENIERIA CONSTANZA - ALEMANIA</t>
  </si>
  <si>
    <t>ESCUELA ESP. DE ING. CIVIL Y ARTES - ANEXA U. GANTE</t>
  </si>
  <si>
    <t>UNIVERSIDAD DIE TECHNISQUE HOLCHLCHLE DE BERLIN</t>
  </si>
  <si>
    <t>INSTITUTO DE ARTES E INDUSTRIAS DE MADRID</t>
  </si>
  <si>
    <t>UNIVERSIDAD DEL SUR DE CALIFORNIA</t>
  </si>
  <si>
    <t>UNIVERSIDAD DE MINAS Y TECNOLOGIA DE MICHIGAN - U.S.A.</t>
  </si>
  <si>
    <t>UNIVERSIDAD ALTA ESCUELA TECNICA SUP. DE LEOBEN</t>
  </si>
  <si>
    <t>UNIVERSIDAD DE POPAYAN</t>
  </si>
  <si>
    <t>UNIVERSIDAD SCHOOL OF ENGINEERING OF MILWAUKE - U.S.A.</t>
  </si>
  <si>
    <t>UNIVERSIDAD NACIONAL DE MICHIGAN - U.S.A.</t>
  </si>
  <si>
    <t>INDIAN INSTITUTE OF INFORMATION TECHNOLOGY AND MANAGEMENT GWALJOR INDIA</t>
  </si>
  <si>
    <t>UNIVERSIDAD MINISTERIO EDUCACION NACIONAL DE ESPAÑA</t>
  </si>
  <si>
    <t>UNIVERSIDAD DE OHIO</t>
  </si>
  <si>
    <t>INST. DE EST. POL. DE CONST. CIVIL Y TRABAJOS - BRUSELAS</t>
  </si>
  <si>
    <t>UNIVERSIDAD DE BOLONIA - ITALIA</t>
  </si>
  <si>
    <t>ESCUELA TEC. DE CHANLOTTENBURGO - ALEMANIA</t>
  </si>
  <si>
    <t>UNIVERSITE DU HAVRE FRANCIA</t>
  </si>
  <si>
    <t>ECOLE SPECIAL D ARCHITECTURE FONDEE</t>
  </si>
  <si>
    <t>UNIVERSIDAD FAIRLEIGH DICKINSON COLLEGE</t>
  </si>
  <si>
    <t>UNIVERSIDAD FAC. TEC. FEDERAL DE ZURICH - SUIZA</t>
  </si>
  <si>
    <t>UNIVERSIDAD DE SAN LUIS - U.S.A.</t>
  </si>
  <si>
    <t>WORCESTER POLYTECHNIC INSTITUTE - U.S.A.</t>
  </si>
  <si>
    <t>UNIVERSIDAD DE PUEBLA - MEXICO</t>
  </si>
  <si>
    <t>POLITECNICO FEDERAL DE ZURICH - SUIZA</t>
  </si>
  <si>
    <t>ESCUELA DE AGRICULTURA Y VETERINARIA - MEDEL</t>
  </si>
  <si>
    <t>UNIVERSIDAD DEGLI STUDI DE FLORENCIA</t>
  </si>
  <si>
    <t>ACADEMIA DE MINAS DE CLAUSTHAL - UNIV. TECNICA ALEMANIA</t>
  </si>
  <si>
    <t>UNIVERSIDAD SPARTAN COLLEGE OF AERONAUTICAL ENGINERING</t>
  </si>
  <si>
    <t>ESCUELA TEC. DE INGENIERIA DE CANTON DE ZURICH - SUIZA</t>
  </si>
  <si>
    <t>UNIVERSIDAD DE CHALEROY - BELGICA</t>
  </si>
  <si>
    <t>INSTITUTO UNIVERSITARIO DE TECNOLOGIA PEDRO EMILIO COLL VENEZUELA</t>
  </si>
  <si>
    <t>ESCUELA DE ING. CIVIL DE VALPARAISO INDIANA - U.S.A.</t>
  </si>
  <si>
    <t>UNIVERSITE CATHOLIQUE DE LOUVAIN BELGICA</t>
  </si>
  <si>
    <t>ACADEMIA POLITECNICA MILITAR DE CHILE</t>
  </si>
  <si>
    <t>MILWAUKEE SCHOOL OF ENGINEERING - U.S.A.</t>
  </si>
  <si>
    <t>ESCUELA SUPERIOR AERONAUTICA DE LA ARGENTINA</t>
  </si>
  <si>
    <t>UNIVERSIDAD DE MISSOUR OF MINES &amp; METALLURGY</t>
  </si>
  <si>
    <t>INSTITUTO CATOLICO DE ARTES E INDUSTRIAS DE MADRID</t>
  </si>
  <si>
    <t>ESCUELA SUPERIOR INDUSTRIAL DE TRABAJO - TARRASA</t>
  </si>
  <si>
    <t>INSTITUTO TECNICO DE PRATT BROOKLYN N. Y.</t>
  </si>
  <si>
    <t>EMBRY RIDDLE AERONAUTICAL UNIVERSITY ESTADOS UNIDOS</t>
  </si>
  <si>
    <t>UNIVERSIDAD DE NAVARRA - ESPAÑA</t>
  </si>
  <si>
    <t>THE INDIAN ENGINEERING COLLEGE DE LONDRES</t>
  </si>
  <si>
    <t>ESCUELA SUPERIOR DE AGRICULTURA TROPICAL</t>
  </si>
  <si>
    <t>UNIVERSIDAD DE PARIS - INST. URBANISTA</t>
  </si>
  <si>
    <t>INSTITUTO TECNOLOGICO DE PASADENA CALIFORNIA</t>
  </si>
  <si>
    <t>UNIVERSIDAD GENERAL ENS. PROF. TECNICA INST. PUBLICA MADRID</t>
  </si>
  <si>
    <t>UNIVERSIDAD FACULTAD DE AGRONOMIA DEL COLEGIO DE BOYACA</t>
  </si>
  <si>
    <t>UNIVERSIDAD ELEMENTAL LELAND STANFOR DE CALIFORNIA</t>
  </si>
  <si>
    <t>IMPERIAL COLEGIO OF CIENCIE - TECHNOLOGY DE LONDRES</t>
  </si>
  <si>
    <t>ESCUELA INDUSTRIAL DE ST. GALLEN - SUIZA</t>
  </si>
  <si>
    <t>ESCUELA SUPERIOR DE INGENIERIA DE BEYROUTH</t>
  </si>
  <si>
    <t>INSTITUTO TEC. SUPERIOR DE FRIBURGO - ALEMANIA</t>
  </si>
  <si>
    <t>UNIVERSIDAD TRINITY COLLEGE</t>
  </si>
  <si>
    <t>CONSEJERO DE E. DE LA COM. DE MADRID Y EL C. P. DE ED. P. Y SEC. LOYOLA DE ARANJUEZ ESPAÑA</t>
  </si>
  <si>
    <t>UNIVERSIDAD CATOLICA DE LOVAINA - REINO BELGICA</t>
  </si>
  <si>
    <t>ECOLE POLYTECHNIQUE FEDERALE - SUIZA</t>
  </si>
  <si>
    <t>UNIVERSIDAD DELFO HOLANDA</t>
  </si>
  <si>
    <t>ESCUELA DE INGENIERIA INDUSTRIAL SANTIAGO DE CHILE</t>
  </si>
  <si>
    <t>OF. A. UNIV. OF NEWCASTLE UPON TYNE - IRLANDA</t>
  </si>
  <si>
    <t>UNIVERSIDAD DE ZURICH - SUIZA</t>
  </si>
  <si>
    <t>UNIVERSIDAD INDUSTRIAL DE STUTTGART - ALEMANIA</t>
  </si>
  <si>
    <t>UNIVERSIDAD DE OSAKA</t>
  </si>
  <si>
    <t>UNIVERSIDAD DE LEHIGH - U.S.A.</t>
  </si>
  <si>
    <t>UNIVERSIDAD REAL M. DE EDUC. NAL. PADUA - ITALI - U.S.A.</t>
  </si>
  <si>
    <t>INSTITUTO DE MINAS Y TEC. DE NUEVO MEXICO - U.S.A.</t>
  </si>
  <si>
    <t>ST MARY S UNIVERSITY ESTADOS UNIDOS</t>
  </si>
  <si>
    <t>TEXAS A &amp; M UNIVERSITY - ESTADOS UNIDOS</t>
  </si>
  <si>
    <t>UNIVERSITY OF PUNE INDIA</t>
  </si>
  <si>
    <t>THE UNIVERSITY OF TEXAS EL PASO - ESTADOS UNIDOS</t>
  </si>
  <si>
    <t>UNIVERSIDAD FEDERAL DE PERNAMBUCO - RECIFE - BRASIL</t>
  </si>
  <si>
    <t>UNIVERSIDAD VITUATAS EL GRANDES - LITUANIA</t>
  </si>
  <si>
    <t>CALIFORNIA STATE UNIVERSITY FULLERTON ESTADOS UNIDOS</t>
  </si>
  <si>
    <t>UNIVERSIDAD TECNICA INDUSTRIAL - ALEMANIA EN PRAGA</t>
  </si>
  <si>
    <t>UNIVERSIDAD DE SAN CARLOS DE GUATEMALA-GUATEMALA</t>
  </si>
  <si>
    <t>UNIVERSIDAD TECHNICUM EC.DES ARTES &amp; METIERS SUISSE</t>
  </si>
  <si>
    <t>ESCUELA POLITECNICA - UNIV. DE BRUSELAS</t>
  </si>
  <si>
    <t>UNIVERSIDAD TECNICA DE CHILE</t>
  </si>
  <si>
    <t>UNIVERSIDAD ARMADA NACIONAL</t>
  </si>
  <si>
    <t>TECHNISCHE UNIVERSITEIT DELFT HOLANDA</t>
  </si>
  <si>
    <t>THE UNIV. OF LIVERPOOL AND THE ROYAL INST. B. ARCHITECS</t>
  </si>
  <si>
    <t>COLEGIO DE ARTES Y OFICIOS DE GINEBRA - SUIZA</t>
  </si>
  <si>
    <t>COLLEGE UNIVERSITY OF LONDON - FAC. OF ENGINEERING</t>
  </si>
  <si>
    <t>UNIVERSIDAD DE BRISTOL - INGLATERRA</t>
  </si>
  <si>
    <t>ESCUELA ESP. DE ING. DE CAMINOS Y PUERTOS DE MADRID</t>
  </si>
  <si>
    <t>ESCUELA SUPERIOR DE ELECTRICISTA DE PARIS - FRANCIA</t>
  </si>
  <si>
    <t>UNIVERSIDAD FACULTAD DE MAHATTAN COLLEGE - U.S.A.</t>
  </si>
  <si>
    <t>UNIVERSIDAD REAL INST. SUP. DE INGENIERIA DE MILAN</t>
  </si>
  <si>
    <t>ESCUELA TECNICA SUP. DE LEEUWARDEN - HOLANDA</t>
  </si>
  <si>
    <t>UNIVERSIDAD DE METALURGICA MINERA DE CAUCASO NORTE</t>
  </si>
  <si>
    <t>UNIVERSIDAD CATOLICA SAN ANTONIO - ESPAÑA</t>
  </si>
  <si>
    <t>UNIVERSIDAD CATOLICA SAN ANTONIO- ESPAÑA</t>
  </si>
  <si>
    <t>UNIVERSIDAD POLITECNICA DE MUNICH - ALEMANIA</t>
  </si>
  <si>
    <t>ACADEMIA DE BELLAS ARTES DE VIENA</t>
  </si>
  <si>
    <t>FACHHOCHSCHULE ANSBACH ALEMANIA</t>
  </si>
  <si>
    <t>ESCUELA MILITAR DE MEXICO</t>
  </si>
  <si>
    <t>UNIVERSIDAD COOPERATIVA DE COLOMBIA</t>
  </si>
  <si>
    <t>UNIDAD UNIVERSITARIA DEL SUR - UNISUR</t>
  </si>
  <si>
    <t>UNIVERSIDAD NACIONAL AUTONOMA DE HONDURAS-HONDURAS</t>
  </si>
  <si>
    <t>UNIVERSIDAD COOPERATIVA DE COLOMBIA - MEDELLIN</t>
  </si>
  <si>
    <t>UNIVERSIDAD NACIONAL ABIERTA Y A DISTANCIA UNAD - MEDELLIN</t>
  </si>
  <si>
    <t>UNIVERSIDAD COOPERATIVA DE COLOMBIA - PASTO</t>
  </si>
  <si>
    <t>FUNDACION UNIVERSITARIA SAN MARTIN</t>
  </si>
  <si>
    <t>UNIDAD CENTRAL DEL VALLE DEL CAUCA</t>
  </si>
  <si>
    <t>UNIVERSIDAD DE CALDAS</t>
  </si>
  <si>
    <t>UNIVERSIDAD SANTIAGO DE CALI</t>
  </si>
  <si>
    <t>UNIVERSIDAD LIBRE - CUCUTA</t>
  </si>
  <si>
    <t>UNIVERSIDAD DE SAN BUENAVENTURA - CARTAGENA</t>
  </si>
  <si>
    <t>UNIVERSIDAD SANTIAGO DE CALI EN CONVENIO ECCI</t>
  </si>
  <si>
    <t>UNIVERSIDAD ANTONIO NARIÑO - CUCUTA</t>
  </si>
  <si>
    <t>UNIVERSIDAD INSTITUTO CENTRAL DEL VALLE DEL CAUCA</t>
  </si>
  <si>
    <t>UNIVERSIDAD AUTONOMA DE COLOMBIA - POLITECNICO DE LA COSTA ATLANTICA</t>
  </si>
  <si>
    <t>CORPORACION UNIVERSITARIA DE SANTANDER - UDES</t>
  </si>
  <si>
    <t>UNIVERSIDAD COOPERATIVA DE COLOMBIA - NEIVA</t>
  </si>
  <si>
    <t>UNIVERSIDAD ANTONIO NARIÑO - MANIZALES</t>
  </si>
  <si>
    <t>CORPORACION EDUCATIVA DE COMPUTOS Y SISTEMAS CEDESISTEMAS</t>
  </si>
  <si>
    <t>FUNDACION TECNOLOGICA POLITECNICO NACIONAL</t>
  </si>
  <si>
    <t>POLITECNICO NACIONAL</t>
  </si>
  <si>
    <t>UNIVERSIDAD TECNOLOGICA DEL CHOCO</t>
  </si>
  <si>
    <t>CORPORACION INSTITUTO DE ARTES Y CIENCIAS</t>
  </si>
  <si>
    <t>UNIVERSIDAD TECNOLOGICA EQUINOCCIAL - QUITO</t>
  </si>
  <si>
    <t>UNIVERSIDAD DEL QUINDIO - UNIVERSIDAD ANTONIO NARIÑO</t>
  </si>
  <si>
    <t>CORPORACION INTERNACIONAL PARA EL DESARROLLO EDUCATIVO</t>
  </si>
  <si>
    <t>CORPORACION DE CARRERAS INTERMEDIAS DEL CAUCA</t>
  </si>
  <si>
    <t>CENTRO COLOMBIANO DE ESTUDIOS SUPERIORES</t>
  </si>
  <si>
    <t>INSTITUTO TECNOLOGICO PASCUAL BRAVO</t>
  </si>
  <si>
    <t>UNIVERSIDAD ANTONIO NARIÑO - FUNDACION CATOLICA DE ORIENTE</t>
  </si>
  <si>
    <t>UNIVERSIDAD DE PAMPLONA</t>
  </si>
  <si>
    <t>UNIVERSIDAD DEL QUINDIO - UNIVERSIDAD SURCOLOMBIANA</t>
  </si>
  <si>
    <t>FUND. CENTRO DE INVESTIGACION  DOCENCIA Y CONSULTORIA ADMINISTRATIVA- CIDCA</t>
  </si>
  <si>
    <t>UNIVERSIDAD DE CASTILLA - LA MANCHA  ESPAÑA</t>
  </si>
  <si>
    <t>CORPORACION EDUCATIVA INSTITUTO DE EDUCACION EMPRESARIAL - IDEE</t>
  </si>
  <si>
    <t>UNIVERSIDAD ESTATAL DE MOSCU DE INGENIERIA CIVIL RUSIA</t>
  </si>
  <si>
    <t>FUNDACION CENTRO COLOMBIANO DE ESTUDIOS PROFESIONALES</t>
  </si>
  <si>
    <t>SERVICIO NACIONAL DE APRENDIZAJE SENA - SOGAMOSO</t>
  </si>
  <si>
    <t>CORPORACION UNIDAD DE CARRERAS INTERMEDIAS DEL CAUCA</t>
  </si>
  <si>
    <t>INSTITUTO DE EDUCACION INTERMEDIA PROFESIONAL INCIP</t>
  </si>
  <si>
    <t>FUNDACION INSTITUTO DE CARRERAS TECNICAS PROFESIONALES - IDCI</t>
  </si>
  <si>
    <t>UNIVERSIDAD DE AVEIRO - PORTUGAL</t>
  </si>
  <si>
    <t>FUNDACION TECNOLOGICA DEL AREA ANDINA</t>
  </si>
  <si>
    <t>CENTRO COLOMBIANO DE ESTUDIOS PROFESIONALES</t>
  </si>
  <si>
    <t>CORPORACION UNIDAD DE CARRERAS PROFESIONALES DEL CAUCA</t>
  </si>
  <si>
    <t>FUNDACION TECNOLOGICA ANTONIO DE AREVALO</t>
  </si>
  <si>
    <t>SERVICIO NACIONAL DE APRENDIZAJE SENA - VALLE</t>
  </si>
  <si>
    <t>CORPORACION TECNOLOGICA CENTROSISTEMAS</t>
  </si>
  <si>
    <t>INSTITUTO NACIONAL DE FORMACION TECNICA PROFESIONAL DE SAN JUAN DEL CESAR</t>
  </si>
  <si>
    <t>CORPORACION INSTITUTO TECNICO DE EDUCACION SUPERIOR - ITECS</t>
  </si>
  <si>
    <t>INSTITUTO DE EDUCACION EMPRESARIAL - IDEE</t>
  </si>
  <si>
    <t>CORPORACION POLITECNICO COLOMBO ANDINO</t>
  </si>
  <si>
    <t>INSTITUTO DE ESTUDIOS TECNICOS</t>
  </si>
  <si>
    <t>CORPORACION UNIVERSAL DE INVESTIGACION Y TECNOLOGIA - CORUNIVERSITEC</t>
  </si>
  <si>
    <t>CORPORACION DE EDUCACION SUPERIOR - UNITEC</t>
  </si>
  <si>
    <t>CORPORACION TECNICA DE COLOMBIA - CORPOTEC</t>
  </si>
  <si>
    <t>TECNOLOGICO DE ANTIOQUIA</t>
  </si>
  <si>
    <t>INSTITUTO TOLIMENSE DE FORMACION TECNICA PROFESIONAL</t>
  </si>
  <si>
    <t>INSTITUTO TECNOLOGICO MUNICIPAL ANTONIO JOSE CAMACHO</t>
  </si>
  <si>
    <t>UNIDADES TECNOLOGICAS DE SANTANDER</t>
  </si>
  <si>
    <t>CORPORACION TECNOLOGICA INDUSTRIAL COLOMBIANA</t>
  </si>
  <si>
    <t>TECNOLOGICA INDUSTRIAL COLOMBIANA</t>
  </si>
  <si>
    <t>INSTITUTO TECNOLOGICO HISPANOAMERICANO</t>
  </si>
  <si>
    <t>TECNOLOGICO SANTANDEREANO</t>
  </si>
  <si>
    <t>INSTITUTO TECNOLOGICO SANTANDEREANO</t>
  </si>
  <si>
    <t>INSTITUTO UNIVERSITARIO LATINOAMERICANO DE AGROECOLOGIA PAULO FREIRE - VENEZUELA</t>
  </si>
  <si>
    <t>FUNDACION INSTITUTO TECNOLOGICO HISPANOAMERICANO</t>
  </si>
  <si>
    <t>CORPORACION DE EDUCACION SUPERIOR INST. DE ADMINISTRACION Y FINANZAS DE CARTAGENA -IAF</t>
  </si>
  <si>
    <t>COR. DE EDU. SUPERIOR INST. DE ADMINISTRACION Y FINANZAS DE CARTAGENA -IAF</t>
  </si>
  <si>
    <t>UNIVERSIDAD DE MALAGA - ESPAÑA</t>
  </si>
  <si>
    <t>CORPORACION TECNICA PROFESIONAL DE EDUCACION Y SALUD - CORSALUD</t>
  </si>
  <si>
    <t>SERVICIO NACIONAL DE APRENDIZAJE SENA - ATLANTICO</t>
  </si>
  <si>
    <t>FUNDACION UNIVERSITARIA DEL AREA ANDINA EN CONVENIO POLITECNICO NACIONAL</t>
  </si>
  <si>
    <t>CORPORACION ESCUELA DE DISEÑO INDUSTRIALES - ACADITEC</t>
  </si>
  <si>
    <t>CORPORACION EDUCATIVA CENTRO SUPERIOR</t>
  </si>
  <si>
    <t>UNIVERSIDAD DEL QUINDIO CONVENIO UNIVERSIDAD DEL TOLIMA</t>
  </si>
  <si>
    <t>INSTITUTO SUPERIOR DE EDUCACION RURAL DE PAMPLONA</t>
  </si>
  <si>
    <t>FUNDACION UNIVERSITARIA DEL AREA ANDINA CONVENIO POLITECNICO NACIONAL</t>
  </si>
  <si>
    <t>FUNDACION INSTITUTO TECNOLOGICO COOPERATIVO DE COOMULTRASAN</t>
  </si>
  <si>
    <t>UNIVERSIDAD DEL TOLIMA EN CONVENIO CON LA UNIVERSIDAD DEL QUINDIO</t>
  </si>
  <si>
    <t>LE MINISTERE DE L EDUCATION DE LA RECHERCHE - BELGICA</t>
  </si>
  <si>
    <t>FUNDACION ESCUELA DE ADMINISTRACION Y MERCADOTECNIA DEL QUINDIO</t>
  </si>
  <si>
    <t>ESCUELA DE ADMINISTRACION Y MERCADOTECNIA DEL QUINDIO</t>
  </si>
  <si>
    <t>ESCOLA AGROTECNICA FEDERAL DE SAO VICENTE DO SUL BRASIL</t>
  </si>
  <si>
    <t>UNIVERSIDAD DEL QUINDIO - VILLAMARIA CALDAS</t>
  </si>
  <si>
    <t>INSTITUTO DE EDUCACION TECNICA PROFESIONAL - INTEP</t>
  </si>
  <si>
    <t>UNIVERSIDAD ANTONIO NARIÑO - POPAYAN</t>
  </si>
  <si>
    <t>UNIVERSIDAD INCCA DE COLOMBIA EN CONVENIO CON LA CORPORACION UCICA</t>
  </si>
  <si>
    <t>UNIVERSIDAD ANTONIO NARIÑO - BUCARAMANGA</t>
  </si>
  <si>
    <t>UNIVERSIDAD PONTIFICIA BOLIVARIANA SECCIONAL BUCARAMANGA</t>
  </si>
  <si>
    <t>UNIVERSIDAD COOPERATIVA DE COLOMBIA - BARRANCABERMEJA</t>
  </si>
  <si>
    <t>UNIVERSIDAD AUTONOMA DE COLOMBIA - ITAE</t>
  </si>
  <si>
    <t>UNIVERSIDAD AUTONOMA DE COLOMBIA EN CONVENIO CON CIDCA</t>
  </si>
  <si>
    <t>PURDUE UNIVERSITY</t>
  </si>
  <si>
    <t>CORPORACION UNIVERSITARIA DEL META</t>
  </si>
  <si>
    <t>UNIVERSIDAD ELECTROTECNICA DE SAN PETESBURGO</t>
  </si>
  <si>
    <t>CORPORACION ACADEMIA TECNOLOGICA DE COLOMBIA</t>
  </si>
  <si>
    <t>ESCUELA DE INGENIEROS MILITARES</t>
  </si>
  <si>
    <t>CORPORACION UNIVERSITARIA DE COLOMBIA - IDEAS</t>
  </si>
  <si>
    <t>UNIVERSIDAD COOPERATIVA DE COLOMBIA - BUCARAMANGA</t>
  </si>
  <si>
    <t>UNIVERSIDAD NACIONAL ABIERTA Y A DISTANCIA UNAD- BUCARAMANGA</t>
  </si>
  <si>
    <t>CORPORACION POLITECNICO DE LA COSTA ATLANTICA</t>
  </si>
  <si>
    <t>UNIVERSIDAD FRANCISCO DE PAULA SANTANDER EN CONVENIO U.P.T.C.</t>
  </si>
  <si>
    <t>TECNOLOGICO - INESPRO</t>
  </si>
  <si>
    <t>UNIVERSIDAD DE CHICAGO - NACIONAL - MEDELLIN</t>
  </si>
  <si>
    <t>UNIVERSIDAD SANTO TOMAS - PEREIRA</t>
  </si>
  <si>
    <t>FUNDACION INSTITUTO DE CARRERAS INTERMEDIAS - IDCI</t>
  </si>
  <si>
    <t>UNIVERSIDAD DEL QUINDIO - BUENAVENTURA</t>
  </si>
  <si>
    <t>UNIVERSIDAD DEL QUINDIO - BUGA</t>
  </si>
  <si>
    <t>UNIVERSIDAD AUTONOMA DE COLOMBIA EN CONVENIO CON EL CECEP</t>
  </si>
  <si>
    <t>UNIVERSIDAD COOPERATIVA DE COLOMBIA - POPAYAN</t>
  </si>
  <si>
    <t>UNIVERSIDAD AUTONOMA DE COLOMBIA CONVENIO CORUNIVERSITEC</t>
  </si>
  <si>
    <t>OKLAHOMA CITY UNIVERSITY</t>
  </si>
  <si>
    <t>ESCUELA TECNICA SUPERIOR - KARLSRUHE - ALEMANIA</t>
  </si>
  <si>
    <t>ESCUELA TECNICA SUPUPERIOR DE INGENIERIA DE CAMINOS C.Y PUERTOS DE MADRID</t>
  </si>
  <si>
    <t>UNIVERSIDAD NACIONAL ABIERTA Y A DISTANCIA UNAD - VALLE</t>
  </si>
  <si>
    <t>UNIVERSIDAD NACIONAL ABIERTA Y A DISTANCIA UNAD - PASTO</t>
  </si>
  <si>
    <t>UNIVERSIDAD COOPERATIVA DE COLOMBIA - IBAGUE</t>
  </si>
  <si>
    <t>CORPORACION UNIVERSITARIA DE SANTANDER - UDES - CUCUTA</t>
  </si>
  <si>
    <t>UNIVERSIDAD INCCA DE COLOMBIA EN CONVENIO-CEDESISTEMAS</t>
  </si>
  <si>
    <t>UNIVERSIDAD DE MURCIA ESPAÑA</t>
  </si>
  <si>
    <t>ACADEMIA EST. DE PETROLEO Y GAS DEL ACADEMICO I.M GUBKIN</t>
  </si>
  <si>
    <t>UNIVERSIDAD COOPERATIVA DE COLOMBIA - SANTA MARTA</t>
  </si>
  <si>
    <t>UNIVERSIDAD PONTIFICIA BOLIVARIANA SECCIONAL MONTERIA</t>
  </si>
  <si>
    <t>UNIVERSIDAD NACIONAL ABIERTA Y A DISTANCIA UNAD - IBAGUE</t>
  </si>
  <si>
    <t>UNIVERSIDAD INCCA DE COLOMBIA - CORP. EDUCATIVA CENTRO SUPERIOR DE CALI</t>
  </si>
  <si>
    <t>CORPOPRACION UNIVERSITARIA DE CIENCIAS APLICADAS Y AMBIENTALES</t>
  </si>
  <si>
    <t>FUNDACION UNIVERSITARIA LOS LIBERTADORES</t>
  </si>
  <si>
    <t>CORPORACION INSTITUTO DE FORMACION TECNOLOGICA DANIEL GILLARD</t>
  </si>
  <si>
    <t>INSTITUTO UNIVERSITARIO DE TECNOLOGIA DR.FEDERICO RIVERO PALACIO-VENEZUELA</t>
  </si>
  <si>
    <t>FUNDACION UNIVERSITARIA COOPERATIVA DE SAN GIL- UNISANGIL</t>
  </si>
  <si>
    <t>INSTITUTO UNIVERSITARIO DE LA PAZ</t>
  </si>
  <si>
    <t>CORPORACION UNIVERSITARIA DEL HUILA - CORHUILA</t>
  </si>
  <si>
    <t>FUNDACION ESCUELA COLOMBIANA DE MERCADOTECNIA - ESCOLME</t>
  </si>
  <si>
    <t>ESUMER - EDUCACION SUPERIOR</t>
  </si>
  <si>
    <t>UNIVERSIDAD SANTO TOMAS - MEDELLIN</t>
  </si>
  <si>
    <t>CENTRO EDUCACIONAL DE COMPUTOS Y SISTEMAS CEDESISTEMAS</t>
  </si>
  <si>
    <t>CORPORACION INSTITUTO SUPERIOR DE EDUCACION SOCIAL - ISES</t>
  </si>
  <si>
    <t>FUNDACION CENTRO DE INVESTIGACION DOCENCIA Y CONSULTORIA ADMINISTRATIVA CIDCA - MEDELLIN</t>
  </si>
  <si>
    <t>FUND. CENTRO DE INVES.  DOCENCIA Y CONSULTORIA  ADMIN. CIDCA - MEDELLIN</t>
  </si>
  <si>
    <t>UNIVERSIDAD FRANCISCO DE PAULA SANTANDER - OCAÑA</t>
  </si>
  <si>
    <t>UNIVERSIDAD POPULAR DEL CESAR</t>
  </si>
  <si>
    <t>CORPORACION UNIVERSITARIA DE SANTANDER - UDES - VALLEDUPAR</t>
  </si>
  <si>
    <t>INSTITUCION UNIVERSITARIA CEIPA</t>
  </si>
  <si>
    <t>UNIVERSIDAD COOPERATIVA DE COLOMBIA - ESPINAL</t>
  </si>
  <si>
    <t>UNIVERSIDAD DEL MAGDALENA</t>
  </si>
  <si>
    <t>UNIVERSIDAD ANTONIO NARIÑO - BARRANQUILLA</t>
  </si>
  <si>
    <t>UNIVERSIDAD ANTONIO NARIÑO - NEIVA</t>
  </si>
  <si>
    <t>CORPORACION UNIVERSITARIA DE CIENCIA Y DESARROLLO</t>
  </si>
  <si>
    <t>CENTRO SUPERIOR DE ADMINISTRACION INDUSTRIAL</t>
  </si>
  <si>
    <t>UNIVERSIDAD ANTONIO NARIÑO - BOLIVAR</t>
  </si>
  <si>
    <t>UNIVERSIDAD DE CORDOBA</t>
  </si>
  <si>
    <t>OREGON STATE UNIVERSITY ESTADOS UNIDOS</t>
  </si>
  <si>
    <t>UNIVERSIDAD COOPERATIVA DE COLOMBIA - VILLAVICENCIO</t>
  </si>
  <si>
    <t>POLITECNICO COLOMBIANO JAIME ISAZA CADAVID CONVENIO COMFENALCO</t>
  </si>
  <si>
    <t>UNIVERSIDAD PRIVADA DR. RAFAEL BELLOSO CHACIN VENEZUELA</t>
  </si>
  <si>
    <t>INSTITUCION UNIVERSITARIA DE CIENCIAS APLICADAS UDCA - CORPORACION EDUCATIVA DEL LITORAL</t>
  </si>
  <si>
    <t>INS. UNIVERSITARIA DE CIENCIAS APLICADAS UDCA - COR. EDUCATIVA DEL LITORAL</t>
  </si>
  <si>
    <t>FUNDACION UNIVERSITARIA SAN MARTIN - BARRANQUILLA</t>
  </si>
  <si>
    <t>CENTRO UNIVERSITARIO DE LINS BRASIL</t>
  </si>
  <si>
    <t>INSTITUTO UNIVERSITARIO DE TECNOLOGIA VENEZUELA</t>
  </si>
  <si>
    <t>UNIVERSIDAD ANTONIO NARIÑO - PALMIRA</t>
  </si>
  <si>
    <t>UNIVERSIDAD COOPERATIVA DE COLOMBIA - QUIBDO</t>
  </si>
  <si>
    <t>UNIVERSIDAD AUTONOMA DE COLOMBIA - ESCUELA ADMINISTRACION Y MERCADOTECNIA</t>
  </si>
  <si>
    <t>UNIVERSIDAD ANTONIO NARIÑO - ROLDANILLO VALLE</t>
  </si>
  <si>
    <t xml:space="preserve">UNIVERSIDAD ANTONIO NARIÑO - BUGA </t>
  </si>
  <si>
    <t>UNIVERSIDAD COOPERATIVA DE COLOMBIA - CALI</t>
  </si>
  <si>
    <t>CALIFORNIA STATE UNIVERSITY LONG B. U.S.A.</t>
  </si>
  <si>
    <t>FUNDACION UNIVERSITARIA DE POPAYAN - INSTITUTO DE EDUCACION EMPRESARIAL</t>
  </si>
  <si>
    <t>CORPORACION UNIVERSITARIA DEL SINU</t>
  </si>
  <si>
    <t>UNIVERSIDAD DE HORTICULTURA - BUDAPEST HUNGRIA</t>
  </si>
  <si>
    <t>UNIVERSIDAD SANTO TOMAS - MANIZALES</t>
  </si>
  <si>
    <t>CENTRO TECNICO ARQUITECTONICO - CTA - CONVENIO CON TECNAR</t>
  </si>
  <si>
    <t>UNIVERSIDAD AUTONOMA DE COLOMBIA - EAM ARMENIA</t>
  </si>
  <si>
    <t>SERVICIO NACIONAL DE APRENDIZAJE SENA - POPAYAN</t>
  </si>
  <si>
    <t>UNIVERSIDAD ANTONIO NARIÑO - LA UNION VALLE</t>
  </si>
  <si>
    <t>FUNDACION UNIVERSITARIA DEL AREA ANDINA - IBAGUE</t>
  </si>
  <si>
    <t>ESCUELA TECNICA SUPERIOR DE INGENIEROS INDUSTRIALES-ESPAÑA</t>
  </si>
  <si>
    <t>UNIVERSIDAD DEL QUINDIO - UNIVERSIDAD SURCOLOMBIANA - NEIVA</t>
  </si>
  <si>
    <t>UNIVERSIDAD DE SANTO TOMAS - ARMENIA</t>
  </si>
  <si>
    <t>UNIVERSIDAD ANTONIO NARIÑO - MONTELIBANO</t>
  </si>
  <si>
    <t>CORPORACION UNIVERSITARIA LASALLISTA</t>
  </si>
  <si>
    <t>UNIVERSIDAD DE CUNDINAMARCA</t>
  </si>
  <si>
    <t>CORPORACION UNIFICADA NACIONAL DE EDUCACION SUPERIOR</t>
  </si>
  <si>
    <t>UNIVERSIDAD DE PIURA - PERU</t>
  </si>
  <si>
    <t>UNIVERSITAT DE VALENCIA ESPAÑA</t>
  </si>
  <si>
    <t>UNIVERSIDADE FEDERAL DO ESPIRITO SANTO BRASIL</t>
  </si>
  <si>
    <t>UNIVERSIDAD DE ZARAGOZA ESPAÑA</t>
  </si>
  <si>
    <t>IOWA STATE UNIVERSITY ESTADOS UNIDOS</t>
  </si>
  <si>
    <t>UNIVERSIDAD LIBRE - SOCORRO</t>
  </si>
  <si>
    <t>UNIVERSIDAD DE LA RIOJA ESPAÑA</t>
  </si>
  <si>
    <t>RUTGERS THE STATE UNIVERSITY ESTADOS UNIDOS</t>
  </si>
  <si>
    <t>UNIVERSIDAD PUBLICA DE NAVARRA ESPAÑA</t>
  </si>
  <si>
    <t>INSTITUTO UNIVERSITARIO DE TECNOLOGIA AGRO-INDUSTRIAL VENEZUELA</t>
  </si>
  <si>
    <t>UNIVERSIDAD EL BOSQUE</t>
  </si>
  <si>
    <t>UNIVERSIDAD INCCA DE COLOMBIA - POLITECNICO DE LA COSTA ATLANTICA</t>
  </si>
  <si>
    <t>ESCUELA DE INGENIERIA DE ANTIOQUIA - INSTITUTO DE CIENCIAS DE LA SALUD</t>
  </si>
  <si>
    <t>INSTITUTO TECNOLOGICO DE COSTA RICA-COSTA RICA</t>
  </si>
  <si>
    <t>CORNELL UNIVERSITY ESTADOS UNIDOS</t>
  </si>
  <si>
    <t>INSTITUTO UNIVERSITARIO DE TECNOLOGIA DE PUERTO CABELLO - VENEZUELA</t>
  </si>
  <si>
    <t>CORPORACION UNIVERSITARIA ADVENTISTA</t>
  </si>
  <si>
    <t>FUNDACION EDUCATIVA - ESUMER</t>
  </si>
  <si>
    <t>ESCOLME INSTITUCION DE EDUCACION SUPERIOR</t>
  </si>
  <si>
    <t>FUNDACION UNIVERSITARIA CATOLICA DEL NORTE</t>
  </si>
  <si>
    <t>FUNDACION UNIVERSITARIA LUIS AMIGO</t>
  </si>
  <si>
    <t>FUNDACION UNIVERSITARIA MARIA CANO</t>
  </si>
  <si>
    <t>INSTITUCION UNIVERSITARIA DE ENVIGADO</t>
  </si>
  <si>
    <t>INSTITUTO TECNOLOGICO METROPOLITANO</t>
  </si>
  <si>
    <t>POLITECNICO ARZOBISPO SALAZAR Y HERRERA</t>
  </si>
  <si>
    <t>CORPORACION EDUCATIVA MAYOR DEL DESARROLLO SIMON BOLIVAR</t>
  </si>
  <si>
    <t>CORPORACION UNIVERSITARIA EMPRESARIAL DE SALAMANCA</t>
  </si>
  <si>
    <t>POLITECNICO MARCO FIDEL SUAREZ</t>
  </si>
  <si>
    <t>UNIVERSIDAD EUROPEA DE MADRID ESPAÑA</t>
  </si>
  <si>
    <t>UNIVERSIDAD NACIONAL EXPERIMENTAL DE LOS LLANOS CENTRALES ROMULO GALLEGOS-VENEZUELA</t>
  </si>
  <si>
    <t>CORPORACION AUTONOMA DE NARIÑO - AUNAR</t>
  </si>
  <si>
    <t>ESCUELA UNIVERSITARIA DE ARQUIT. TECNICA DE LA UNIV. DE LA CORUÑA ESPAÑA</t>
  </si>
  <si>
    <t>CORPORACION DE EDUCACION DEL NORTE DEL TOLIMA COREDUCACION</t>
  </si>
  <si>
    <t>CORPORACION DE EDUCACION SUPERIOR MIGUEL CAMACHO PEREA</t>
  </si>
  <si>
    <t>CORPORACION DE ESTUDIOS TECNOLOGICOS DEL NORTE DEL VALLE</t>
  </si>
  <si>
    <t>CORPORACION EDUCATIVA DE CARRERAS INTERMEDIAS TECNICAS - CIT</t>
  </si>
  <si>
    <t>CORPORACION ESCUELA TECNOLOGICA DEL ORIENTE</t>
  </si>
  <si>
    <t>INSTITUTO SUPERIOR TECNOLOGICO PRIVADO CIBERTEC - PERU</t>
  </si>
  <si>
    <t>CORPORACION INSTITUTO TECNOLOGICO DE LA SEGURIDAD -INTESEG</t>
  </si>
  <si>
    <t>CORPORACION JOHN F. KENNEDY</t>
  </si>
  <si>
    <t>CORPORACION TECNOLOGICA DE BOGOTA</t>
  </si>
  <si>
    <t>UNIVERSIDADE DA CORUNA - ESPAÑA</t>
  </si>
  <si>
    <t>CORPORACION UCICA</t>
  </si>
  <si>
    <t>CORPORACION UNIVERSITARIA DE SANTA ROSA DE CABAL - UNISARC</t>
  </si>
  <si>
    <t>UNIVERSIDADE FEDERAL DE SAO CARLOS - BRASIL</t>
  </si>
  <si>
    <t>CORPORACION UNIVERSITARIA DEL CARIBE</t>
  </si>
  <si>
    <t>UNIVERSIDAD GENERAL DE EDUCACION SUPERIOR CHINA</t>
  </si>
  <si>
    <t>CORPORACION UNIVERSITARIA REPUBLICANA</t>
  </si>
  <si>
    <t>ESCUELA COLOMBIANA DE CARRERAS INDUSTRIALES ECCI</t>
  </si>
  <si>
    <t>UNIVERSIDAD DE NANKAI CHINA</t>
  </si>
  <si>
    <t>UNINPAHU - FUNDACION UNIVERSITARIA PARA EL DESARROLLO HUMANO</t>
  </si>
  <si>
    <t>UNIVERSIDAD MICHOACANA DE SAN NICOLAS DE HIDALGO - MEXICO</t>
  </si>
  <si>
    <t>FUNDACION DE EDUCACION SUPERIOR ESATEC</t>
  </si>
  <si>
    <t>INSTITUT D EDUCACIO SEC. PROV. DE L HOSPITALET DE LLOBREGAT (BARCELONA)  ESPAÑA</t>
  </si>
  <si>
    <t>FUNDACION ESCUELA SUPERIOR PROFESIONAL - INPAHU</t>
  </si>
  <si>
    <t>FUNDACION INSTITUTO TECNOLOGICO COMFENALCO CARTAGENA</t>
  </si>
  <si>
    <t>FUNDACION PARA LA EDUCACION SUPERIOR REAL DE COLOMBIA</t>
  </si>
  <si>
    <t>FUNDACION PARA LA EDUCACION SUPERIOR SAN MATEO</t>
  </si>
  <si>
    <t>UNIVERSIDAD ESTATAL DE EXPLORACION GEOLOGICA DE RUSIA - RUSIA</t>
  </si>
  <si>
    <t>UNIVERSIDAD DE HUELVA ESPAÑA</t>
  </si>
  <si>
    <t>FUNDACION UNIVERSITARIA CATOLICA LUMEN GENTIUM</t>
  </si>
  <si>
    <t>FUNDACION UNIVERSITARIA JUAN DE CASTELLANOS</t>
  </si>
  <si>
    <t>FUNDACION UNIVERSITARIA KONRAD LORENZ</t>
  </si>
  <si>
    <t>FUNDACION UNIVERSITARIA PANAMERICANA</t>
  </si>
  <si>
    <t>UNIVERSITY OF WEST FLORIDA ESTADOS UNIDOS</t>
  </si>
  <si>
    <t>INSTITUTO SUPERIOR DE EDUCACION RURAL -ISER -</t>
  </si>
  <si>
    <t>MICHIGAN COLLEGE OF MINING AND TECHNOLOGY</t>
  </si>
  <si>
    <t>INSTITUTO TECNOLOGICO DE EDUCACION SUPERIOR DE COMFACAUCA</t>
  </si>
  <si>
    <t>INSTITUTO TECNOLOGICO DE ELECTRONICA Y COMUNICACIONES - ITEC</t>
  </si>
  <si>
    <t>INSTITUTO TECNOLOGICO DE SOLEDAD ATLANTICO - ITSA</t>
  </si>
  <si>
    <t>INSTITUTO TECNOLOGICO DEL PUTUMAYO</t>
  </si>
  <si>
    <t>INSTITUTO UNIVERSITARIO DE GERENCIA Y TECNOLOGIA CARACAS VENEZUELA</t>
  </si>
  <si>
    <t>T.C. ISTANBUL TEKNIK UNIVERSITESI TURQUIA</t>
  </si>
  <si>
    <t>UNIVERSIDAD DE LA AMAZONIA</t>
  </si>
  <si>
    <t>UNIVERSIDAD DEL PACIFICO</t>
  </si>
  <si>
    <t>DIE UNIVERSITAT FUR BODENKULTUR WIEN</t>
  </si>
  <si>
    <t>UNIVERSIDAD TECNOLOGICA DE LOS LLANOS ORIENTALES</t>
  </si>
  <si>
    <t>ROYAL MILITARY COLLEGE OF CANADA CANADA</t>
  </si>
  <si>
    <t>UNIVERSIDAD INCCA DE COLOMBIA EN CONVENIO UDI</t>
  </si>
  <si>
    <t>UNIVERSIDAD NACIONAL DE COLOMBIA SEDE ARAUCA</t>
  </si>
  <si>
    <t>UNIREMINGTON</t>
  </si>
  <si>
    <t>FUNDACION UNIVERSIDAD DEL AREA ANDINA - FUND. UNIVERSIDAD AUTONOMA DE LAS AMERICAS</t>
  </si>
  <si>
    <t>FUND. UNIV. DEL AREA ANDINA - FUND. UNIVERSIDAD AUTONOMA DE LAS AMERICAS</t>
  </si>
  <si>
    <t>UNIVERSIDAD FEDERAL DE VICOSA - BRASIL</t>
  </si>
  <si>
    <t>FUNDACION UNIVERSIDAD AUTONOMA DE COLOMBIA</t>
  </si>
  <si>
    <t>UNIVERSIDAD SERGIO ARBOLEDA</t>
  </si>
  <si>
    <t>UNIVERSIDAD INCCA DE COLOMBIA - CORPORACION UNIVERSITARIA AUTONOMA DEL CAUCA</t>
  </si>
  <si>
    <t>UNIVERSIDAD INCCA DE COLOMBIA - CORP. UNIVERSITARIA AUTONOMA DEL CAUCA</t>
  </si>
  <si>
    <t>UNIVERSIDAD DE LOS LLANOS</t>
  </si>
  <si>
    <t>UNIVERSIDAD DE GUADALAJARA MEXICO</t>
  </si>
  <si>
    <t>CORPORACION UNIVERSITARIA RAFAEL NUÑEZ</t>
  </si>
  <si>
    <t>FUNDACION UNIVERSITARIA CATOLICA DE ORIENTE</t>
  </si>
  <si>
    <t>UNIVERSIDAD DEL VALLE EN CONVENIO CON LA UNIVERSIDAD DEL TOLIMA</t>
  </si>
  <si>
    <t>CORPORACION UNIVERSITARIA ANTONIO NARIÑO</t>
  </si>
  <si>
    <t>CORPORACION CENTRO TECNICO ARQUITECTONICO - FUNDACION TECNOLOGICA ANTONIO DE AREVALO</t>
  </si>
  <si>
    <t>COR. CENTRO TECNICO ARQUITECTONICO -  FUND. TECNOLOGICA ANTONIO DE AREVALO</t>
  </si>
  <si>
    <t>CORPORACION UNIVERSITARIA SANTA ROSA DE CABAL</t>
  </si>
  <si>
    <t>UNIVERSIDAD NACIONAL DE COLOMBIA EN CONVENIO CON UNIVERSIDAD DEL VALLE</t>
  </si>
  <si>
    <t>UNIVERSIDAD TECNOLOGICA DE BOLIVAR</t>
  </si>
  <si>
    <t>INSTITUTO QUIMICO TECNOLOGICO D.I. MENDELEEV DE MOSCU</t>
  </si>
  <si>
    <t>TECNOLOGICO CEDESISTEMAS</t>
  </si>
  <si>
    <t>UNIVERSIDAD DEL TOLIMA EN CONVENIO UNIVERSIDAD DEL CAUCA</t>
  </si>
  <si>
    <t>INSTITUCION UNIVERSITARIA DE CIENCIAS APLICADAS Y AMBIENTALES UDCA</t>
  </si>
  <si>
    <t>UNIVERSIDAD NACIONAL DEL SUR - ARGENTINA</t>
  </si>
  <si>
    <t>DELFT UNIVERSITY OF TECHNOLOGY - HOLANDA</t>
  </si>
  <si>
    <t>UNIVERSIDAD ESTATAL DE MOSCU - RUSIA</t>
  </si>
  <si>
    <t>CORPORACION UNIVERSIDAD ANTONIO NARIÑO - FUNDACION UNIVERSIDAD CATOLICA DE ORIENTE</t>
  </si>
  <si>
    <t>CORPORACION UNIVERSIDAD ANTONIO NARIÑO-FUND.UNIVERSIDAD CATOLICA DE ORIENTE</t>
  </si>
  <si>
    <t>UNIVERSIDAD TECNICA ESTATAL DE LA AVIACION CIVIL DE MOSCU</t>
  </si>
  <si>
    <t>THE ASTRAKHAN TECHNICAL INSTITUTE OF FISHERIES - EX. U.R.S.S</t>
  </si>
  <si>
    <t>CORPORACION UNIVERSITARIA DE INVESTIGACION Y DESARROLLO UDI</t>
  </si>
  <si>
    <t>CORPORACION TECNOLOGICA DE BOLIVAR</t>
  </si>
  <si>
    <t>INSTITUCION UNIVERSITARIA SALAZAR Y HERRERA</t>
  </si>
  <si>
    <t>MCGILL UNIVERSITY - CANADA</t>
  </si>
  <si>
    <t>UNIVERSIDAD CENTRAL</t>
  </si>
  <si>
    <t>UNIVERSIDAD NUEVA ESPARTA - VENEZUELA</t>
  </si>
  <si>
    <t>UNIVERSITY OF THE WITWATERSRAND - SUDAFRICA</t>
  </si>
  <si>
    <t>TECNOLOGICA DE BOLIVAR CORPORACION UNIVERSITARIA</t>
  </si>
  <si>
    <t>ESCUELA NACIONAL DE MINAS DE MEDELLIN</t>
  </si>
  <si>
    <t>FUNDACION EDUCACIONAL AUTONOMA DE COLOMBIA</t>
  </si>
  <si>
    <t>INSTITUTO UNIVERSITARIO DE TECNOLOGIA PARA LA INFORMATICA - VENEZUELA</t>
  </si>
  <si>
    <t>CORPORACION UNIVERSITARIA CENTROSISTEMAS</t>
  </si>
  <si>
    <t>UNIVERSIDAD AUTONOMA DE OCCIDENTE</t>
  </si>
  <si>
    <t>FUNDACION UNIVERSITARIA AUTONOMA DE COLOMBIA</t>
  </si>
  <si>
    <t>ESCUELA COLOMBIANA DE CARRERAS INTERMEDIAS</t>
  </si>
  <si>
    <t>CEDESISTEMAS</t>
  </si>
  <si>
    <t>INST. UNIVERSITARIO DE TECNOLOGIA ANTONIO JOSE DE SUCRE</t>
  </si>
  <si>
    <t>UNIVERSIDAD DE BOYACA</t>
  </si>
  <si>
    <t>UNIVERSITEIT TWENTE-HOLANDA</t>
  </si>
  <si>
    <t>UNIVERSIDAD DE IBAGUE - CORUNIVERSITARIA</t>
  </si>
  <si>
    <t>INSTITUCION UNIVERSITARIA DE CIENCIAS APLICADAS Y AMBIENTALES EN CONVENIO UDI</t>
  </si>
  <si>
    <t>INST. UNIVERSITARIA DE CIENCIAS APLICADAS Y AMBIENTALES EN CONVENIO UDI</t>
  </si>
  <si>
    <t>CORPORACION UNIVERSITARIA AUTONOMA DEL CAUCA</t>
  </si>
  <si>
    <t>UNIVERSITAI HANNOVER FACHBEREICH L. UND UMWELTTENTWICKLUNG- ALEMANIA</t>
  </si>
  <si>
    <t>ESCUELA UNIVERSITARIA DE BREMEN - ALEMANIA</t>
  </si>
  <si>
    <t>FUNDACION EDUCACIONAL INTERAMERICANA UNIVERSIDAD CATOLICA DE COLOMBIA</t>
  </si>
  <si>
    <t>UNIVERSIDAD DE BELGRADO - YUGOSLAVIA</t>
  </si>
  <si>
    <t>UNIVERSIDAD DE MORON - ARGENTINA</t>
  </si>
  <si>
    <t>FUNDACION CENTRO DE INVESTIGACION DOCENCIA Y CONSULTORIA ADMINISTRATIVA</t>
  </si>
  <si>
    <t>CORPORACION UNIVERSITARIA UNITEC</t>
  </si>
  <si>
    <t>CENTRO DE INVESTIGACION DOCENCIA Y CONSULTORIA ADMINISTRATIVA CIDCA</t>
  </si>
  <si>
    <t>INSTITUTO POLITECNICO DE DONETSK- U.R.S.S</t>
  </si>
  <si>
    <t>FUNDACION UNIVERSITARIA AUTONOMA DE LAS AMERICAS</t>
  </si>
  <si>
    <t>CORPORACION EDUCATIVA DE CARRERAS TECNICAS C.I.T.</t>
  </si>
  <si>
    <t>UNIVERSIDAD TECNOLOGICA DE MEXICO</t>
  </si>
  <si>
    <t>UNIVERSIDAD CATOLICA DEL URUGUAY - URUGUAY</t>
  </si>
  <si>
    <t>UNIVERSIDAD DISTRITAL FRANCISCO JOSE DE CALDAS - UNIDADES TECNOLOGICAS DE SANTANDER</t>
  </si>
  <si>
    <t>UNIV. DISTRITAL FRANCISCO JOSE DE CALDAS-UNIDADES TECNOLOGICAS DE SANTANDER</t>
  </si>
  <si>
    <t>UNIVERSIDAD INCCA DE COLOMBIA - FUNDACION UNIVERSITARIA DE URABA</t>
  </si>
  <si>
    <t>UNIVERSIDAD DEL SINU</t>
  </si>
  <si>
    <t>THE UNIVERSITY OF ALABAMA - ESTADOS UNIDOS</t>
  </si>
  <si>
    <t>FLORIDA INTERNATIONAL UNIVERSITY - ESTADOS UNIDOS</t>
  </si>
  <si>
    <t>FACHHOCHSCHULE HAMBURG - ALEMANIA</t>
  </si>
  <si>
    <t>INSTITUTO TECNOLOGICO Y DE ESTUDIOS SUPERIORES DE OCCIDENTE-MEXICO</t>
  </si>
  <si>
    <t>UNIVERSIDAD DISTRITAL FRANCISCO JOSE DE CALDAS - POLITECNICO COLOMBIANO JAIME ISAZA</t>
  </si>
  <si>
    <t>UNIV. DISTRITAL FRANCISCO JOSE DE CALDAS - POL. COLOMBIANO JAIME ISAZA</t>
  </si>
  <si>
    <t>UNIVERSIDAD DE TEXAS EN AUSTIN</t>
  </si>
  <si>
    <t>CORPORACION EDUCATIVA CENTRO COLOMBO ANDINO</t>
  </si>
  <si>
    <t>POLITECNICO COLOMBO ANDINO</t>
  </si>
  <si>
    <t>UNIVERSIDAD SIMON BOLIVAR</t>
  </si>
  <si>
    <t>UNIVERSIDAD DE MATANZAS CAMILO CIENFUEGOS CUBA</t>
  </si>
  <si>
    <t>UNIVERSIDAD DE CIENCIAS APLICADAS Y AMBIENTALES UDCA EN CONVENIO UDI</t>
  </si>
  <si>
    <t>CORPORACION UNICOSTA</t>
  </si>
  <si>
    <t>ROYAL MILITARY COLLEGE OF CANADA CANADA----OJO</t>
  </si>
  <si>
    <t>CALIFORNIA POLYTECHNIC STATE UNIVERSITY - ESTADOS UNIDOS</t>
  </si>
  <si>
    <t>UNIVERSIDAD ESTATAL DE RUSIA DE PETROLEO Y GAS I.M. GUBKIN</t>
  </si>
  <si>
    <t>INSTITUTO AZERBAIDZHANO DE PETROLEO Y QUIMICA M. AZIZBEKOV</t>
  </si>
  <si>
    <t>INSTITUCION UNIVERSITARIA ESUMER</t>
  </si>
  <si>
    <t>INSTITUTO UNIV. DE TECNOLOGIA JUAN P. PEREZ ALFONZO-VENEZUELA</t>
  </si>
  <si>
    <t>UNIVERSIDAD DE ANTIOQUIA EN CONVENIO CON EL POLITECNICO JAIME ISAZA CADAVID</t>
  </si>
  <si>
    <t>UNIVERSIDAD LATINA DE COSTA RICA - COSTA RICA</t>
  </si>
  <si>
    <t>UNIVERSIDAD DE SANTANDER UDES</t>
  </si>
  <si>
    <t>FUNDACION DE EDUCACION SUPERIOR SAN JOSE</t>
  </si>
  <si>
    <t>UNIVERSIDAD SANTAMARIA LA ANTIGUA - PANAMA</t>
  </si>
  <si>
    <t>UNIVERSIDAD ADOLFO IBAÑEZ - CHILE</t>
  </si>
  <si>
    <t>XXX CORPORACION UNIVERSITARIA AUTONOMA DEL CAUCA</t>
  </si>
  <si>
    <t>UNIVERSIDAD DE LA FRONTERA - CHILE</t>
  </si>
  <si>
    <t>INSTITUTO DE AVIACION S.ORDZHONIKIDZ DE MOSCU - RUSIA</t>
  </si>
  <si>
    <t>INSTITUTO SUPERIOR TECNOLOGICO PRIVADO PERUANO DE SISTEMAS SISE - PERU</t>
  </si>
  <si>
    <t>UNIVERSIDAD ESTATAL TECNICA DE VINNITSA - RUSIA</t>
  </si>
  <si>
    <t>CORPORACION CENTRO SUPERIOR DE SISTEMAS CENTROSISTEMAS</t>
  </si>
  <si>
    <t>UNIVERSITY OF REGINA - CANADA</t>
  </si>
  <si>
    <t>INSTITUTO POLITECNICO DE TASHKENT - MOSCU</t>
  </si>
  <si>
    <t>CORPORACION EDUCATIVA CENTRO SUPERIOR DE CALI</t>
  </si>
  <si>
    <t>INSTITUTO UNIVERSITARIO POLITECNICO SANTIAGO MARIÑO - VENEZUELA</t>
  </si>
  <si>
    <t>FUNDACION UNIVERSITARIA DEL AREA ANDINA EN CONVENIO CON UNIVERSIDAD DEL TOLIMA</t>
  </si>
  <si>
    <t>FUNDACION UNIVERSITARIA DEL AREA ANDINA EN CONVENIO CON UNIV. DEL TOLIMA</t>
  </si>
  <si>
    <t>UNIVERSIDAD DE MINERIA Y METALURGIA DE STANISLAW STASZIC-CRACOVIA-POLONIA</t>
  </si>
  <si>
    <t>UNIVERSIDAD DEL TOLIMA EN CONVENIO UNIVERSIDAD SURCOLOMBIANA</t>
  </si>
  <si>
    <t>UNIVERSIDAD EAN</t>
  </si>
  <si>
    <t>UNIVERSIDAD DE CIENCIAS APLICADAS Y AMBIENTALES UDCA - CORP. EDUCATIVA DEL LITORAL</t>
  </si>
  <si>
    <t>UNIV. DE CIENCIAS APLICADAS AMBIENTALES UDCA-CORPORACION  EDU. DEL LITORAL</t>
  </si>
  <si>
    <t>UNIVERSIDAD EOTUOS LOVAND-HUNGRIA</t>
  </si>
  <si>
    <t>INSTITUTO POLITECNICO DE LA CIUDAD DE PERM-RUSIA</t>
  </si>
  <si>
    <t>CORPORACION INTERAMERICANA DE EDUCACION SUPERIOR</t>
  </si>
  <si>
    <t>FUNDACION TECNOLOGICA AUTONOMA DEL PACIFICO</t>
  </si>
  <si>
    <t>UNIVERSIDAD NACIONAL EXPERIMENTAL POLITECNICA ANTONIO JOSE DE SUCRE - VENEZUELA</t>
  </si>
  <si>
    <t>CORPORACION POLITECNICO MARCO FIDEL SUAREZ</t>
  </si>
  <si>
    <t>CENTRO DE ESTUDIO DIRIGIDO CED</t>
  </si>
  <si>
    <t>UNIVERSIDAD TECNOLOGICA CENTROAMERICANA-HONDURAS</t>
  </si>
  <si>
    <t>UNIVERSIDAD NACIONAL EXPERIMENTAL POLITECNICA DE LA FUERZA ARMADA NACIONAL - VENEZUELA</t>
  </si>
  <si>
    <t>UNIVERSIDAD NACIONAL EXP. POLITECNICA DE LA FUERZA ARMADA NACIONAL - VENEZUELA</t>
  </si>
  <si>
    <t>POLITECNICO COLOMBIANO</t>
  </si>
  <si>
    <t>INSTITUTO UNIVERSITARIO DE TECNOLOGIA INDUSTRIAL -VENEZUELA</t>
  </si>
  <si>
    <t>UNIVERSIDAD DE AVIACION CIVIL DE RIGA - RUSIA</t>
  </si>
  <si>
    <t>PONTIFICIA UNIVERSIDAD CATOLICA DE CHILE - CHILE</t>
  </si>
  <si>
    <t>INSTITUTO TECNICO CENTRAL ESCUELA TECNOLOGICA</t>
  </si>
  <si>
    <t>UNIVERSIDAD TECNICA PUBLICA DE PETROLEO DE UFA - RUSIA</t>
  </si>
  <si>
    <t>POLITECHNIKA WROCLAWSKA WROCLAW-POLONIA</t>
  </si>
  <si>
    <t>UNIVERSIDAD ESTATAL HIDROMETEOROLOGICA DE RUSIA</t>
  </si>
  <si>
    <t>UNIVERSIDAD DEL TOLIMA EN CONVENIO CON LA UNIVERSIDAD DE CORDOBA</t>
  </si>
  <si>
    <t>CORPORACION UNIVERSITARIA DE BOYACA</t>
  </si>
  <si>
    <t>UNIVERSIDAD CATOLICA NUESTRA SEÑORA DE LA ASUNCION-PARAGUAY</t>
  </si>
  <si>
    <t>ESCUELA DE TECNOLOGIAS DE ANTIOQUIA</t>
  </si>
  <si>
    <t>GHULAM ISHAQ KHAN INSTITUTE OF ENGINEERING SCIENCES AND TECHNOLOGY</t>
  </si>
  <si>
    <t>ECOLE NATIONALE SUPERIEURE DES TECHNIQUES INSDUSTRIELLES ET DES MINES D ALE</t>
  </si>
  <si>
    <t>THE UNIVERSITY OF TEXAS AT AUSTIN - ESTADOS UNIDOS</t>
  </si>
  <si>
    <t>UNIVERSIDAD MANUELA BELTRAN UMB SECCIONAL BUCARAMANGA</t>
  </si>
  <si>
    <t>INSTITUTO DE ING. ELECTRICA LENINGRADO V.I. ULYANOV L RUSIA</t>
  </si>
  <si>
    <t>UNIVERSIDAD DE LAS AMERICAS CHILE</t>
  </si>
  <si>
    <t>FUNDACION UNIVERSITARIA INPAHU</t>
  </si>
  <si>
    <t>COLEGIO INTEGRADO NACIONAL ORIENTE DE CALDAS</t>
  </si>
  <si>
    <t>UNIVERSIDAD NACIONAL DE INGENIERIA - NICARAGUA</t>
  </si>
  <si>
    <t>CORPORACION UNIVERSITARIA REGIONAL DEL CARIBE - IAFIC</t>
  </si>
  <si>
    <t>UNIVERSITY OF MINNESOTA ESTADOS UNIDOS</t>
  </si>
  <si>
    <t>UNIVERSIDAD METROPOLITANA DE EDUCACION CIENCIA Y TECNOLOGIA UMECIT - PANAMA</t>
  </si>
  <si>
    <t>UNIVERSIDAD TECNOLOGICA METROPOLITANA CHILE</t>
  </si>
  <si>
    <t>UNIVERSIDAD ESTATAL DE SARATOV.N.G. CHERNYSHEVSKII RUSIA</t>
  </si>
  <si>
    <t>FACHHOCHSCHULE REUTLINGEN</t>
  </si>
  <si>
    <t>CORPORACION BOLIVARIANA DE EDUCACION SUPERIOR - ITECS</t>
  </si>
  <si>
    <t>UNIVERSIDAD DE IBAGUE</t>
  </si>
  <si>
    <t>UNIVERSIDAD DEL QUINDIO EN ASOCIO CON UNIVERSIDAD DEL TOLIMA</t>
  </si>
  <si>
    <t>UNIVERSIDAD TECNICA FEDERICO SANTAMARIA-CHILE</t>
  </si>
  <si>
    <t>CORPORACION REGIONAL DE EDUCACION SUPERIOR</t>
  </si>
  <si>
    <t>UNIVERSIDAD TECNOLOGICA INDOAMERICA - ECUADOR</t>
  </si>
  <si>
    <t>CORPORACION UNIVERSITARIA CENTRON SUPERIOR CUCES</t>
  </si>
  <si>
    <t>UNIVERSIDAD CATOLICA ANDRES BELLO - VENEZUELA</t>
  </si>
  <si>
    <t>UNIVERSIDAD FERMIN TORO - VENEZUELA</t>
  </si>
  <si>
    <t>UNIVERSIDAD TECNICA DE MANABI - ECUADOR</t>
  </si>
  <si>
    <t>UNIVERSIDAD TEC MILENIO MEXICO</t>
  </si>
  <si>
    <t>UNIVERSITA DEGLI STUDI DI TRIESTE - ITALIA</t>
  </si>
  <si>
    <t>INSTITUTO DE LA IND. TEXTIL Y LIGERA S.M. KIROV DE LENINGRADO RUSIA</t>
  </si>
  <si>
    <t>UNIVERSIDAD NACIONAL DE ASUNCION PARAGUAY</t>
  </si>
  <si>
    <t>UNIVERSIDAD DE ORIENTE - CUBA</t>
  </si>
  <si>
    <t>UNIVERSIDAD NACIONAL DE SAN ANTONIO ABAD DEL CUSCO - PERU</t>
  </si>
  <si>
    <t>UNIVERSIDADE DE COIMBRA PORTUGAL</t>
  </si>
  <si>
    <t>INSTITUTO TECNOLOGICO DE ESTUDIOS SUPERIORES DE MONTERREY</t>
  </si>
  <si>
    <t>UNIVERSIDAD CENTROCCIDENTAL LISANDRO ALVARADO VENEZUELA</t>
  </si>
  <si>
    <t>UNIVERSIDAD SIMON BOLIVAR BARUTA VENEZUELA</t>
  </si>
  <si>
    <t>INSTITUTO DE ING. DE GEODESIA AEROFOTOGRAFIA Y CARTOGRAFIA DE MOSCU</t>
  </si>
  <si>
    <t>UNIVERSIDAD NACIONAL DE LUJAN ARGENTINA</t>
  </si>
  <si>
    <t>UNIVERSIDAD PRIVADA DE CIENCIAS APLICADAS JORDANIA</t>
  </si>
  <si>
    <t>UNIVERSIDAD DEL ZULIA MARACAIBO - VENEZUELA</t>
  </si>
  <si>
    <t>UNIVERSIDAD MAYOR DE SAN SIMON COCHABAMBA-BOLIVIA</t>
  </si>
  <si>
    <t>GEORGE MASON UNIVERSITY ESTADOS UNIDOS</t>
  </si>
  <si>
    <t>UNIVERSIDAD ARTURO PRAT CHILE</t>
  </si>
  <si>
    <t>INST. DE ENSEÑANZA SUP. DEL EJERCITO-ESC. SUP. TEC. GRL DIV. MANUEL N. C.ARGENTINA</t>
  </si>
  <si>
    <t>INST.DE ENSEÑANZA SUP.DEL EJERCITO-ESC.SUP.TEC.GRL.DIV.MANUEL N.C.ARGENTINA</t>
  </si>
  <si>
    <t>UNIVERSIDAD DOMINICANA O &amp; M</t>
  </si>
  <si>
    <t>ESCUELA DE INGENIERIA DE ANTIOQUIA EN CONVENIO CON LA UNIVERSIDAD CES</t>
  </si>
  <si>
    <t>UNIVERSIDAD MAYOR DE SAN SIMON BOLIVIA</t>
  </si>
  <si>
    <t>MCNEESE STATE UNIVERSITY ESTADOS UNIDOS</t>
  </si>
  <si>
    <t>UNIVERSIDAD CATOLICA SANTO TORIBIO DE MOGROVEJO - PERU</t>
  </si>
  <si>
    <t>HILL COLLEGE ESTADOS UNIDOS</t>
  </si>
  <si>
    <t>FUNDACION CENTRO COLOMBIANO DE ESTUDIOS SUPERIORES CCED</t>
  </si>
  <si>
    <t>ESCUELA MILITAR DE AVIACION MARCO FIDEL SUAREZ</t>
  </si>
  <si>
    <t>DIE UNIVERSITAT FRIDERICIANA ZU KARLSRUHE - ALEMANIA</t>
  </si>
  <si>
    <t>CORPORACION ESCUELA SUPERIOR DE ADMINISTRACION Y ESTUDIOS TECNOLOGICOS</t>
  </si>
  <si>
    <t>UNIVERSIDAD NACIONAL AUTONOMA DE MEXICO - MEXICO</t>
  </si>
  <si>
    <t>UNIVERSIDAD DIEGO PORTALES - CHILE</t>
  </si>
  <si>
    <t>INSTITUTO ESTATAL HIDROMETEOROLOGICO SAN PETERSBURGO - RUSIA</t>
  </si>
  <si>
    <t>UNIVERSIDAD DE CIENCIAS APLICADAS DE MUNSTER - ALEMANIA</t>
  </si>
  <si>
    <t>SOUTHERN POLYTECHNIC STATE UNIVERSITY - ESTADOS UNIDOS</t>
  </si>
  <si>
    <t>UNIVERSIDAD PRIVADA ANTENOR ORREGO DE TRUJILLO - PERU</t>
  </si>
  <si>
    <t>INSTITUT SUPERIEUR DE TECHNOLOGIE ET MANAGEMENT - FRANCIA</t>
  </si>
  <si>
    <t>UNIVERSIDAD AGRARIA DE LA HABANA - CUBA</t>
  </si>
  <si>
    <t>ESCUELA DE TECNOLOGIAS DE ANTIOQUIA EN CONV. CON EL MPIO DE RIONEGRO FUND. UNIV. FUNORIE</t>
  </si>
  <si>
    <t>ESC. DE TECNOLOGIAS DE ANT. - CONV. MPIO. DE RIONEGRO FUND. UNIV. FUNORIE</t>
  </si>
  <si>
    <t>UNIVERSIDAD DEL TOLIMA EN CONVENIO CON LA UNIVERSIDAD DE LA AMAZONIA</t>
  </si>
  <si>
    <t>UNIVERSIDAD TECNOLOGICA NACIONAL - ARGENTINA</t>
  </si>
  <si>
    <t>UNIVERSIDAD CATOLICA BOLIVIANA SAN PABLO - BOLIVIA</t>
  </si>
  <si>
    <t>UNIVERSIDAD LATINA DE PANAMA - PANAMA</t>
  </si>
  <si>
    <t>UNIVERSIDADE FEDERAL DA BAHIA - BRASIL</t>
  </si>
  <si>
    <t>INSTITUTO UNIVERSITARIO DE LA FRONTERA - VENEZUELA</t>
  </si>
  <si>
    <t>UNIVERSIDAD JOSE ANTONIO PAEZ - VENEZUELA</t>
  </si>
  <si>
    <t>UNIVERSIDAD DE CARABOBO - VENEZUELA</t>
  </si>
  <si>
    <t>UNIVERSIDAD DEL TOLIMA EN CONVENIO CON LA UNIVERSIDAD DE LOS LLANOS</t>
  </si>
  <si>
    <t>UNIVERSIDAD TECNOLOGICA AMERICA - ECUADOR</t>
  </si>
  <si>
    <t>INSTITUTO TECNOLOGICO DE BUENOS AIRES - ARGENTINA</t>
  </si>
  <si>
    <t>INSTITUTO DE INGENIEROS CIVIL DE KIEV - U.R.S.S.</t>
  </si>
  <si>
    <t>UNIVERSIDAD DE MINAS DE OSTRAVA REP. SOCIALISTA DE CHECOSLOVAQUIA</t>
  </si>
  <si>
    <t>INSTITUTO UNIVERSITARIO POLITECNICO DE LAS FUERZAS ARMADAS - VENEZUELA</t>
  </si>
  <si>
    <t>UNIVERSIDAD DE CUNDINAMARCA U.D.E.C.</t>
  </si>
  <si>
    <t>UNIVERSIDAD TECNOLOGICA DE EL SALVADOR - SALVADOR</t>
  </si>
  <si>
    <t>UNIVERSIDAD AUSTRAL DE CHILE - CHILE</t>
  </si>
  <si>
    <t>UNIVERSIDAD BLAS PASCAL - ARGENTINA</t>
  </si>
  <si>
    <t>UNIVERSIDAD PONTIFICIA DE SALAMANCA - ESPAÑA</t>
  </si>
  <si>
    <t>UNIVERSITY OF SOUTH DAKOTA - ESTADOS UNIDOS</t>
  </si>
  <si>
    <t>TECHNISCHE UNIVERSITAT GRAZ - AUSTRIA</t>
  </si>
  <si>
    <t>COLEGIO UNIVERSITARIO DR. RAFAEL BELLOSO CHACIN VENEZUELA</t>
  </si>
  <si>
    <t>UNIVERSIDAD INCCA DE COLOMBIA EN CONVENIO CON EL TECNOLOGICO CEDESISTEMAS</t>
  </si>
  <si>
    <t>UNIVERSIDAD ALEJANDRO DE HUMBOLDT - VENEZUELA</t>
  </si>
  <si>
    <t>UNIVERSIDAD EARTH - COSTA RICA</t>
  </si>
  <si>
    <t>UNIVERSIDAD NACIONAL DE COLOMBIA - UNIVERSIDAD DISTRITAL FRANSICO JOSE DE CALDAS</t>
  </si>
  <si>
    <t>UNIVERSIDAD NACIONAL DE COLOMBIA - UNIV. DISTRITAL FRANSICO JOSE DE CALDAS</t>
  </si>
  <si>
    <t>INSTITUTO SUPERIOR DE CIENCIAS AGROPECUARIAS DE LA HABANA - CUBA</t>
  </si>
  <si>
    <t>UNIVERSIDAD AGRARIA DEL ECUADOR - ECUADOR</t>
  </si>
  <si>
    <t>ESCUELA SUPERIOR POLITECNICA DE CHIMBORAZO - ECUADOR</t>
  </si>
  <si>
    <t>ESCUELA NACONAL DE AGRICULTURA DE QUILLAN - ECUADOR</t>
  </si>
  <si>
    <t>INSTITUTO SUPERIOR DE AGRICULTURA DEL KUBAN - URSS</t>
  </si>
  <si>
    <t>INSTITUCION UNIVERSITARIA ANTONIO JOSE CAMACHO</t>
  </si>
  <si>
    <t>INSTITUTO TECNICO AGRICOLA ITA</t>
  </si>
  <si>
    <t>INSTITUTO INDUSTRIAL DE TYUMEN - RUSIA</t>
  </si>
  <si>
    <t>ESCUELA POLITECNICA JAVERIANA DEL ECUADOR - QUITO</t>
  </si>
  <si>
    <t>FUNDACION UNIVERSITARIA TECNOLOGICO COMFENALCO</t>
  </si>
  <si>
    <t>ACADEMIA AGROPECUARIA JORGE DIMITROV - BULGARIA</t>
  </si>
  <si>
    <t>FUNDACION TECNOLOGICA FITEC</t>
  </si>
  <si>
    <t>BACCALAUREI-SCIENTIARUM-AGRARIARUM DE LA PUERTO RICO EN MAYAGÜEZ</t>
  </si>
  <si>
    <t>CENTRAL DEL ESTE - REPUBLICA DOMINICANA</t>
  </si>
  <si>
    <t>CENTRO UNIVERSITARIO DE PINAR DEL RIO - CUBA</t>
  </si>
  <si>
    <t>COLEGIO SUPERIOR NAVAKAJOVKA - URSS</t>
  </si>
  <si>
    <t>ESCUELA NACIONAL SUPERIOR AGRONÓMICA DE MONTPELLIER - FRANCIA</t>
  </si>
  <si>
    <t>ESCUELA NACIONAL AGRICULTURA Y GANADERIA - NICARAGUA</t>
  </si>
  <si>
    <t>ESCUELA SUPERIOR DE AGRONOMIA DE VIENA - AUSTRIA</t>
  </si>
  <si>
    <t>INSTITUTO AGRONOMICO NICOLAS BALCESCU DE BUCAREST - RUMANIA</t>
  </si>
  <si>
    <t>ESCUELA SUPERIOR DE AGRONOMIA - BAD FREINWALDE - ALEMANIA</t>
  </si>
  <si>
    <t>UNIVERSIDAD FEDERAL DE PELOTAS - BRASIL</t>
  </si>
  <si>
    <t>GEORGIA AUGUSTA UNIVERSITE DE GOLTIENGEN - ALEMANIA</t>
  </si>
  <si>
    <t>UNIVERSIDAD DE HAWAII</t>
  </si>
  <si>
    <t>INSTITUTO AGRICOLA NACIONAL - CUBA</t>
  </si>
  <si>
    <t>INSTITUTO AGRICOLA SUPERIOR V. KOLAROV - BULGARIA</t>
  </si>
  <si>
    <t>INSTITUTO DE AGRICULTURA V.V.DOKUCHAER DE JARKOV - URSS</t>
  </si>
  <si>
    <t>UNIVERSIDAD DE CIEGO DE AVILA - CUBA</t>
  </si>
  <si>
    <t>INSTITUTO VASIL KOLAROV PLOVDIV - BULGARIA</t>
  </si>
  <si>
    <t>NATIONAL AGRICULTURAL COLLEGE PENNSYLVANIA - ESTADOS UNIDOS</t>
  </si>
  <si>
    <t>UNIVERSIDAD DE PRAGA - CHECOSLOVAQUIA</t>
  </si>
  <si>
    <t>ESCOLA SUPERIOR DE AGRICULTURA LUIZ DE QUEIROZ - BRASIL</t>
  </si>
  <si>
    <t>SARAJEVA REPUBLICA SACRALISTA DE YUGOSLAVIA</t>
  </si>
  <si>
    <t>TARLETON STATE COLLEGE - ESTADOS UNIDOS</t>
  </si>
  <si>
    <t>UNIVERSIDAD TECNICA DE AMBATO - ECUADOR</t>
  </si>
  <si>
    <t>UNIVERSIDAD CATOLICA BOLIVIANA- BOLIVIA</t>
  </si>
  <si>
    <t>U- RURAL - ESCOLA NACIONAL DE AGRONOMICA - BRASIL</t>
  </si>
  <si>
    <t>UNIVERSIDAD NACIONAL AGRARIA LA MOLINA - PERU</t>
  </si>
  <si>
    <t>UNIMINUTO - CORPORACION UNIVERSITARIA MINUTO DE DIOS</t>
  </si>
  <si>
    <t>UNIVERSIDAD AGRARIA ESTATAL V.V.</t>
  </si>
  <si>
    <t>UNIVERSIDAD AUTONOMA DE CHIHUAHUA - MEXICO</t>
  </si>
  <si>
    <t>UNIVERSIDAD CARLOS MARX DE LEIPZIG - ALEMANIA</t>
  </si>
  <si>
    <t>UNIVERSIDAD CATOLICA TECNOLOGICA DEL CIBAO - REPUBLICA DOMINICANA</t>
  </si>
  <si>
    <t>UNIVERSIDAD DE GIESSEN - ALEMANIA</t>
  </si>
  <si>
    <t>UNIVERSIDAD DR. PETRU GROZA CLEY NOPOCA - RUMANIA</t>
  </si>
  <si>
    <t>UNIVERSITAT GESAMTHOCHSCHULE KASSEL - ALEMANIA</t>
  </si>
  <si>
    <t>UNIVERSIDAD JORGE TADEO LOZANO - UNIVERSIDAD NACIONAL DE COLOMBIA</t>
  </si>
  <si>
    <t>UNIVERSIDAD NACIONAL AGRARIA - NICARAGUA</t>
  </si>
  <si>
    <t>UNIVERSIDAD NACIONAL DEL NORDESTE - ARGENTINA</t>
  </si>
  <si>
    <t>PANNON UNIVERSITY OF AGRICULTURE SCIENCES - HUNGRIA</t>
  </si>
  <si>
    <t>UNIVERSIDAD TÉCNICA LUIS VARGAS TORRES DE ESMERALDAS - ECUADOR</t>
  </si>
  <si>
    <t>UNIVERSIDAD DE SAN MARTIN DE PORRES - PERU</t>
  </si>
  <si>
    <t>ECOLE NATIONALE DU GENIE DE L EAU ET DE LENVIRONNEMENT DE STRASBOURG - FRANCIA</t>
  </si>
  <si>
    <t>ECOLE NATIONALE DU GENIE DE L EAU ET DE LENVIRONNEMENT STRASBOURG - FRANCIA</t>
  </si>
  <si>
    <t>UNIVERSIDAD CATOLICA POPULAR DEL RISARALDA</t>
  </si>
  <si>
    <t>ITFIP INSTITUTO TOLIMENSE DE FORMACION TECNICA PROFESIONAL</t>
  </si>
  <si>
    <t>UNIVERSIDAD TECNICA LATINOAMERICANA EL SALVADOR</t>
  </si>
  <si>
    <t>FUNDACION UNIVERSITARIA AGRARIA DE COLOMBIA</t>
  </si>
  <si>
    <t>INSTITUTO DE EDUCACION TECNICA PROFESIONAL ROLDANILLO-VALLE DEL CAUCA</t>
  </si>
  <si>
    <t>UNIVERSIDAD INCCA DE COLOMBIA EN CONVENIO SUSCRITO CON LA C. EDUC. CENTRO SUP. DE CALI</t>
  </si>
  <si>
    <t>UNIVERSIDAD INCCA DE COLOMBIA EN CONV. CON LA C. EDUC. CENTRO SUP. DE CALI</t>
  </si>
  <si>
    <t>POLITECNICO INTERNACIONAL</t>
  </si>
  <si>
    <t>UNIVERSITATEA DIN BUCARESTI - RUMANIA</t>
  </si>
  <si>
    <t>UNIVERSIDAD TECNOLOGICA METROPOLITANA - CHILE</t>
  </si>
  <si>
    <t>UNIVERSIDAD TECNOLOGICA DEL MAGDALENA</t>
  </si>
  <si>
    <t>UNIVERSITY OF ST. THOMAS - ESTADOS UNIDOS</t>
  </si>
  <si>
    <t>INSTITUTO SUPERIOR TECNOLOGICO NO ESTATAL SAN IGNACIO DE LOYOLA PERU</t>
  </si>
  <si>
    <t>UNIVERSIDAD INTERAMERICANA DE COSTA RICA - COSTA RICA</t>
  </si>
  <si>
    <t>UNIVERSIDAD DEL TOLIMA EN CONVENIO UNIVERSIDAD FRANCISCO DE PAULA SANTANDER</t>
  </si>
  <si>
    <t>CORPORACION UNIV. DE LA COSTA CUC- EN CONV. FUND. TECNOLOGICA ANT. DE AREVALO TECNAR</t>
  </si>
  <si>
    <t>CORP. UNIV. DE LA COSTA CUC  - CONV. FUND.TECNOLOGICA ANT.DE AREVALO TECNAR</t>
  </si>
  <si>
    <t>UNIVERSIDAD ARGENTINA DE LA EMPRESA - ARGENTINA</t>
  </si>
  <si>
    <t>UNIVERSIDAD DE ORIENTE DE VENEZUELA</t>
  </si>
  <si>
    <t>THE UNIVERSITY  OF BRITISH COLUMBIA - CANADA</t>
  </si>
  <si>
    <t>THE UNIVERSITY OF TEXAS AT SAN ANTONIO ESTADOS UNIDOS</t>
  </si>
  <si>
    <t>UNIVERSITE D EVRY VAL D ESSONNE - FRANCIA</t>
  </si>
  <si>
    <t>UNIVERSIDAD ALONSO DE OJEDA - VENEZUELA</t>
  </si>
  <si>
    <t>UNIVERSIDAD NACIONAL MAYOR DE SAN MARCOS - PERU</t>
  </si>
  <si>
    <t>WORCESTER POLYTECHNIC INSTITUTE - ESTADOS UNIDOS</t>
  </si>
  <si>
    <t>UNIVERSITE DE LAUSANNE - SUIZA</t>
  </si>
  <si>
    <t>THE GEORGIA INSTITUTE OF TECHNOLOGY-ATLANTA ESTADOS UNIDOS DE AMERICA</t>
  </si>
  <si>
    <t>CHRISTIAN BROTHERS UNIVERSITY - ESTADOS UNIDOS</t>
  </si>
  <si>
    <t>BOSTON UNIVERSITY - ESTADOS UNIDOS</t>
  </si>
  <si>
    <t>INSTITUTO SALESIANO DE ESTUDIOS SUPERIORES - ARGENTINA</t>
  </si>
  <si>
    <t>ACADEMIA ESTATAL DE PETROLEO DE LA REP. DE AZERBAIDZHAN-BACU AZERBAIDZHAN</t>
  </si>
  <si>
    <t>PONTIFICIA UNIVERSIDAD CATOLICA DEL PERU - PERU</t>
  </si>
  <si>
    <t>THE UNIVERSITY OF SOUTHERN CALIFORNIA - ESTADOS UNIDOS</t>
  </si>
  <si>
    <t>INSTITUTO TECNOLOGICO DE SANTO DOMINGO - REPUBLICA DOMINICANA</t>
  </si>
  <si>
    <t>THE BELARUSSIAN NATIONAL TECHNICAL UNIVERSITY BIELORUSIA</t>
  </si>
  <si>
    <t>ARIZONA STATE UNIVERSITY ESTADOS UNIDOS</t>
  </si>
  <si>
    <t>CENTRO COLOMBO ANDINO</t>
  </si>
  <si>
    <t>UNIVERSIDAD NACIONAL EXPERIMENTAL SUR DEL LAGO JESUS MARIA SEMPRUM VENEZUELA</t>
  </si>
  <si>
    <t>UNIVERSIDAD NACIONAL DEL CALLAO - PERU</t>
  </si>
  <si>
    <t>ESCUELA TECNICA SUPERIOR DE INGENIEROS INDUSTRIALES DE MADRID - ESPAÑA</t>
  </si>
  <si>
    <t>UNIVERSIDAD AUTONOMA DE MADRID ESPAÑA</t>
  </si>
  <si>
    <t>ESCUELA DE LA AGRICULTURA DE LA REGION TROPICAL HUMEDA "EARTH" DE GUACIMO - COSTA RICA</t>
  </si>
  <si>
    <t>ESCUELA DE LA AGR. DE LA REG. TROPICAL HUMEDA EARTH DE GUACIMO - COSTA RICA</t>
  </si>
  <si>
    <t>UNIVERSIDAD AUTONOMA DEL ESTADO DE HIDALGO - MEXICO</t>
  </si>
  <si>
    <t>UNIVERSIDAD DE ORIENTE - VENEZUELA</t>
  </si>
  <si>
    <t>UNIVERSIDAD  YACAMBU - VENEZUELA</t>
  </si>
  <si>
    <t>UNIVERSIDAD DE MENDOZA ARGENTINA</t>
  </si>
  <si>
    <t>UNIVERSITY OF COLORADO - ESTADOS UNIDOS</t>
  </si>
  <si>
    <t>UNIVERSIDAD TECNOLOGICA DE MEXICO-MEXICO</t>
  </si>
  <si>
    <t>THE PENNSYLVANIA STATE UNIVERSITY ESTADOS UNIDOS</t>
  </si>
  <si>
    <t>ESCUELA DE LA AGR. DE LA REG. TROPICAL HUMEDA-GUACIMO - COSTA RICA</t>
  </si>
  <si>
    <t>DUBLIN INSTITUTE OF TECHNOLOGY IRLANDA</t>
  </si>
  <si>
    <t>UNIVERSIDAD TECNICA PARTICULAR DE LOJA-ECUADOR</t>
  </si>
  <si>
    <t>BENEMERITA UNIVERSIDAD AUTONOMA DE PUEBLA MEXICO</t>
  </si>
  <si>
    <t>UNIVERSIDAD CATOLICA DE CUENCA-ECUADOR</t>
  </si>
  <si>
    <t>INSTITUTO PROFESIONAL DUOC UC - CHILE</t>
  </si>
  <si>
    <t>SIEMENS TECHNIK AKADEMIE - ALEMANIA</t>
  </si>
  <si>
    <t>UNIVERSIDAD ALFONSO X EL SABIO - ESPAÑA</t>
  </si>
  <si>
    <t>UNIVERSIDAD AUTONOMA DE SINALOA - MEXICO</t>
  </si>
  <si>
    <t>UNIVERSITAT HOHENHEIM - ALEMANIA</t>
  </si>
  <si>
    <t>UNIVERSIDADE FEDERAL DE OURO PRETO - BRASIL</t>
  </si>
  <si>
    <t>ESCUELA DE AGRICULTURA DE LA REGION TROPICAL HUMEDA "EARTH" - COSTA RICA</t>
  </si>
  <si>
    <t>MACALESTER COLLEGE - ESTADOS UNIDOS</t>
  </si>
  <si>
    <t>HOFSTRA UNIVERSITY - ESTADOS UNIDOS</t>
  </si>
  <si>
    <t>INSTITUT NATIONAL AGRONOMIQUE PARIS-GRIGNON FRANCIA</t>
  </si>
  <si>
    <t>UNIVERSIDAD VIÑA DEL MAR - CHILE</t>
  </si>
  <si>
    <t>UNIVERSIDAD FIDELITAS - COSTA RICA</t>
  </si>
  <si>
    <t>UNIVERSIDAD NACIONAL EXPERIMENTAL DEL TACHIRA SAN CRISTOABAL- VENEZUELA</t>
  </si>
  <si>
    <t>UNIVERSIDAD DR. RAFAEL BELLOSO CHACIN - VENEZUELA</t>
  </si>
  <si>
    <t>FACHHOCHSCHULE NORDOSTNIEDERSACHSEN - ALEMANIA</t>
  </si>
  <si>
    <t>SECRETARIA DE EDUCACION PUBLICA- INST. TECNOLOGICO DE TIJUANA - MEXICO</t>
  </si>
  <si>
    <t>UNIVERSIDAD DEL PAIS VASCO - ESPAÑA</t>
  </si>
  <si>
    <t>UNIVERSIDAD PERUANA DE CIENCIAS APLICADAS - PERU</t>
  </si>
  <si>
    <t>FACHHOCHSCHULE AACHEN AACHEN - ALEMANIA</t>
  </si>
  <si>
    <t>UNIVERSIDAD DE SANTIAGO DE CHILE - CHILE</t>
  </si>
  <si>
    <t>UNIVERSIDAD POLITECNICA ESTATAL DE SAN PETERSBURGO RUSIA</t>
  </si>
  <si>
    <t>UNIVERSIDAD NACIONAL EXPERIMENTAL FRANCISCO DE MIRANDA-VENEZUELA</t>
  </si>
  <si>
    <t>UNIVERSIDAD TECNICA DE GEORGIA - TBILISI - UNION DE REPUBLICAS SOCIALISTAS SOVIETICAS</t>
  </si>
  <si>
    <t>INSTITUTO UNIVERSITARIO DE TECNOLOGIA VENEZUELA - VENEZUELA</t>
  </si>
  <si>
    <t>UNIVERSIDAD CENTROAMERICANA JOSE SIMEON CAÑAS - EL SALVADOR</t>
  </si>
  <si>
    <t>TECHNISCHE FACHHOCHSCHULE BERLIN UNIVERSITY OF APPLIED SCIENCES-ALEMANIA</t>
  </si>
  <si>
    <t>UNIVERSIDAD DEL ZULIA - VENEZUELA</t>
  </si>
  <si>
    <t>UNIVERSIDADE DO ALGARVE PORTUGAL</t>
  </si>
  <si>
    <t>UNIVERSIDAD NACIONAL EXPERIMENTAL DE GUAYANA - VENEZUELA</t>
  </si>
  <si>
    <t>INSTITUTO UNIVERSITARIO NUEVA ESPARTA - VENEZUELA</t>
  </si>
  <si>
    <t>BOURNEMOUTH UNIVERSITY - INGLATERRA</t>
  </si>
  <si>
    <t>UNIVERSIDAD DE LAS AMERICAS - ECUADOR</t>
  </si>
  <si>
    <t>UNIVERSIDAD DE LOS ANDES - CHILE</t>
  </si>
  <si>
    <t>INSTITUTO UNIVERSITARIO DE TECNOLOGIA DE VALENCIA - VENEZUELA</t>
  </si>
  <si>
    <t>UNIVERSITY OF ILLINOIS  - ESTADOS UNIDOS</t>
  </si>
  <si>
    <t>HARDING UNIVERSITY ESTADOS UNIDOS</t>
  </si>
  <si>
    <t>UNIVERSIDAD DE CIENFUEGOS CUBA</t>
  </si>
  <si>
    <t>INSTITUTO TECNOLOGICO DE ZACATECAS - MEXICO</t>
  </si>
  <si>
    <t>UNIVERSITY OF WISCONSIN - STEVENS POINT - ESTADOS UNIDOS</t>
  </si>
  <si>
    <t>UNIVERSIDADE FEDERAL FLUMINENSE BRASIL</t>
  </si>
  <si>
    <t>ESCUELA SUPERIOR POLITECNICA DEL LITORAL ECUADOR</t>
  </si>
  <si>
    <t>TECHNISCHE UNIVERSITAT MUNCHEN - ALEMANIA</t>
  </si>
  <si>
    <t>HOCHSCHULE PFORZHEIM - ALEMANIA</t>
  </si>
  <si>
    <t>RIJSWIJK UNIVERSITY OF PROFESSIONAL TECHNICAL EDUCATION - HOLANDA</t>
  </si>
  <si>
    <t>TULANE UNIVERSITY - ESTADOS UNIDOS</t>
  </si>
  <si>
    <t>CHRISTIAN ALBRECHTS UNIVERSITAT ZU KIEL - ALEMANIA</t>
  </si>
  <si>
    <t>RIGA TECHNOLOGICAL UNIVERSITY OF CIVIL AVIATION - RUSIA</t>
  </si>
  <si>
    <t>UNIVERSITY OF MIAMI CORAL GABLES  FLORIDA - U.S.A.</t>
  </si>
  <si>
    <t>UNIVERSITY OF MIAMI, CORAL GABLES,  FLORIDA - U.S.A.</t>
  </si>
  <si>
    <t>THE UNIVERSITY OF FLORIDA - ESTADOS UNIDOS</t>
  </si>
  <si>
    <t>INSTITUTO TECNOLOGICO Y DE ESTUDIOS SUPERIORES DE MONTERREY CAMPUS ESTADO DE MEXICO-MEXICO</t>
  </si>
  <si>
    <t>ESCUELA NACIONAL DE CIENCIAS FORESTALES - HONDURAS C.A.</t>
  </si>
  <si>
    <t>UNIVERSIDAD POLITECNICA DE VALENCIA - ESPAÑA</t>
  </si>
  <si>
    <t>UNIVERSIDAD NACIONAL DEL LITORAL -  ARGENTINA</t>
  </si>
  <si>
    <t>INST. DE ALTOS ESTUDIOS DE LA TÉC. EN LA IND. Y ECONOMIA PESQUERA DE ASTRAKHAM U. R. S.S.</t>
  </si>
  <si>
    <t>UNIVERSIDADE FEDERAL DE UBERLÀNDIA - BRASIL</t>
  </si>
  <si>
    <t>POLYTECHNIC UNIVERSITY OF PUERTO RICO - PUERTO RICO</t>
  </si>
  <si>
    <t>UTAH STATE UNIVERSITY ESTADOS UNIDOS</t>
  </si>
  <si>
    <t>UNIVERSIDAD DE EL SALVADOR - EL SALVADOR</t>
  </si>
  <si>
    <t>UNIVERSIDADE CATOLICA DE MINAS GERAIS - BRASIL</t>
  </si>
  <si>
    <t>FACULTADES INTEGRADAS DE SAO CARLOS - BRASIL</t>
  </si>
  <si>
    <t>INSTITUTO POLITECNICO DE ODESSA - UNION DE REPUBLICAS SOCIALISTAS SOVIETICAS</t>
  </si>
  <si>
    <t>INSTITUTO TECNOLOGICO DE VERACRUZ MEXICO</t>
  </si>
  <si>
    <t>UNIVERSIDADE FEDERAL DE SANTA CATARINA BRASIL</t>
  </si>
  <si>
    <t>UNIVERSIDAD DEL VALLE DE ATEMAJAC MEXICO</t>
  </si>
  <si>
    <t>FUNDACION UNIVERSITARIA CATOLICA</t>
  </si>
  <si>
    <t>UNIVERSIDAD LA SALLE - MEXICO</t>
  </si>
  <si>
    <t>UNIVERSIDAD DE EXTREMADURA ESPAÑA</t>
  </si>
  <si>
    <t>UNIVERSIDAD TECNICA DE ORURO - BOLIVIA</t>
  </si>
  <si>
    <t>UNIVERSITAT POLITECNICA DE CATALUNYA ESPAÑA</t>
  </si>
  <si>
    <t>UNIVERSIDAD DEL MAR CHILE</t>
  </si>
  <si>
    <t>TENNESSEE TECHNOLOGICAL UNIVERSITY  ESTADOS UNIDOS</t>
  </si>
  <si>
    <t>L ECOLE NATIONALE SUP. DE GEOLOGIE APPLIQ. ET DE PROSPECTION MINIERE FRANCIA</t>
  </si>
  <si>
    <t>INSTITUTO UNIVERSITARIO DE TECNOLOGIA - VENEZUELA</t>
  </si>
  <si>
    <t>UNIVERSIDAD ECOTEC ECUADOR</t>
  </si>
  <si>
    <t>UNIVERSITY OF GEORGIA ATHENS GEORGIA ESTADOS UNIDOS</t>
  </si>
  <si>
    <t>FUNDACION UNIVERSIDAD DE LAS AMERICAS - PUEBLA  MEXICO</t>
  </si>
  <si>
    <t>UNIVERSIDAD DE ESPECIALIDADES ESPIRITU SANTO - ECUADOR</t>
  </si>
  <si>
    <t>UNIVERSIDADE ESTADUAL DE CAMPINAS - BRASIL</t>
  </si>
  <si>
    <t>UNIVERSIDADE FEDERAL DE SANTA MARIA - BRASIL</t>
  </si>
  <si>
    <t>FACHHOCHSCHULE AACHEN - ALEMANIA</t>
  </si>
  <si>
    <t>UNIVERSIDAD TECNICA ESTATAL DE QUEVEDO ECUADOR</t>
  </si>
  <si>
    <t>UNIVERSIDAD CATOLICA DE SANTA MARIA - PERU</t>
  </si>
  <si>
    <t>UNIVERSIDAD AUTONOMA GABRIEL RENE MORENO BOLIVIA</t>
  </si>
  <si>
    <t>INSTITUTO PROFESIONAL Y TECNICO DE LA CHORREA PANAMA</t>
  </si>
  <si>
    <t>UNIVERSIDADE DO ESTADO DO RIO DE JANEIRO - BRASIL</t>
  </si>
  <si>
    <t>COLEGIO UNIVERSITARIO DE CARACAS - VENEZUELA</t>
  </si>
  <si>
    <t>INSTITUTO UNIVERSITARIO DE TECNOLOGIA RODOLFO LOERO ARISMENDI - VENEZUELA</t>
  </si>
  <si>
    <t>UNIVERSIDAD AUTONOMA DE BAJA CALIFORNIA MEXICO</t>
  </si>
  <si>
    <t>UNIVERSITY OF CENTRAL FLORIDA - ESTADOS UNIDOS</t>
  </si>
  <si>
    <t>MAHARSHI DAYANAND ROHTAK- INST. OF TECHNOLOGY &amp; MANAGEMENT FARIDABAD INDIA</t>
  </si>
  <si>
    <t>ACHARYA NAGARJUNA UNIVERSITY - INDIA</t>
  </si>
  <si>
    <t>INSTITUTO DE TECNOLOGIA ELECTRONICA DE GUILIN - CHINA</t>
  </si>
  <si>
    <t>UNIVERSIDADE LUTERANA DO BRASIL - BRASIL</t>
  </si>
  <si>
    <t>INSTITUTO TECNOLOGICO DE ZACATEPEC - MEXICO</t>
  </si>
  <si>
    <t>INSTITUTO TECNOLOGICO DE AERONAUTICA - BRASIL</t>
  </si>
  <si>
    <t>UNIVERSIDAD DE CIENCIA Y TECNOLOGIA DE DALIAN - CHINA</t>
  </si>
  <si>
    <t>UNIVERSIDAD NACIONAL DE TUCUMAN - ARGENTINA</t>
  </si>
  <si>
    <t>UNIVERSIDAD DE CANTABRIA ESPAÑA</t>
  </si>
  <si>
    <t>FACHHOCHSCHULE OSTCHWEIZ- SUIZA</t>
  </si>
  <si>
    <t>UNIVERSIDAD DE BROOKLYN COLLEGE DE NEW YORK</t>
  </si>
  <si>
    <t>THE UNITED STATES GEOLOGICAL</t>
  </si>
  <si>
    <t>DOKUS EYLUL UNIVERSITESI - TURQUIA</t>
  </si>
  <si>
    <t>INSTITUTO DE INGENIEROS  DE MINAS DE MOSCU-UNION DE REP. SOCIALISTAS SOVIETICAS</t>
  </si>
  <si>
    <t>UNIVERSITY OFWESTERN ONTARIO - CANADA</t>
  </si>
  <si>
    <t>INSTITUT NATIONAL POLYTECHNIQUE DE GRENOBLE  FRANCIA</t>
  </si>
  <si>
    <t>INSTITUTO TECNOLOGICO DE SALTILLO - MEXICO</t>
  </si>
  <si>
    <t>UNIVERSITY OF MISSOURI  ESTADOS UNIDOS</t>
  </si>
  <si>
    <t>UNIVERSIDAD TECNICA DE TOPOGRAFIA Y CARTOGRAFIA DE WUHAN CHINA</t>
  </si>
  <si>
    <t>INSTITUTO UNIVERSITARIO DE TECNOLOGIA ISAAC NEWTON - VENEZUELA</t>
  </si>
  <si>
    <t>INSTITUTO UNIVERSITARIO DE TECNOLOGIA DE MARACAIBO DON ROMULO GALLEGOS-VENEZUELA</t>
  </si>
  <si>
    <t>UNIVERSIDAD TECNOLOGICA DE NEZAHUALCOYOTL - MEXICO</t>
  </si>
  <si>
    <t>UNIVERSIDAD TECNOLOGICA DE AGUASCALIENTES - MEXICO</t>
  </si>
  <si>
    <t>TECHNICAL UNIVERSITY OF NOVA SCOTIA - CANADA</t>
  </si>
  <si>
    <t>OKLAHOMA STATE UNIVERSITY ESTADOS UNIDOS</t>
  </si>
  <si>
    <t>UNIVERSIDAD DE OVIEDO - ESPAÑA</t>
  </si>
  <si>
    <t>UNIVERSIDAD CATOLICA MADRE Y  - REPUBLICA DOMINICANA</t>
  </si>
  <si>
    <t>UNIVERSIDAD DE SALAMANCA - ESPAÑA</t>
  </si>
  <si>
    <t>BUDAPEST UNIVERSITY OF TECHNOLOGY AND ECONOMICS - HUNGRIA</t>
  </si>
  <si>
    <t>INSTITUTO UNIVERSITARIO TECNOLOGICO DE EJIDO VENEZUELA</t>
  </si>
  <si>
    <t>INSTITUTO UNIVERSITARIO DE NUEVAS PROFESIONES  VENEZUELA</t>
  </si>
  <si>
    <t>UNIVERSITY OF NOTRE DAME ESTADOS UNIDOS</t>
  </si>
  <si>
    <t>INSTITUTO UNIVERSITARIO DE TECNOLOGIA DEL MAR</t>
  </si>
  <si>
    <t>UNIVERSITY OF NEW SOUTH WALES AUSTRALIA</t>
  </si>
  <si>
    <t>UNIVERSIDAD NACIONAL EXPERIMENTAL SIMON RODRIGUEZ  VENEZUELA</t>
  </si>
  <si>
    <t>ECOLE NATIONALE SUPERIEURE DES MINES DE PARIS FRANCIA</t>
  </si>
  <si>
    <t>UNIVERSIDADE FEDERAL DE VICOSA - BRASIL</t>
  </si>
  <si>
    <t>ESCUELA DE SUBOFICIALES ANDRES M. DIAZ</t>
  </si>
  <si>
    <t>IMPERIAL COLLEGE LONDON - ROYAL SCHOOL OF MINES INGLATERRA</t>
  </si>
  <si>
    <t>INSTITUTO TECNOLOGICO DE TOLUCA MEXICO</t>
  </si>
  <si>
    <t>COLEGIO UNIVERSITARIO FERMIN TORO - VENEZUELA</t>
  </si>
  <si>
    <t>UNIVERSIDADE DA REGIAO DA CAMPAHNA BRASIL</t>
  </si>
  <si>
    <t>UNIVERSIDADE DE TRAS - OS MONTES E ALTO DOURO PORTUGAL</t>
  </si>
  <si>
    <t>UNIVERSIDAD  ORT URUGUAY - URUGUAY</t>
  </si>
  <si>
    <t>UNIVERSIDAD SAN FRANCISCO DE QUITO - ECUADOR</t>
  </si>
  <si>
    <t>INSTITUTO SUPERIOR DE CIENCIAS AGROPECUARIAS DE BAYAMO CUBA</t>
  </si>
  <si>
    <t>UNIVERSIDAD CENTRAL MARTHA ABREU DE LAS VILLAS CUBA</t>
  </si>
  <si>
    <t>UNIVERSITY OF VERMONT ESTADOS UNIDOS</t>
  </si>
  <si>
    <t>ESCOLA SUPERIOR DE AGRICULTURA DE LAVRAS BRASIL</t>
  </si>
  <si>
    <t xml:space="preserve">ESCOLA </t>
  </si>
  <si>
    <t>INSTITUTO TECNOLOGICO DE SAN LUIS POTOSI MEXICO</t>
  </si>
  <si>
    <t>INSTITUTO UNIV. DE TECNOLOGIA DE ADMINISTRACION INDUSTRIAL VENEZUELA</t>
  </si>
  <si>
    <t>L UNIVERSITA DEGLI STUDI DI SALERNO ITALIA</t>
  </si>
  <si>
    <t>UNIVERSIDAD NORORIENTAL GRAN MARISCAL DE AYACUCHO  VENEZUELA</t>
  </si>
  <si>
    <t>HIGHER INSTITUTE OF ARCHITECTURE AND CIVIL ENGINEERING - SOFIA BULGARIA</t>
  </si>
  <si>
    <t>PERDUE UNIVERSITY ESTADOS UNIDOS</t>
  </si>
  <si>
    <t>UNIVERSITE PARIS VI FRANCIA</t>
  </si>
  <si>
    <t>UNIVERSIDAD NACIONAL DE CUYO - ARGENTINA</t>
  </si>
  <si>
    <t>UNIVERSITE DE NANCY I FRANCIA</t>
  </si>
  <si>
    <t>UNIVERSIDAD PONTIFICIA COMILLAS ESPAÑA</t>
  </si>
  <si>
    <t>UNIVERSIDAD CATOLICA DE SANTIAGO DEL ESTERO ARGENTINA</t>
  </si>
  <si>
    <t>UNIVERSIDAD DR JOSE GREGORIO HERNANDEZ VENEZUELA</t>
  </si>
  <si>
    <t>UNIVERSIDAD LATINA HEREDIA DE COSTARICA COSTA RICA</t>
  </si>
  <si>
    <t>UNIVERSIDAD SANTIAGO DE COMPOSTELA ESPAÑA</t>
  </si>
  <si>
    <t>UNIVERSIDAD DE LA SERENA CHILE</t>
  </si>
  <si>
    <t>ALABAMA AGRICULTURAL AND MECHANICAL UNIVERSITY ESTADOS UNIDOS</t>
  </si>
  <si>
    <t>UNIVERSIDAD DE JIAMUSI CHINA</t>
  </si>
  <si>
    <t>UNIVERSIDAD DE CORREO Y TELECOMUNICACION DE BEIJING CHINA</t>
  </si>
  <si>
    <t>UNIVERSITY OF MADRAS INDIA</t>
  </si>
  <si>
    <t>SHARIF UNIVERSITY TECHNOLOGY IRAN</t>
  </si>
  <si>
    <t>BANGALORE UNIVERSITY INDIA</t>
  </si>
  <si>
    <t>UNIVERSIDAD AUTONOMA DE NUEVO LEON - MEXICO</t>
  </si>
  <si>
    <t>UNIVERSIDAD TECNICA DEL NORTE - ECUADOR</t>
  </si>
  <si>
    <t>UNIVERSIDAD TECNOLOGICA DE TABASCO - MEXICO</t>
  </si>
  <si>
    <t>THE MONTANA UNIVERSITY SYSTEM ESTADOS UNIDOS</t>
  </si>
  <si>
    <t>UNIVERSIDAD NACIONAL DE SAN JUAN  ARGENTINA</t>
  </si>
  <si>
    <t>INSTITUTO SUPERIOR TECNOLOGICO PRIVADO TECSUP NO. 2 AREQUIPA PERU</t>
  </si>
  <si>
    <t>INSTITUTO UNIVERSITARIO POLITECNICO LUIS CABALLERO MEJIAS VENEZUELA</t>
  </si>
  <si>
    <t>UNIVERSITY OF INDIANAPOLIS ESTADOS UNIDOS</t>
  </si>
  <si>
    <t>UNIVERSIDAD DE CORUÑA - ESPAÑA</t>
  </si>
  <si>
    <t>DIE EIDGENOSSISCHE TECHNISCHE HOCHSCHULE ZURICH SUIZA</t>
  </si>
  <si>
    <t>ANNA UNIVERSITY CHENNAI INDIA</t>
  </si>
  <si>
    <t>UNIVERSIDAD DEL BIO - BIO - CHILE</t>
  </si>
  <si>
    <t>UNIVERSIDAD DE LEON ESPAÑA</t>
  </si>
  <si>
    <t>INSTITUTO HIDROMETEOROLOGICO DE LENINGRADO LENINGRADO UNION REP. SOC. SOVIETICAS</t>
  </si>
  <si>
    <t>UNIVERSIDAD ALBERT EINSTEIN EL SALVADOR</t>
  </si>
  <si>
    <t>UNIVERSIDAD ANDRES BELLO - CHILE</t>
  </si>
  <si>
    <t>UNIVERSIDAD INTERNACIONAL DE LAS AMERICAS - COSTA RICA</t>
  </si>
  <si>
    <t>INSTITUTO TECNOLOGICO AUTONOMO DE MEXICO - MEXICO</t>
  </si>
  <si>
    <t>UNIVERSIDAD DE CORDOBA ESPAÑA</t>
  </si>
  <si>
    <t>UNIVERSIDADE FEDERAL DE ITAJUBÁ BRASIL</t>
  </si>
  <si>
    <t>UNIVERSIDAD DE CIENFUEGOS CARLOS RAFAEL RODRIGUEZ CUBA</t>
  </si>
  <si>
    <t>MINISTERIO DE UNIVERSIDADES E INVESTIGACION ESPAÑA</t>
  </si>
  <si>
    <t>UNIVERSIDAD DE CADIZ ESPAÑA</t>
  </si>
  <si>
    <t>UNIVERSIDAD DE LA CORUÑA - ESPAÑA</t>
  </si>
  <si>
    <t>UNIVERSIDADE DE FORTALEZA BRASIL</t>
  </si>
  <si>
    <t>ANDHRA UNIVERSITY INDIA</t>
  </si>
  <si>
    <t>UNIVERSIDAD POLITECNICA DE CATALUÑA ESPAÑA</t>
  </si>
  <si>
    <t>ESCUELA POLITECNICA JAVERIANA DEL ECUADOR ECUADOR</t>
  </si>
  <si>
    <t>INSTITUTO  UNIVERSITARIO DE TECNOLOGIA DE CABIMAS - VENEZUELA</t>
  </si>
  <si>
    <t>CENTRO FEDERAL DE EDUCACAO TECNOLOGICA DO RIO GRANDE DO NORTE BRASIL</t>
  </si>
  <si>
    <t>UNIVERSIDAD TECNOLOGICA DE TULA TEPEJI MEXICO</t>
  </si>
  <si>
    <t>UNIVERSIDAD DE PLAYA ANCHA CHILE</t>
  </si>
  <si>
    <t>QUEEN S UNIVERSITY AT KINGSTON CANADA</t>
  </si>
  <si>
    <t>UNIVERSIDAD DON BOSCO EL SALVADOR</t>
  </si>
  <si>
    <t>UNIVERSIDAD DE DEUSTO ESPAÑA</t>
  </si>
  <si>
    <t>UNIVERSIDAD ALEJANDRO DE HUMBOLT VENEZUELA</t>
  </si>
  <si>
    <t>UNIVERSITE D AVIGNON ET DES PAYS DE VAUCLUSE FRANCIA</t>
  </si>
  <si>
    <t>INSTITUTO UNIVERSITARIO DE TECNOLOGIA JOSE ANTONIO ANZOATEGUI VENEZUELA</t>
  </si>
  <si>
    <t>INST. AZERBAIDZHANO DE QUIMICA Y PETROLEO M. AZIZBEKCV BACU U.DE REP. SOCIAL. SOV.</t>
  </si>
  <si>
    <t>PONTIFICIA UNIVERSIDADE CATOLICA DO RIO DE JANEIRO - BRASIL</t>
  </si>
  <si>
    <t>UNIVERSIDAD TECNOLOGICA DE HONDURAS HONDURAS</t>
  </si>
  <si>
    <t>UNIVERSIDAD DEL VALLE DE MEXICO MEXICO</t>
  </si>
  <si>
    <t>BIJU PATNAIK UNIVERSITY OF TECHNOLOGY ORISSA ROURKELA INDIA</t>
  </si>
  <si>
    <t>UNIVERSIDAD RUSA DE LA AMISTAD DE LOS PUEBLOS RUSIA</t>
  </si>
  <si>
    <t>UNIVERSIDAD PONTIFICIA COMILLAS DE MADRID ESPAÑA</t>
  </si>
  <si>
    <t>UNIVERSIDAD MIGUEL HERNANDEZ ESPAÑA</t>
  </si>
  <si>
    <t>UNIVERSIDAD AUTONOMA DE SAN LUIS POTOSI MEXICO</t>
  </si>
  <si>
    <t>RHEINISCHEN FRIEDRICH-WILHEMS-UNIVERSITAT BONN ALEMANIA</t>
  </si>
  <si>
    <t>UNIVERSITA DEGLI STUDI DI ROMA LA SAPIENZA ITALIA</t>
  </si>
  <si>
    <t>UNIVERSIDAD DE ALCALA ESPAÑA</t>
  </si>
  <si>
    <t>UNIVERSIDAD ESTATAL RUSA DE PETROLEO Y GAS I.M. GUBKIN RUSIA</t>
  </si>
  <si>
    <t>UNITED STATES NAVAL ACADEMY ESTADOS UNIDOS</t>
  </si>
  <si>
    <t>INSTITUTO SUPERIOR SAN IGNACIO DE LOYOLA PERU</t>
  </si>
  <si>
    <t>UNIVERSIDAD DE SEVILLA ESPAÑA</t>
  </si>
  <si>
    <t>KATHOLIEKE UNIVERSITEIT LUEVEN BELGICA</t>
  </si>
  <si>
    <t>UNIVERSITY INSTITUTE OF TECHNOLOGY BHOPAL INDIA</t>
  </si>
  <si>
    <t>UNIVERSIDAD DE BURGOS ESPAÑA</t>
  </si>
  <si>
    <t>BEACON COLLEGE ESTADOS UNIDOS</t>
  </si>
  <si>
    <t>UNIVERSIDAD DE GEOLOGIA DE CHINA</t>
  </si>
  <si>
    <t>UNIVERSITAT DE BARCELONA ESPAÑA</t>
  </si>
  <si>
    <t>UNIVERSIDAD NACIONAL FEDERICO VILLAREAL - PERU</t>
  </si>
  <si>
    <t>KURUKSHETRA UNIVERSITY INDIA</t>
  </si>
  <si>
    <t>UNIVERSIDAD ALONSO X EL SABIO -  ESPAÑA</t>
  </si>
  <si>
    <t>ORT URUGUAY ESCUELA DE SISTEMAS - URUGUAY</t>
  </si>
  <si>
    <t>UNIVERSIDAD AUTONOMA AGRARIA ANTONIO NARRO - MEXICO</t>
  </si>
  <si>
    <t>UNIVERSITAT POLITECNICA DE VALENCIA ESPAÑA</t>
  </si>
  <si>
    <t>UNIVERSITAT AUTONOMA DE BARCELONA ESPAÑA</t>
  </si>
  <si>
    <t>UNIVERSIDAD ANAHUAC MEXICO</t>
  </si>
  <si>
    <t>MINISTERIO DE EDUCACION Y CIENCIA ESPAÑA</t>
  </si>
  <si>
    <t>UNIVERSITY OF THE WEST INDIES - TRINIDAD Y TOBAGO</t>
  </si>
  <si>
    <t>ECOLE PRATIQUE DES HAUTES ETUDES COMMERCIALES BELGICA</t>
  </si>
  <si>
    <t>HOCHSHULE EMDEN-LEER ALEMANIA</t>
  </si>
  <si>
    <t>UNIVERSIDAD PRIVADA DE SANTA CRUZ DE LA SIERRA - BOLIVIA</t>
  </si>
  <si>
    <t>INSTITUTO TECNOLOGICO SUPERIOR DE XALAPA - MEXICO</t>
  </si>
  <si>
    <t xml:space="preserve"> INSTITUTO TECNOLOGICO SUPERIOR DE XALAPA- MEXICO</t>
  </si>
  <si>
    <t>INSTITUTO PROFESIONAL INACAP CHILE</t>
  </si>
  <si>
    <t>UNIVERSIDAD CENTRAL DEL ECUADOR - ECUADOR</t>
  </si>
  <si>
    <t>AMERICAN COLLEGE OF COMPUTER - INFORMATION SCIENCES ESTADOS UNIDOS</t>
  </si>
  <si>
    <t>INSTITUTO UNIVERSITARIO DE MERCADOTECNIA - VENEZUELA</t>
  </si>
  <si>
    <t>UNIVERSIDADE FEDERAL DO PARANA - BRASIL</t>
  </si>
  <si>
    <t>CORPORACION UNIVERSITARIA REMINGTON</t>
  </si>
  <si>
    <t>UNIVERSITA DEGLI STUDI DI BRESCIA ITALIA</t>
  </si>
  <si>
    <t>ATLANTIS UNIVERSITY ESTADOS</t>
  </si>
  <si>
    <t>CORPORACION UNIVERSITARIA EMPRESARIAL ALEXANDER VON HUMBOLDT</t>
  </si>
  <si>
    <t>CEDINPRO FUNDACION DE EDUCACION SUPERIOR</t>
  </si>
  <si>
    <t>THE PENNSYLVANIA STATE UNIVERSITY</t>
  </si>
  <si>
    <t>UNIVERSITEIT GENT BELGICA</t>
  </si>
  <si>
    <t>INSTITUTO DE EDUCACION SECUNDARIA LAS FUENTEZUELAS DE JAEN ESPAÑA</t>
  </si>
  <si>
    <t>INSTITUTO POLITECNICO DE KAZAJISTAN V.J. LENIN KAZAKSTAN</t>
  </si>
  <si>
    <t>LEHRLINGSSTELLE DER KAMMER DER GEWERBLICHEN WIRTSCHAFT FURTIROL AUSTRIA</t>
  </si>
  <si>
    <t>COLEGIO UNIVERSITARIO DE ADMINISTRACION Y MERCADEO VENEZUELA</t>
  </si>
  <si>
    <t>NORTHROP UNIVERSITY ESTADOS UNIDOS</t>
  </si>
  <si>
    <t>UNIVERSIDAD JUAREZ DEL ESTADO DE DURANGO MEXICO</t>
  </si>
  <si>
    <t>UNIVERSIDADE DO PORTO PORTUGAL PORTUGAL</t>
  </si>
  <si>
    <t>FUNDACION UNIVERSITARIA CAFAM</t>
  </si>
  <si>
    <t>SOUTHERN ALBERTA INSTITUTE OF TECHNOLOGY CANADA</t>
  </si>
  <si>
    <t>ITA-BUGA</t>
  </si>
  <si>
    <t>INSTITUTO MILITAR DE ENGENHARIA BRASIL</t>
  </si>
  <si>
    <t>CENTRO DE EDUCACION MILITAR</t>
  </si>
  <si>
    <t>UNIVERSITA DEGLI STUDI DI MESSINA ITALIA</t>
  </si>
  <si>
    <t>UNIVERSIDAD NACIONAL EXPERIMENTAL RAFAEL MARIA BARALT VENEZUELA</t>
  </si>
  <si>
    <t>UNIVERSIDAD DE PALERMO ARGENTINA</t>
  </si>
  <si>
    <t>UNIVERSIDADE METODISTA DE PIRACICABA BRASIL</t>
  </si>
  <si>
    <t>INSTITUCION DE EDUCACION SUPERIOR COLEGIO INTEGRADO NACIONAL ORIENTE DE CALDAS PENSILVANIA CALDAS</t>
  </si>
  <si>
    <t>INST. DE E. SUP.  COL. INT. NAL. ORIENTE DE CALDAS PENSILVANIA CALDAS</t>
  </si>
  <si>
    <t xml:space="preserve">FUNDACAO ARMANDO ALVARES PENTEADO BRASIL </t>
  </si>
  <si>
    <t xml:space="preserve">PONTIFICIA UNIVERSIDADE CATOLICA DO RIO GRANDE DO SUL  BRASIL </t>
  </si>
  <si>
    <t>CENTRO UNIV. DO INSTITUTO MAUA DE TECNOLOGIA  ESCOLA DE ENG. MAUA BRASIL</t>
  </si>
  <si>
    <t>ECOLE NATIONALE D INGENIEURS DE TARBES FRANCIA</t>
  </si>
  <si>
    <t xml:space="preserve">UNIVERSITY OF TULSA ESTADOS UNIDOS </t>
  </si>
  <si>
    <t>UNIVERSIDAD BOLIVARIANA DE VENEZUELA VENEZUELA</t>
  </si>
  <si>
    <t>INSTITUCION UNIVERSITARIA POLITECNICO GRANCOLOMBIANO</t>
  </si>
  <si>
    <t>CENTRO DE FORMACION TECNICA INACAP CHILE</t>
  </si>
  <si>
    <t xml:space="preserve">UNIVERSIDADE SALGADO DE OLIVEIRA BRASIL </t>
  </si>
  <si>
    <t>CORP. UNIV. DE LA COSTA CUC EN CONV. FUND. TECNOLOGICA ANT. AREVALO TECNAR</t>
  </si>
  <si>
    <t>CORP. UNIV. DE LA COSTA CUC EN CONV. FUND.TECNOLOGICA ANT.AREVALO TECNAR</t>
  </si>
  <si>
    <t>JUAN D CASTELLANOS FUNDACION UNIVERSITARIA</t>
  </si>
  <si>
    <t>JUAN D CASTELLANOS FUNDACION UNIVERSITARI</t>
  </si>
  <si>
    <t>MINISTERIO DE EDUCACION NACIONAL</t>
  </si>
  <si>
    <t>MINISTERIO DE EDUCACION NACIONA</t>
  </si>
  <si>
    <t xml:space="preserve">INSTITUTO POLITECNICO DE LISBOA PORTUGAL </t>
  </si>
  <si>
    <t xml:space="preserve">UNIVERSIDAD CATOLICA DEL TACHIRA - VENEZUELA </t>
  </si>
  <si>
    <t>UNIVERSIDAD TECNOLOGICA PRIVADA DE SANTA CRUZ BOLIVIA</t>
  </si>
  <si>
    <t>UNIVERSIDAD INTERNACIONAL SEK ECUADOR</t>
  </si>
  <si>
    <t>UNIVERSIDAD ESTATAL TECNOLOGICA DE BELGOROD RUSIA</t>
  </si>
  <si>
    <t>UNIVERSITY OF EAST LONDON INGLATERRA</t>
  </si>
  <si>
    <t>EL INST. DE MINERIA DE LENINGRADO G.V. PLEKHANOV U. DE REP. SOC. SOVIETICAS</t>
  </si>
  <si>
    <t>EL INST. DE MINERIA DE LENINGRADO G.V. PLEKHANOV U. REP. SOC.  SOVIETICAS</t>
  </si>
  <si>
    <t xml:space="preserve">LA ESCUELA COLOMBIANA DE INGENIERIA JULIO GARVITO Y LA UNIVERSIDAD DEL ROSARIO </t>
  </si>
  <si>
    <t>LA ESCUELA COLOMBIANA DE INGENIERIA JULIO GARVITO Y LA UNIVERSIDAD DEL ROSARIO</t>
  </si>
  <si>
    <t>QUEENS COLLEGE THE CITY UNIVERSITY OF NEW YORK ESTADOS UNIDOS</t>
  </si>
  <si>
    <t>FLORIDA INSTITUTE OF TECHNOLOGY ESTADOS UNIDOS DE AMERICA</t>
  </si>
  <si>
    <t>CORPORACION UNIVERSITARIA ANTONIO JOSE DE SUCRE</t>
  </si>
  <si>
    <t>UNIVERSIDADE PRESBITERIANA MACKENZIE BRASIL</t>
  </si>
  <si>
    <t>TEXAS SOUTHERN UNIVERSITY ESTADOS UNIDOS DE AMERICA</t>
  </si>
  <si>
    <t>UNIVERSIDAD CAECE ARGENTINA</t>
  </si>
  <si>
    <t>PONTIFICIA UNIVERSIDAD CATOLICA DE VALPARAISO - CHILE</t>
  </si>
  <si>
    <t>INSTITUTO INTERNACIONAL DE ESTUDIOS SUPERIORES MEXICO</t>
  </si>
  <si>
    <t>INSTITUTO UNIVERSITARIO POLITECNICO DE BARQUISIMETO VENEZUELA</t>
  </si>
  <si>
    <t>DIRECCION NACIONAL DE ESCUELAS INSTITUCION UNIVERSITARIA</t>
  </si>
  <si>
    <t>BUSINESS COLLEGE FRANCIA</t>
  </si>
  <si>
    <t>INSTITUCION DE ED. SUP. C. INTEGRADO NAL. ORIENTE DE CALDAS P CALDAS</t>
  </si>
  <si>
    <t>AMERICAN BUSINESS SCHOOL</t>
  </si>
  <si>
    <t>UNIVERSIDADE CATOLICA DE SANTOS BRASIL</t>
  </si>
  <si>
    <t>INSTITUTO SUPERIOR POLITECNICO DE AZERBAIDHZHAN CHINGUIZ LLDRIM BAKU - U.R.S.S.</t>
  </si>
  <si>
    <t>INSTITUTO SUPERIOR POLITECNICO DE AZERBAIDHZHAN CHINGUIZ LLDRIM BAKU - U.R.S.S</t>
  </si>
  <si>
    <t>COLEGIO UNIVERSITARIO FRANCISCO MIRANDA VENEZUELA</t>
  </si>
  <si>
    <t>COOPER UNION FOR THE ADVANCEMENT OF SCIENCIE AND ART ESTADOS UNIDOS</t>
  </si>
  <si>
    <t>UNIVERSIDADE PAULISTA BRASIL</t>
  </si>
  <si>
    <t>UNIVERSITA DI PALERMO ITALIA</t>
  </si>
  <si>
    <t>LINCOLN COLLEGE OF TECHNOLOGY ESTADOS UNIDOS DE AMERICA</t>
  </si>
  <si>
    <t>COLEGIO UNIVERSITARIO DE LOS TEQUES CECILIO ACOSTA VENEZUELA</t>
  </si>
  <si>
    <t xml:space="preserve">UNIVERSITY OF GREENWICH REINO UNIDO </t>
  </si>
  <si>
    <t xml:space="preserve"> INSTITUCION UNIVERSITARIA ITSA</t>
  </si>
  <si>
    <t>ITSA INSTITUCION UNIVERSITARIA</t>
  </si>
  <si>
    <t>UNIVERSIDAD PETROLERA DE CHINA CHINA</t>
  </si>
  <si>
    <t>CORPORACION INSTITUTO DE ADMNISTRACION Y FINANZAS CIAF</t>
  </si>
  <si>
    <t>INSTITUTO UNIVERSITARIO DE TECNOLOGIA DE ADMINISTRACION INDUSTRIAL IUTA</t>
  </si>
  <si>
    <t>INSTITUTO UNIV.  DE TECNOLOGIA DE  DE ADMINISTRACION INDUSTRIAL IUTA</t>
  </si>
  <si>
    <t>UNIVERSIDAD DE SAN PEDRO SULA HONDURAS</t>
  </si>
  <si>
    <t>UNIVERSIDAD IBIRAPUERA BRASIL</t>
  </si>
  <si>
    <t>UNIVERSITA DI PARMA ITALIA</t>
  </si>
  <si>
    <t>ESCUELA NACIONAL POLITECNICA ARGELIA</t>
  </si>
  <si>
    <t>UNIVERSIDAD NORORIENTAL PRIVADA GRAN MARISCAL DE AYACUCHO  VENEZUELA</t>
  </si>
  <si>
    <t>POLITECHNIKA WARSZAWSKA POLONIA</t>
  </si>
  <si>
    <t>UNIVERSIDAD METROPOLITANA PUERTO RICO</t>
  </si>
  <si>
    <t>FARMINGDALE STATE COLLEGE ESTADOS UNIDOS</t>
  </si>
  <si>
    <t>UNIVERSIDADE BRAZ CUBAS BRASIL</t>
  </si>
  <si>
    <t>UNIVERSITATU TRANSILVANIA DIN BRASOV RUMANIA</t>
  </si>
  <si>
    <t>FLORIDA METROPOLITAN UNIVERSITY ESTADOS UNIDOS</t>
  </si>
  <si>
    <t>UNIVERSIDAD CATOLICA DE HONDURAS HONDURAS</t>
  </si>
  <si>
    <t>UNIVERSIDAD ESTATAL DE AMISTAD DE LOS PUEBLOS DE RUSIA RUSIA</t>
  </si>
  <si>
    <t>FUNDACION TECNOLOGICA COLOMBO GERMANA</t>
  </si>
  <si>
    <t>UNIVERSIDAD NACIONAL DE LOJA ECUADOR</t>
  </si>
  <si>
    <t>UNIVERSIDAD EIA</t>
  </si>
  <si>
    <t>UNIVERSIDADE SANTA CECILIA BRASIL</t>
  </si>
  <si>
    <t xml:space="preserve">UNIVERSIDADE DE EVORA PORTUGAL </t>
  </si>
  <si>
    <t>SAINT FRANCIS COLLEGE ESTADOS UNIDOS</t>
  </si>
  <si>
    <t>CORPORACION EDUCATIVA DEL CARIBE CECAR</t>
  </si>
  <si>
    <t>UNIVERSIDAD EIA EN CONVENIO CON LA UNIVERSIDAD CES</t>
  </si>
  <si>
    <t>UNIVERSIDAD EIA - UNIVERSIDAD CES</t>
  </si>
  <si>
    <t>ACADEMIA TECNICA FORESTAL KIROV LENINGRADO UNION DE REP. SOCIALISTAS SOVIETICAS</t>
  </si>
  <si>
    <t>ACADEMIA TEC. FORESTAL KIROV LENINGRADO U REP. SOC. SOVIETICAS</t>
  </si>
  <si>
    <t>UNIVERSIDAD DE ALICANTE ESPAÑA</t>
  </si>
  <si>
    <t>CORPORACION UNIVERSITARIA DE SABANETA UNISABANETA</t>
  </si>
  <si>
    <t>UNIVERSIDAD ESTATAL M.V LOMONOSOV DE MOSCU RUSIA</t>
  </si>
  <si>
    <t>UNIVERSIDADE TECNOLOGICA FEDERAL DO PARANA BRASIL</t>
  </si>
  <si>
    <t>UNIVERSIDAD NACIONAL DE COLOMBIA SEDE PALMIRA</t>
  </si>
  <si>
    <t>CORPORACION EDUCATIVA PARA EL INCREMENTO DE LA PRODUCTIVIDAD CEIPRO</t>
  </si>
  <si>
    <t>CORPORACION EDUC. PARA EL INCREMENTO DE LA PRODUCT. CEIPRO</t>
  </si>
  <si>
    <t>INSTITUTO TECNOLOGICO DE CELAYA MEXICO</t>
  </si>
  <si>
    <t>UNIVESIDAD POLITECNICA TERRITORIAL DEL ESTADO LARA ANDRES ELOY BLANCO VENEZUELA</t>
  </si>
  <si>
    <t>UNIVESIDAD POL. TERRIT. DEL ESTADO LARA A. ELOY BLANCO VENEZUELA</t>
  </si>
  <si>
    <t>UNIVERSIDAD SAN IGNACIO DE LOYOLA PERU</t>
  </si>
  <si>
    <t>UNIVERSIDAD VERACRUZANA MEXICO</t>
  </si>
  <si>
    <t>UNIVERSIDAD ESTATAL DE INGENIERIA FORESTAL DE SAN PETERSBURGO S.M. KIROV RUSIA</t>
  </si>
  <si>
    <t>CORPORACION DE EDUCACION SUPERIOR INST. DE ADMINISTRACION Y FINANZAS DE CARTAGENA IAFIC</t>
  </si>
  <si>
    <t>CORP. DE EDUC. SUP. INST. DE ADMINISTRACION Y FINANZAS DE CARTAGENA IAFIC</t>
  </si>
  <si>
    <t>ESCUELA DE ARTES Y LETRAS INSTITUCION UNIVERSITARIA</t>
  </si>
  <si>
    <t>INSTITUTO TECNOLOGICO SISTEMATIZADO INTSA</t>
  </si>
  <si>
    <t>UNIHORIZONTE FUNDACION UNIVERSITARIA</t>
  </si>
  <si>
    <t>UNIVERSIDAD NACIONAL COSTA RICA</t>
  </si>
  <si>
    <t>UNIVERSIDAD CATOLICA LUIS AMIGO</t>
  </si>
  <si>
    <t>LEUPHANA UNIVERSITAT LUNENBURG ALEMANIA</t>
  </si>
  <si>
    <t>NEW JERSEY INSTITUTE OF TECHNOLOGY ESTADOS UNIDOS DE AMERICA</t>
  </si>
  <si>
    <t>KOREA ADVANCED INSTITUTE OF SCIENCE AND TECHNOLOGY - COREA DEL SUR</t>
  </si>
  <si>
    <t xml:space="preserve">CORPORACION DE EDUCACION TECNOLOGICA COLSUBSIDIO-EADS </t>
  </si>
  <si>
    <t xml:space="preserve">CORPORACIÓN DE EDUCACIÓN TECNOLÓGICA COLSUBSIDIO-EADS </t>
  </si>
  <si>
    <t>UTADEO UNIVERSIDAD DE BOGOTA JORGE TADEO LOZANO</t>
  </si>
  <si>
    <t>MANHATTAN COLLEGE - ESTADOS UNIDOS</t>
  </si>
  <si>
    <t>UNIVERSIDAD GABRIELA MISTRAL</t>
  </si>
  <si>
    <t>Primer Apellido</t>
  </si>
  <si>
    <t>Segundo Apellido</t>
  </si>
  <si>
    <t>Primer Nombre</t>
  </si>
  <si>
    <t>Segundo Nombre</t>
  </si>
  <si>
    <t>CC</t>
  </si>
  <si>
    <t>TECNICO PROFESIONAL EN MANTENIMIENTO DE COMPUTADORES Y PERIFERICOS 5</t>
  </si>
  <si>
    <t>AÑO RES.SECCIONAL</t>
  </si>
  <si>
    <t>RES.SECCIONAL</t>
  </si>
  <si>
    <t>NUMERO RESOLUCION SECCIONAL</t>
  </si>
  <si>
    <t>TIPO RES NACIONAL</t>
  </si>
  <si>
    <t>Sexo</t>
  </si>
  <si>
    <t>M</t>
  </si>
  <si>
    <t>Fecha Nacimiento</t>
  </si>
  <si>
    <t>idParametro</t>
  </si>
  <si>
    <t>Parametro</t>
  </si>
  <si>
    <t>CONSEJO DE ARQUITECTURA</t>
  </si>
  <si>
    <t>MIN AGRICULTURA</t>
  </si>
  <si>
    <t>OTROS</t>
  </si>
  <si>
    <t>HOMOLOGA</t>
  </si>
  <si>
    <t>OTRO CONSEJO</t>
  </si>
  <si>
    <t>Instrucciones de USO</t>
  </si>
  <si>
    <t>1. No modifique las conexiones a SQL SERVER</t>
  </si>
  <si>
    <t>2. No modifique las Formulas</t>
  </si>
  <si>
    <t>3. No modifigue el orden de las Columnas</t>
  </si>
  <si>
    <t>Notas: estas  se leen por el aplicativo de cargue</t>
  </si>
  <si>
    <t>PA</t>
  </si>
  <si>
    <t>SA</t>
  </si>
  <si>
    <t>PN</t>
  </si>
  <si>
    <t>SN</t>
  </si>
  <si>
    <t>A0070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</si>
</sst>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2" x14ac:knownFonts="1"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b/>
      <sz val="10"/>
      <name val="Arial"/>
      <family val="2"/>
    </font>
    <font>
      <sz val="10"/>
      <color theme="1"/>
      <name val="Arial"/>
      <family val="2"/>
    </font>
    <font>
      <b/>
      <sz val="8"/>
      <name val="Arial"/>
      <family val="2"/>
    </font>
    <font>
      <sz val="11"/>
      <color theme="1"/>
      <name val="Calibri"/>
      <family val="2"/>
      <scheme val="minor"/>
    </font>
    <font>
      <b/>
      <sz val="9"/>
      <color indexed="8"/>
      <name val="Arial"/>
      <family val="2"/>
    </font>
    <font>
      <b/>
      <sz val="10"/>
      <color indexed="8"/>
      <name val="Arial"/>
      <family val="2"/>
    </font>
    <font>
      <b/>
      <sz val="10"/>
      <color theme="3"/>
      <name val="Arial"/>
      <family val="2"/>
    </font>
    <font>
      <sz val="10"/>
      <name val="Arial"/>
      <family val="2"/>
    </font>
    <font>
      <sz val="8"/>
      <color theme="1" tint="4.9989318521683403E-2"/>
      <name val="Arial"/>
      <family val="2"/>
    </font>
    <font>
      <sz val="11"/>
      <color theme="1" tint="4.9989318521683403E-2"/>
      <name val="Calibri"/>
      <family val="2"/>
      <scheme val="minor"/>
    </font>
    <font>
      <sz val="10"/>
      <color theme="1" tint="4.9989318521683403E-2"/>
      <name val="Arial"/>
      <family val="2"/>
    </font>
    <font>
      <sz val="7"/>
      <color theme="1" tint="4.9989318521683403E-2"/>
      <name val="Arial"/>
      <family val="2"/>
    </font>
    <font>
      <sz val="9"/>
      <color theme="1" tint="4.9989318521683403E-2"/>
      <name val="Arial"/>
      <family val="2"/>
    </font>
    <font>
      <sz val="8"/>
      <color theme="1"/>
      <name val="Calibri"/>
      <family val="2"/>
      <scheme val="minor"/>
    </font>
    <font>
      <sz val="8"/>
      <name val="Arial"/>
      <family val="2"/>
    </font>
    <font>
      <sz val="7"/>
      <name val="Arial"/>
      <family val="2"/>
    </font>
    <font>
      <sz val="8"/>
      <color theme="1"/>
      <name val="Arial"/>
      <family val="2"/>
    </font>
    <font>
      <b/>
      <sz val="5"/>
      <name val="Arial"/>
      <family val="2"/>
    </font>
    <font>
      <sz val="10"/>
      <color theme="1"/>
      <name val="Calibri"/>
      <family val="2"/>
      <scheme val="minor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b/>
      <sz val="9"/>
      <name val="Arial"/>
      <family val="2"/>
    </font>
    <font>
      <b/>
      <sz val="9"/>
      <color rgb="FF000000"/>
      <name val="Arial"/>
      <family val="2"/>
    </font>
    <font>
      <sz val="10"/>
      <color indexed="8"/>
      <name val="Arial"/>
      <family val="2"/>
    </font>
    <font>
      <b/>
      <sz val="10"/>
      <color indexed="81"/>
      <name val="Tahoma"/>
      <family val="2"/>
    </font>
    <font>
      <sz val="10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rgb="FF000000"/>
      <name val="Tahoma"/>
      <family val="2"/>
    </font>
    <font>
      <b/>
      <sz val="10"/>
      <name val="Arial"/>
    </font>
  </fonts>
  <fills count="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39997558519241921"/>
        <bgColor indexed="64"/>
      </patternFill>
    </fill>
  </fills>
  <borders count="5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8"/>
      </bottom>
      <diagonal/>
    </border>
    <border>
      <left/>
      <right style="medium">
        <color indexed="64"/>
      </right>
      <top style="medium">
        <color indexed="64"/>
      </top>
      <bottom style="medium">
        <color indexed="8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64"/>
      </right>
      <top style="medium">
        <color indexed="8"/>
      </top>
      <bottom style="thin">
        <color indexed="8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64"/>
      </right>
      <top style="thin">
        <color indexed="8"/>
      </top>
      <bottom style="medium">
        <color indexed="8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8"/>
      </top>
      <bottom style="medium">
        <color indexed="64"/>
      </bottom>
      <diagonal/>
    </border>
    <border>
      <left/>
      <right/>
      <top style="medium">
        <color indexed="8"/>
      </top>
      <bottom style="medium">
        <color indexed="64"/>
      </bottom>
      <diagonal/>
    </border>
    <border>
      <left/>
      <right style="medium">
        <color indexed="64"/>
      </right>
      <top style="medium">
        <color indexed="8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/>
    <xf numFmtId="0" fontId="1" fillId="0" borderId="0"/>
    <xf numFmtId="0" fontId="9" fillId="0" borderId="0"/>
  </cellStyleXfs>
  <cellXfs count="194">
    <xf numFmtId="0" fontId="0" fillId="0" borderId="0" xfId="0"/>
    <xf numFmtId="0" fontId="2" fillId="0" borderId="3" xfId="1" applyNumberFormat="1" applyFont="1" applyFill="1" applyBorder="1" applyAlignment="1" applyProtection="1">
      <alignment horizontal="center" vertical="center" wrapText="1"/>
    </xf>
    <xf numFmtId="0" fontId="2" fillId="0" borderId="1" xfId="1" applyNumberFormat="1" applyFont="1" applyFill="1" applyBorder="1" applyAlignment="1" applyProtection="1">
      <alignment horizontal="center" vertical="center" wrapText="1"/>
    </xf>
    <xf numFmtId="0" fontId="3" fillId="0" borderId="0" xfId="1" applyFont="1" applyFill="1" applyAlignment="1">
      <alignment horizontal="center" vertical="center" wrapText="1"/>
    </xf>
    <xf numFmtId="0" fontId="3" fillId="0" borderId="0" xfId="1" applyFont="1" applyAlignment="1">
      <alignment horizontal="center" vertical="center" wrapText="1"/>
    </xf>
    <xf numFmtId="0" fontId="3" fillId="0" borderId="3" xfId="1" applyFont="1" applyFill="1" applyBorder="1" applyAlignment="1">
      <alignment horizontal="center" vertical="center" wrapText="1"/>
    </xf>
    <xf numFmtId="0" fontId="3" fillId="0" borderId="1" xfId="1" applyFont="1" applyFill="1" applyBorder="1" applyAlignment="1">
      <alignment horizontal="center" vertical="center" wrapText="1"/>
    </xf>
    <xf numFmtId="14" fontId="3" fillId="0" borderId="1" xfId="1" applyNumberFormat="1" applyFont="1" applyFill="1" applyBorder="1" applyAlignment="1">
      <alignment horizontal="center" vertical="center" wrapText="1"/>
    </xf>
    <xf numFmtId="0" fontId="3" fillId="0" borderId="2" xfId="1" applyFont="1" applyFill="1" applyBorder="1" applyAlignment="1">
      <alignment horizontal="center" vertical="center" wrapText="1"/>
    </xf>
    <xf numFmtId="0" fontId="3" fillId="0" borderId="4" xfId="1" applyFont="1" applyFill="1" applyBorder="1" applyAlignment="1">
      <alignment horizontal="center" vertical="center" wrapText="1"/>
    </xf>
    <xf numFmtId="0" fontId="3" fillId="0" borderId="1" xfId="1" applyNumberFormat="1" applyFont="1" applyFill="1" applyBorder="1" applyAlignment="1">
      <alignment horizontal="center" vertical="center" wrapText="1"/>
    </xf>
    <xf numFmtId="0" fontId="3" fillId="0" borderId="1" xfId="2" applyFont="1" applyFill="1" applyBorder="1" applyAlignment="1">
      <alignment horizontal="center" vertical="center" wrapText="1"/>
    </xf>
    <xf numFmtId="3" fontId="3" fillId="0" borderId="1" xfId="1" applyNumberFormat="1" applyFont="1" applyFill="1" applyBorder="1" applyAlignment="1">
      <alignment horizontal="center" vertical="center" wrapText="1"/>
    </xf>
    <xf numFmtId="0" fontId="3" fillId="0" borderId="5" xfId="1" applyFont="1" applyFill="1" applyBorder="1" applyAlignment="1">
      <alignment horizontal="center" vertical="center" wrapText="1"/>
    </xf>
    <xf numFmtId="0" fontId="3" fillId="0" borderId="1" xfId="1" applyNumberFormat="1" applyFont="1" applyBorder="1" applyAlignment="1">
      <alignment horizontal="center" vertical="center" wrapText="1"/>
    </xf>
    <xf numFmtId="0" fontId="3" fillId="2" borderId="1" xfId="1" applyNumberFormat="1" applyFont="1" applyFill="1" applyBorder="1" applyAlignment="1">
      <alignment horizontal="center" vertical="center" wrapText="1"/>
    </xf>
    <xf numFmtId="0" fontId="5" fillId="0" borderId="0" xfId="1"/>
    <xf numFmtId="0" fontId="5" fillId="0" borderId="0" xfId="1" applyAlignment="1">
      <alignment horizontal="center" vertical="center"/>
    </xf>
    <xf numFmtId="0" fontId="5" fillId="0" borderId="0" xfId="1" applyAlignment="1">
      <alignment horizontal="center" wrapText="1"/>
    </xf>
    <xf numFmtId="0" fontId="7" fillId="4" borderId="13" xfId="1" applyFont="1" applyFill="1" applyBorder="1" applyAlignment="1" applyProtection="1">
      <alignment horizontal="center" vertical="center" wrapText="1"/>
      <protection locked="0"/>
    </xf>
    <xf numFmtId="0" fontId="2" fillId="4" borderId="14" xfId="2" applyFont="1" applyFill="1" applyBorder="1" applyAlignment="1" applyProtection="1">
      <alignment horizontal="center"/>
    </xf>
    <xf numFmtId="0" fontId="2" fillId="4" borderId="15" xfId="2" applyFont="1" applyFill="1" applyBorder="1" applyAlignment="1" applyProtection="1">
      <alignment horizontal="center"/>
    </xf>
    <xf numFmtId="0" fontId="2" fillId="4" borderId="16" xfId="2" applyFont="1" applyFill="1" applyBorder="1" applyAlignment="1" applyProtection="1">
      <alignment horizontal="center"/>
    </xf>
    <xf numFmtId="0" fontId="2" fillId="4" borderId="17" xfId="2" applyFont="1" applyFill="1" applyBorder="1" applyAlignment="1" applyProtection="1">
      <alignment horizontal="center"/>
    </xf>
    <xf numFmtId="0" fontId="7" fillId="4" borderId="0" xfId="1" applyFont="1" applyFill="1" applyBorder="1" applyAlignment="1" applyProtection="1">
      <alignment horizontal="center" vertical="center" wrapText="1"/>
      <protection locked="0"/>
    </xf>
    <xf numFmtId="0" fontId="2" fillId="3" borderId="22" xfId="2" applyFont="1" applyFill="1" applyBorder="1" applyAlignment="1" applyProtection="1">
      <alignment horizontal="center" vertical="center"/>
      <protection locked="0"/>
    </xf>
    <xf numFmtId="0" fontId="2" fillId="3" borderId="23" xfId="2" applyFont="1" applyFill="1" applyBorder="1" applyAlignment="1" applyProtection="1">
      <alignment horizontal="center" vertical="center"/>
      <protection locked="0"/>
    </xf>
    <xf numFmtId="0" fontId="2" fillId="3" borderId="24" xfId="2" applyFont="1" applyFill="1" applyBorder="1" applyAlignment="1" applyProtection="1">
      <alignment horizontal="center" vertical="center"/>
      <protection locked="0"/>
    </xf>
    <xf numFmtId="0" fontId="5" fillId="0" borderId="27" xfId="1" applyBorder="1"/>
    <xf numFmtId="0" fontId="9" fillId="3" borderId="30" xfId="2" applyFont="1" applyFill="1" applyBorder="1" applyAlignment="1" applyProtection="1">
      <alignment horizontal="left"/>
    </xf>
    <xf numFmtId="0" fontId="9" fillId="3" borderId="31" xfId="2" applyFont="1" applyFill="1" applyBorder="1" applyAlignment="1" applyProtection="1">
      <alignment horizontal="left"/>
    </xf>
    <xf numFmtId="0" fontId="9" fillId="3" borderId="32" xfId="2" applyFont="1" applyFill="1" applyBorder="1" applyAlignment="1" applyProtection="1">
      <alignment horizontal="left"/>
    </xf>
    <xf numFmtId="0" fontId="2" fillId="0" borderId="0" xfId="1" applyFont="1" applyBorder="1" applyAlignment="1" applyProtection="1">
      <alignment horizontal="left" vertical="center" wrapText="1"/>
    </xf>
    <xf numFmtId="0" fontId="5" fillId="0" borderId="0" xfId="1" applyBorder="1"/>
    <xf numFmtId="0" fontId="5" fillId="0" borderId="0" xfId="1" applyBorder="1" applyAlignment="1">
      <alignment horizontal="center" vertical="center"/>
    </xf>
    <xf numFmtId="0" fontId="8" fillId="0" borderId="0" xfId="1" applyFont="1" applyBorder="1" applyAlignment="1" applyProtection="1">
      <alignment horizontal="left" vertical="center" wrapText="1"/>
    </xf>
    <xf numFmtId="0" fontId="10" fillId="4" borderId="33" xfId="1" applyFont="1" applyFill="1" applyBorder="1" applyAlignment="1" applyProtection="1">
      <alignment vertical="center" wrapText="1"/>
    </xf>
    <xf numFmtId="0" fontId="11" fillId="4" borderId="33" xfId="1" applyFont="1" applyFill="1" applyBorder="1" applyAlignment="1" applyProtection="1">
      <alignment vertical="center" wrapText="1"/>
    </xf>
    <xf numFmtId="0" fontId="11" fillId="4" borderId="34" xfId="1" applyFont="1" applyFill="1" applyBorder="1" applyAlignment="1" applyProtection="1">
      <alignment horizontal="center" vertical="center" wrapText="1"/>
    </xf>
    <xf numFmtId="14" fontId="13" fillId="4" borderId="33" xfId="1" applyNumberFormat="1" applyFont="1" applyFill="1" applyBorder="1" applyAlignment="1" applyProtection="1">
      <alignment vertical="center" wrapText="1"/>
    </xf>
    <xf numFmtId="0" fontId="14" fillId="4" borderId="33" xfId="1" applyFont="1" applyFill="1" applyBorder="1" applyAlignment="1" applyProtection="1">
      <alignment vertical="center" wrapText="1"/>
    </xf>
    <xf numFmtId="0" fontId="11" fillId="4" borderId="33" xfId="1" applyFont="1" applyFill="1" applyBorder="1" applyAlignment="1" applyProtection="1">
      <alignment horizontal="center" vertical="center" wrapText="1"/>
    </xf>
    <xf numFmtId="0" fontId="11" fillId="0" borderId="0" xfId="1" applyFont="1"/>
    <xf numFmtId="0" fontId="10" fillId="4" borderId="35" xfId="1" applyFont="1" applyFill="1" applyBorder="1" applyAlignment="1" applyProtection="1">
      <alignment horizontal="center" vertical="center" wrapText="1"/>
    </xf>
    <xf numFmtId="0" fontId="11" fillId="4" borderId="35" xfId="1" applyFont="1" applyFill="1" applyBorder="1" applyAlignment="1" applyProtection="1">
      <alignment horizontal="center" vertical="center" wrapText="1"/>
    </xf>
    <xf numFmtId="0" fontId="11" fillId="4" borderId="0" xfId="1" applyFont="1" applyFill="1" applyBorder="1" applyAlignment="1" applyProtection="1">
      <alignment horizontal="center" vertical="center" wrapText="1"/>
    </xf>
    <xf numFmtId="0" fontId="12" fillId="4" borderId="36" xfId="1" applyFont="1" applyFill="1" applyBorder="1" applyAlignment="1" applyProtection="1">
      <alignment horizontal="center" vertical="center" wrapText="1"/>
    </xf>
    <xf numFmtId="0" fontId="12" fillId="4" borderId="37" xfId="1" applyFont="1" applyFill="1" applyBorder="1" applyAlignment="1" applyProtection="1">
      <alignment horizontal="center" vertical="center" wrapText="1"/>
    </xf>
    <xf numFmtId="14" fontId="12" fillId="4" borderId="36" xfId="1" applyNumberFormat="1" applyFont="1" applyFill="1" applyBorder="1" applyAlignment="1" applyProtection="1">
      <alignment horizontal="center" vertical="center" wrapText="1"/>
    </xf>
    <xf numFmtId="14" fontId="12" fillId="4" borderId="37" xfId="1" applyNumberFormat="1" applyFont="1" applyFill="1" applyBorder="1" applyAlignment="1" applyProtection="1">
      <alignment horizontal="center" vertical="center" wrapText="1"/>
    </xf>
    <xf numFmtId="14" fontId="13" fillId="4" borderId="35" xfId="1" applyNumberFormat="1" applyFont="1" applyFill="1" applyBorder="1" applyAlignment="1" applyProtection="1">
      <alignment horizontal="center" vertical="center" wrapText="1"/>
    </xf>
    <xf numFmtId="0" fontId="13" fillId="4" borderId="36" xfId="1" applyFont="1" applyFill="1" applyBorder="1" applyAlignment="1" applyProtection="1">
      <alignment horizontal="center" vertical="center" wrapText="1"/>
    </xf>
    <xf numFmtId="0" fontId="13" fillId="4" borderId="5" xfId="1" applyFont="1" applyFill="1" applyBorder="1" applyAlignment="1" applyProtection="1">
      <alignment horizontal="center" vertical="center" wrapText="1"/>
    </xf>
    <xf numFmtId="0" fontId="13" fillId="4" borderId="37" xfId="1" applyFont="1" applyFill="1" applyBorder="1" applyAlignment="1" applyProtection="1">
      <alignment horizontal="center" vertical="center" wrapText="1"/>
    </xf>
    <xf numFmtId="0" fontId="13" fillId="4" borderId="35" xfId="1" applyFont="1" applyFill="1" applyBorder="1" applyAlignment="1" applyProtection="1">
      <alignment horizontal="center" vertical="center" wrapText="1"/>
    </xf>
    <xf numFmtId="0" fontId="15" fillId="0" borderId="1" xfId="1" applyFont="1" applyBorder="1" applyAlignment="1" applyProtection="1">
      <alignment horizontal="center" vertical="center" wrapText="1"/>
      <protection locked="0"/>
    </xf>
    <xf numFmtId="0" fontId="16" fillId="0" borderId="1" xfId="3" applyFont="1" applyFill="1" applyBorder="1" applyAlignment="1" applyProtection="1">
      <alignment vertical="center" wrapText="1"/>
      <protection locked="0"/>
    </xf>
    <xf numFmtId="0" fontId="16" fillId="0" borderId="1" xfId="3" applyNumberFormat="1" applyFont="1" applyFill="1" applyBorder="1" applyAlignment="1" applyProtection="1">
      <alignment horizontal="center" vertical="center" wrapText="1"/>
      <protection locked="0"/>
    </xf>
    <xf numFmtId="0" fontId="16" fillId="0" borderId="1" xfId="1" applyFont="1" applyBorder="1" applyAlignment="1" applyProtection="1">
      <alignment horizontal="center" vertical="center" wrapText="1"/>
      <protection locked="0"/>
    </xf>
    <xf numFmtId="14" fontId="16" fillId="0" borderId="1" xfId="1" applyNumberFormat="1" applyFont="1" applyBorder="1" applyAlignment="1" applyProtection="1">
      <alignment horizontal="center" vertical="center" wrapText="1"/>
      <protection locked="0"/>
    </xf>
    <xf numFmtId="1" fontId="16" fillId="0" borderId="1" xfId="1" applyNumberFormat="1" applyFont="1" applyBorder="1" applyAlignment="1" applyProtection="1">
      <alignment horizontal="center" vertical="center" wrapText="1"/>
      <protection locked="0"/>
    </xf>
    <xf numFmtId="0" fontId="16" fillId="0" borderId="1" xfId="1" applyNumberFormat="1" applyFont="1" applyBorder="1" applyAlignment="1" applyProtection="1">
      <alignment horizontal="center" vertical="center" wrapText="1"/>
      <protection locked="0"/>
    </xf>
    <xf numFmtId="0" fontId="16" fillId="0" borderId="1" xfId="1" applyFont="1" applyFill="1" applyBorder="1" applyAlignment="1" applyProtection="1">
      <alignment vertical="center" wrapText="1"/>
      <protection locked="0"/>
    </xf>
    <xf numFmtId="0" fontId="5" fillId="0" borderId="0" xfId="1" applyProtection="1">
      <protection locked="0"/>
    </xf>
    <xf numFmtId="14" fontId="16" fillId="0" borderId="5" xfId="1" applyNumberFormat="1" applyFont="1" applyBorder="1" applyAlignment="1" applyProtection="1">
      <alignment horizontal="center" vertical="center" wrapText="1"/>
      <protection locked="0"/>
    </xf>
    <xf numFmtId="0" fontId="15" fillId="0" borderId="1" xfId="3" applyFont="1" applyFill="1" applyBorder="1" applyAlignment="1" applyProtection="1">
      <alignment horizontal="center" vertical="center" wrapText="1"/>
      <protection locked="0"/>
    </xf>
    <xf numFmtId="0" fontId="16" fillId="0" borderId="1" xfId="2" applyNumberFormat="1" applyFont="1" applyFill="1" applyBorder="1" applyAlignment="1" applyProtection="1">
      <alignment horizontal="center" vertical="center" wrapText="1"/>
      <protection locked="0"/>
    </xf>
    <xf numFmtId="0" fontId="16" fillId="0" borderId="1" xfId="1" applyFont="1" applyFill="1" applyBorder="1" applyAlignment="1" applyProtection="1">
      <alignment horizontal="center" vertical="center" wrapText="1"/>
      <protection locked="0"/>
    </xf>
    <xf numFmtId="0" fontId="17" fillId="0" borderId="1" xfId="1" applyFont="1" applyBorder="1" applyAlignment="1" applyProtection="1">
      <alignment horizontal="center" vertical="center" wrapText="1"/>
      <protection locked="0"/>
    </xf>
    <xf numFmtId="0" fontId="16" fillId="0" borderId="1" xfId="1" applyFont="1" applyBorder="1" applyAlignment="1" applyProtection="1">
      <alignment horizontal="centerContinuous" vertical="center" wrapText="1"/>
      <protection locked="0"/>
    </xf>
    <xf numFmtId="0" fontId="18" fillId="0" borderId="1" xfId="2" applyFont="1" applyBorder="1" applyAlignment="1" applyProtection="1">
      <alignment horizontal="center" vertical="center"/>
      <protection locked="0"/>
    </xf>
    <xf numFmtId="0" fontId="15" fillId="0" borderId="14" xfId="1" applyFont="1" applyBorder="1" applyAlignment="1" applyProtection="1">
      <alignment horizontal="center" vertical="center" wrapText="1"/>
      <protection locked="0"/>
    </xf>
    <xf numFmtId="0" fontId="15" fillId="0" borderId="3" xfId="1" applyFont="1" applyBorder="1" applyAlignment="1" applyProtection="1">
      <alignment horizontal="center" vertical="center" wrapText="1"/>
      <protection locked="0"/>
    </xf>
    <xf numFmtId="0" fontId="16" fillId="0" borderId="38" xfId="1" applyFont="1" applyBorder="1" applyAlignment="1" applyProtection="1">
      <alignment horizontal="center" vertical="center" wrapText="1"/>
      <protection locked="0"/>
    </xf>
    <xf numFmtId="0" fontId="16" fillId="0" borderId="39" xfId="1" applyFont="1" applyBorder="1" applyAlignment="1" applyProtection="1">
      <alignment horizontal="center" vertical="center" wrapText="1"/>
      <protection locked="0"/>
    </xf>
    <xf numFmtId="0" fontId="15" fillId="0" borderId="14" xfId="1" applyFont="1" applyBorder="1" applyAlignment="1" applyProtection="1">
      <alignment horizontal="right" vertical="center" wrapText="1"/>
      <protection locked="0"/>
    </xf>
    <xf numFmtId="0" fontId="15" fillId="0" borderId="3" xfId="1" applyFont="1" applyBorder="1" applyAlignment="1" applyProtection="1">
      <alignment horizontal="right" vertical="center" wrapText="1"/>
      <protection locked="0"/>
    </xf>
    <xf numFmtId="0" fontId="5" fillId="0" borderId="14" xfId="1" applyBorder="1" applyAlignment="1" applyProtection="1">
      <alignment horizontal="center" vertical="center" wrapText="1"/>
      <protection locked="0"/>
    </xf>
    <xf numFmtId="0" fontId="5" fillId="0" borderId="3" xfId="1" applyBorder="1" applyAlignment="1" applyProtection="1">
      <alignment horizontal="center" vertical="center" wrapText="1"/>
      <protection locked="0"/>
    </xf>
    <xf numFmtId="0" fontId="16" fillId="0" borderId="5" xfId="3" applyNumberFormat="1" applyFont="1" applyFill="1" applyBorder="1" applyAlignment="1" applyProtection="1">
      <alignment horizontal="center" vertical="center" wrapText="1"/>
      <protection locked="0"/>
    </xf>
    <xf numFmtId="0" fontId="16" fillId="0" borderId="5" xfId="1" applyFont="1" applyBorder="1" applyAlignment="1" applyProtection="1">
      <alignment horizontal="center" vertical="center" wrapText="1"/>
      <protection locked="0"/>
    </xf>
    <xf numFmtId="0" fontId="17" fillId="0" borderId="1" xfId="1" applyFont="1" applyBorder="1" applyAlignment="1" applyProtection="1">
      <alignment vertical="center" wrapText="1"/>
      <protection locked="0"/>
    </xf>
    <xf numFmtId="0" fontId="17" fillId="0" borderId="38" xfId="1" applyFont="1" applyBorder="1" applyAlignment="1" applyProtection="1">
      <alignment horizontal="center" vertical="center" wrapText="1"/>
      <protection locked="0"/>
    </xf>
    <xf numFmtId="0" fontId="2" fillId="4" borderId="26" xfId="1" applyFont="1" applyFill="1" applyBorder="1" applyAlignment="1" applyProtection="1">
      <alignment horizontal="center" vertical="center" wrapText="1"/>
    </xf>
    <xf numFmtId="0" fontId="19" fillId="4" borderId="26" xfId="1" applyFont="1" applyFill="1" applyBorder="1" applyAlignment="1" applyProtection="1">
      <alignment horizontal="center" vertical="center" wrapText="1"/>
    </xf>
    <xf numFmtId="0" fontId="9" fillId="4" borderId="26" xfId="1" applyFont="1" applyFill="1" applyBorder="1" applyAlignment="1" applyProtection="1"/>
    <xf numFmtId="0" fontId="9" fillId="4" borderId="26" xfId="1" applyFont="1" applyFill="1" applyBorder="1" applyAlignment="1" applyProtection="1">
      <alignment horizontal="center" wrapText="1"/>
    </xf>
    <xf numFmtId="0" fontId="9" fillId="4" borderId="29" xfId="1" applyFont="1" applyFill="1" applyBorder="1" applyAlignment="1" applyProtection="1">
      <alignment horizontal="center" vertical="center" wrapText="1"/>
    </xf>
    <xf numFmtId="0" fontId="2" fillId="0" borderId="41" xfId="1" applyFont="1" applyBorder="1" applyAlignment="1" applyProtection="1">
      <alignment vertical="center"/>
    </xf>
    <xf numFmtId="0" fontId="2" fillId="0" borderId="42" xfId="1" applyFont="1" applyBorder="1" applyAlignment="1" applyProtection="1">
      <alignment vertical="center"/>
    </xf>
    <xf numFmtId="0" fontId="9" fillId="0" borderId="42" xfId="1" applyFont="1" applyBorder="1" applyAlignment="1" applyProtection="1">
      <alignment vertical="center"/>
    </xf>
    <xf numFmtId="0" fontId="9" fillId="0" borderId="42" xfId="1" applyFont="1" applyBorder="1" applyAlignment="1" applyProtection="1">
      <alignment horizontal="center" vertical="center"/>
    </xf>
    <xf numFmtId="0" fontId="5" fillId="0" borderId="38" xfId="1" applyBorder="1" applyAlignment="1" applyProtection="1">
      <alignment horizontal="left"/>
      <protection locked="0"/>
    </xf>
    <xf numFmtId="0" fontId="5" fillId="0" borderId="44" xfId="1" applyBorder="1" applyAlignment="1" applyProtection="1">
      <alignment horizontal="left"/>
      <protection locked="0"/>
    </xf>
    <xf numFmtId="0" fontId="5" fillId="0" borderId="44" xfId="1" applyBorder="1" applyProtection="1">
      <protection locked="0"/>
    </xf>
    <xf numFmtId="0" fontId="5" fillId="0" borderId="3" xfId="1" applyBorder="1" applyProtection="1">
      <protection locked="0"/>
    </xf>
    <xf numFmtId="0" fontId="21" fillId="0" borderId="12" xfId="1" applyFont="1" applyBorder="1" applyAlignment="1" applyProtection="1">
      <alignment horizontal="center" vertical="top" wrapText="1"/>
      <protection locked="0"/>
    </xf>
    <xf numFmtId="0" fontId="22" fillId="0" borderId="34" xfId="1" applyFont="1" applyBorder="1" applyAlignment="1" applyProtection="1">
      <alignment horizontal="center" vertical="center"/>
      <protection locked="0"/>
    </xf>
    <xf numFmtId="0" fontId="23" fillId="0" borderId="45" xfId="1" applyFont="1" applyBorder="1" applyAlignment="1" applyProtection="1">
      <alignment vertical="top"/>
    </xf>
    <xf numFmtId="0" fontId="24" fillId="0" borderId="46" xfId="1" applyFont="1" applyBorder="1" applyAlignment="1" applyProtection="1">
      <alignment horizontal="left" vertical="top" readingOrder="1"/>
    </xf>
    <xf numFmtId="0" fontId="22" fillId="0" borderId="0" xfId="1" applyFont="1" applyProtection="1">
      <protection locked="0"/>
    </xf>
    <xf numFmtId="0" fontId="3" fillId="0" borderId="27" xfId="1" applyFont="1" applyBorder="1" applyAlignment="1" applyProtection="1">
      <alignment horizontal="center" vertical="center"/>
    </xf>
    <xf numFmtId="0" fontId="3" fillId="0" borderId="0" xfId="1" applyFont="1" applyProtection="1"/>
    <xf numFmtId="0" fontId="2" fillId="0" borderId="52" xfId="1" applyFont="1" applyBorder="1" applyAlignment="1" applyProtection="1">
      <alignment horizontal="left" vertical="center" wrapText="1"/>
    </xf>
    <xf numFmtId="0" fontId="2" fillId="0" borderId="27" xfId="1" applyFont="1" applyBorder="1" applyAlignment="1" applyProtection="1">
      <alignment horizontal="left" vertical="center" wrapText="1"/>
    </xf>
    <xf numFmtId="14" fontId="2" fillId="0" borderId="27" xfId="1" applyNumberFormat="1" applyFont="1" applyBorder="1" applyAlignment="1" applyProtection="1">
      <alignment horizontal="center" vertical="center" wrapText="1"/>
      <protection locked="0"/>
    </xf>
    <xf numFmtId="14" fontId="2" fillId="0" borderId="53" xfId="1" applyNumberFormat="1" applyFont="1" applyBorder="1" applyAlignment="1" applyProtection="1">
      <alignment vertical="center" wrapText="1"/>
    </xf>
    <xf numFmtId="0" fontId="5" fillId="0" borderId="1" xfId="1" applyBorder="1"/>
    <xf numFmtId="0" fontId="5" fillId="0" borderId="1" xfId="1" applyBorder="1" applyAlignment="1">
      <alignment horizontal="center" vertical="center"/>
    </xf>
    <xf numFmtId="0" fontId="9" fillId="0" borderId="1" xfId="2" applyFont="1" applyFill="1" applyBorder="1" applyAlignment="1">
      <alignment horizontal="left" vertical="center"/>
    </xf>
    <xf numFmtId="0" fontId="25" fillId="0" borderId="1" xfId="2" applyFont="1" applyFill="1" applyBorder="1" applyAlignment="1">
      <alignment horizontal="left" vertical="center"/>
    </xf>
    <xf numFmtId="14" fontId="5" fillId="0" borderId="0" xfId="1" applyNumberFormat="1"/>
    <xf numFmtId="0" fontId="4" fillId="0" borderId="4" xfId="0" applyNumberFormat="1" applyFont="1" applyFill="1" applyBorder="1" applyAlignment="1" applyProtection="1">
      <alignment horizontal="center" vertical="center" wrapText="1"/>
    </xf>
    <xf numFmtId="0" fontId="2" fillId="0" borderId="4" xfId="0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1" xfId="0" applyFill="1" applyBorder="1" applyAlignment="1">
      <alignment horizontal="center" vertical="center" wrapText="1"/>
    </xf>
    <xf numFmtId="0" fontId="2" fillId="0" borderId="43" xfId="0" applyNumberFormat="1" applyFont="1" applyFill="1" applyBorder="1" applyAlignment="1" applyProtection="1">
      <alignment horizontal="center" vertical="center" wrapText="1"/>
    </xf>
    <xf numFmtId="0" fontId="2" fillId="0" borderId="41" xfId="0" applyNumberFormat="1" applyFont="1" applyFill="1" applyBorder="1" applyAlignment="1" applyProtection="1">
      <alignment horizontal="center" vertical="center" wrapText="1"/>
    </xf>
    <xf numFmtId="3" fontId="0" fillId="0" borderId="1" xfId="0" quotePrefix="1" applyNumberFormat="1" applyFill="1" applyBorder="1" applyAlignment="1">
      <alignment horizontal="center" vertical="center" wrapText="1"/>
    </xf>
    <xf numFmtId="14" fontId="0" fillId="0" borderId="1" xfId="0" applyNumberFormat="1" applyFill="1" applyBorder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0" fillId="0" borderId="3" xfId="0" applyNumberFormat="1" applyFill="1" applyBorder="1" applyAlignment="1">
      <alignment horizontal="center" vertical="center" wrapText="1"/>
    </xf>
    <xf numFmtId="0" fontId="0" fillId="0" borderId="38" xfId="0" applyNumberFormat="1" applyFill="1" applyBorder="1" applyAlignment="1">
      <alignment horizontal="center" vertical="center" wrapText="1"/>
    </xf>
    <xf numFmtId="49" fontId="0" fillId="0" borderId="1" xfId="0" applyNumberFormat="1" applyFill="1" applyBorder="1" applyAlignment="1">
      <alignment horizontal="center" vertical="center" wrapText="1"/>
    </xf>
    <xf numFmtId="0" fontId="0" fillId="0" borderId="1" xfId="0" applyNumberFormat="1" applyFill="1" applyBorder="1" applyAlignment="1">
      <alignment horizontal="center" vertical="center" wrapText="1"/>
    </xf>
    <xf numFmtId="1" fontId="0" fillId="0" borderId="1" xfId="0" applyNumberFormat="1" applyFill="1" applyBorder="1" applyAlignment="1">
      <alignment horizontal="center" vertical="center" wrapText="1"/>
    </xf>
    <xf numFmtId="0" fontId="0" fillId="0" borderId="2" xfId="0" applyNumberFormat="1" applyFill="1" applyBorder="1" applyAlignment="1">
      <alignment horizontal="center" vertical="center" wrapText="1"/>
    </xf>
    <xf numFmtId="0" fontId="31" fillId="0" borderId="4" xfId="0" applyNumberFormat="1" applyFont="1" applyFill="1" applyBorder="1" applyAlignment="1" applyProtection="1">
      <alignment horizontal="center" vertical="center" wrapText="1"/>
    </xf>
    <xf numFmtId="0" fontId="0" fillId="0" borderId="2" xfId="0" applyNumberFormat="1" applyFill="1" applyBorder="1" applyAlignment="1" applyProtection="1">
      <alignment horizontal="center" vertical="center" wrapText="1"/>
    </xf>
    <xf numFmtId="0" fontId="5" fillId="0" borderId="38" xfId="1" applyBorder="1" applyAlignment="1" applyProtection="1">
      <alignment horizontal="left"/>
      <protection locked="0"/>
    </xf>
    <xf numFmtId="0" fontId="5" fillId="0" borderId="44" xfId="1" applyBorder="1" applyAlignment="1" applyProtection="1">
      <alignment horizontal="left"/>
      <protection locked="0"/>
    </xf>
    <xf numFmtId="0" fontId="5" fillId="0" borderId="44" xfId="1" applyBorder="1" applyProtection="1">
      <protection locked="0"/>
    </xf>
    <xf numFmtId="0" fontId="5" fillId="0" borderId="3" xfId="1" applyBorder="1" applyProtection="1">
      <protection locked="0"/>
    </xf>
    <xf numFmtId="0" fontId="2" fillId="3" borderId="6" xfId="2" applyFont="1" applyFill="1" applyBorder="1" applyAlignment="1" applyProtection="1">
      <alignment horizontal="center"/>
    </xf>
    <xf numFmtId="0" fontId="2" fillId="3" borderId="7" xfId="2" applyFont="1" applyFill="1" applyBorder="1" applyAlignment="1" applyProtection="1">
      <alignment horizontal="center"/>
    </xf>
    <xf numFmtId="0" fontId="2" fillId="3" borderId="8" xfId="2" applyFont="1" applyFill="1" applyBorder="1" applyAlignment="1" applyProtection="1">
      <alignment horizontal="center"/>
    </xf>
    <xf numFmtId="0" fontId="6" fillId="4" borderId="9" xfId="1" applyFont="1" applyFill="1" applyBorder="1" applyAlignment="1" applyProtection="1">
      <alignment horizontal="left" vertical="center" wrapText="1"/>
    </xf>
    <xf numFmtId="0" fontId="6" fillId="4" borderId="10" xfId="1" applyFont="1" applyFill="1" applyBorder="1" applyAlignment="1" applyProtection="1">
      <alignment horizontal="left" vertical="center" wrapText="1"/>
    </xf>
    <xf numFmtId="0" fontId="7" fillId="0" borderId="11" xfId="1" applyFont="1" applyBorder="1" applyAlignment="1" applyProtection="1">
      <alignment horizontal="left" vertical="center" wrapText="1"/>
      <protection locked="0"/>
    </xf>
    <xf numFmtId="0" fontId="7" fillId="0" borderId="10" xfId="1" applyFont="1" applyBorder="1" applyAlignment="1" applyProtection="1">
      <alignment horizontal="left" vertical="center" wrapText="1"/>
      <protection locked="0"/>
    </xf>
    <xf numFmtId="0" fontId="7" fillId="0" borderId="12" xfId="1" applyFont="1" applyBorder="1" applyAlignment="1" applyProtection="1">
      <alignment horizontal="left" vertical="center" wrapText="1"/>
      <protection locked="0"/>
    </xf>
    <xf numFmtId="0" fontId="7" fillId="4" borderId="13" xfId="1" applyFont="1" applyFill="1" applyBorder="1" applyAlignment="1" applyProtection="1">
      <alignment horizontal="center" vertical="center" wrapText="1"/>
      <protection locked="0"/>
    </xf>
    <xf numFmtId="0" fontId="7" fillId="4" borderId="0" xfId="1" applyFont="1" applyFill="1" applyBorder="1" applyAlignment="1" applyProtection="1">
      <alignment horizontal="center" vertical="center" wrapText="1"/>
      <protection locked="0"/>
    </xf>
    <xf numFmtId="0" fontId="2" fillId="4" borderId="18" xfId="1" applyFont="1" applyFill="1" applyBorder="1" applyAlignment="1" applyProtection="1">
      <alignment horizontal="left" vertical="center" wrapText="1"/>
    </xf>
    <xf numFmtId="0" fontId="2" fillId="4" borderId="13" xfId="1" applyFont="1" applyFill="1" applyBorder="1" applyAlignment="1" applyProtection="1">
      <alignment horizontal="left" vertical="center" wrapText="1"/>
    </xf>
    <xf numFmtId="0" fontId="8" fillId="0" borderId="19" xfId="1" applyFont="1" applyBorder="1" applyAlignment="1" applyProtection="1">
      <alignment horizontal="left" vertical="center" wrapText="1"/>
    </xf>
    <xf numFmtId="0" fontId="8" fillId="0" borderId="20" xfId="1" applyFont="1" applyBorder="1" applyAlignment="1" applyProtection="1">
      <alignment horizontal="left" vertical="center" wrapText="1"/>
    </xf>
    <xf numFmtId="0" fontId="8" fillId="0" borderId="13" xfId="1" applyFont="1" applyBorder="1" applyAlignment="1" applyProtection="1">
      <alignment horizontal="left" vertical="center" wrapText="1"/>
    </xf>
    <xf numFmtId="0" fontId="8" fillId="0" borderId="21" xfId="1" applyFont="1" applyBorder="1" applyAlignment="1" applyProtection="1">
      <alignment horizontal="left" vertical="center" wrapText="1"/>
    </xf>
    <xf numFmtId="0" fontId="2" fillId="4" borderId="25" xfId="1" applyFont="1" applyFill="1" applyBorder="1" applyAlignment="1" applyProtection="1">
      <alignment horizontal="center" vertical="center" wrapText="1"/>
    </xf>
    <xf numFmtId="0" fontId="2" fillId="4" borderId="26" xfId="1" applyFont="1" applyFill="1" applyBorder="1" applyAlignment="1" applyProtection="1">
      <alignment horizontal="center" vertical="center" wrapText="1"/>
    </xf>
    <xf numFmtId="0" fontId="5" fillId="0" borderId="26" xfId="1" applyBorder="1" applyAlignment="1" applyProtection="1">
      <alignment horizontal="center"/>
      <protection locked="0"/>
    </xf>
    <xf numFmtId="0" fontId="5" fillId="0" borderId="28" xfId="1" applyBorder="1" applyAlignment="1" applyProtection="1">
      <alignment horizontal="center"/>
      <protection locked="0"/>
    </xf>
    <xf numFmtId="0" fontId="5" fillId="0" borderId="29" xfId="1" applyBorder="1" applyAlignment="1" applyProtection="1">
      <alignment horizontal="center"/>
      <protection locked="0"/>
    </xf>
    <xf numFmtId="0" fontId="12" fillId="4" borderId="9" xfId="1" applyFont="1" applyFill="1" applyBorder="1" applyAlignment="1" applyProtection="1">
      <alignment horizontal="center" vertical="center" wrapText="1"/>
    </xf>
    <xf numFmtId="0" fontId="11" fillId="0" borderId="12" xfId="1" applyFont="1" applyBorder="1"/>
    <xf numFmtId="14" fontId="11" fillId="4" borderId="9" xfId="1" applyNumberFormat="1" applyFont="1" applyFill="1" applyBorder="1" applyAlignment="1" applyProtection="1">
      <alignment horizontal="center" vertical="center" wrapText="1"/>
    </xf>
    <xf numFmtId="14" fontId="11" fillId="4" borderId="12" xfId="1" applyNumberFormat="1" applyFont="1" applyFill="1" applyBorder="1" applyAlignment="1" applyProtection="1">
      <alignment horizontal="center" vertical="center" wrapText="1"/>
    </xf>
    <xf numFmtId="0" fontId="10" fillId="4" borderId="9" xfId="1" applyFont="1" applyFill="1" applyBorder="1" applyAlignment="1" applyProtection="1">
      <alignment horizontal="center" vertical="center" wrapText="1"/>
    </xf>
    <xf numFmtId="0" fontId="10" fillId="4" borderId="10" xfId="1" applyFont="1" applyFill="1" applyBorder="1" applyAlignment="1" applyProtection="1">
      <alignment horizontal="center" vertical="center" wrapText="1"/>
    </xf>
    <xf numFmtId="0" fontId="10" fillId="4" borderId="12" xfId="1" applyFont="1" applyFill="1" applyBorder="1" applyAlignment="1" applyProtection="1">
      <alignment horizontal="center" vertical="center" wrapText="1"/>
    </xf>
    <xf numFmtId="0" fontId="2" fillId="4" borderId="40" xfId="1" applyFont="1" applyFill="1" applyBorder="1" applyAlignment="1" applyProtection="1">
      <alignment horizontal="left" vertical="center" wrapText="1"/>
    </xf>
    <xf numFmtId="0" fontId="2" fillId="4" borderId="20" xfId="1" applyFont="1" applyFill="1" applyBorder="1" applyAlignment="1" applyProtection="1">
      <alignment horizontal="left" vertical="center" wrapText="1"/>
    </xf>
    <xf numFmtId="0" fontId="5" fillId="0" borderId="42" xfId="1" applyBorder="1" applyAlignment="1" applyProtection="1">
      <alignment horizontal="left" vertical="center"/>
      <protection locked="0"/>
    </xf>
    <xf numFmtId="0" fontId="5" fillId="0" borderId="42" xfId="1" applyBorder="1" applyProtection="1">
      <protection locked="0"/>
    </xf>
    <xf numFmtId="0" fontId="5" fillId="0" borderId="43" xfId="1" applyBorder="1" applyProtection="1">
      <protection locked="0"/>
    </xf>
    <xf numFmtId="0" fontId="5" fillId="0" borderId="38" xfId="1" applyBorder="1" applyAlignment="1" applyProtection="1">
      <alignment horizontal="center"/>
      <protection locked="0"/>
    </xf>
    <xf numFmtId="0" fontId="5" fillId="0" borderId="44" xfId="1" applyBorder="1" applyAlignment="1" applyProtection="1">
      <alignment horizontal="center"/>
      <protection locked="0"/>
    </xf>
    <xf numFmtId="0" fontId="5" fillId="0" borderId="3" xfId="1" applyBorder="1" applyAlignment="1" applyProtection="1">
      <alignment horizontal="center"/>
      <protection locked="0"/>
    </xf>
    <xf numFmtId="0" fontId="20" fillId="0" borderId="38" xfId="1" applyFont="1" applyBorder="1" applyAlignment="1" applyProtection="1">
      <alignment horizontal="left" vertical="center" wrapText="1"/>
    </xf>
    <xf numFmtId="0" fontId="20" fillId="0" borderId="44" xfId="1" applyFont="1" applyBorder="1" applyAlignment="1" applyProtection="1">
      <alignment horizontal="left" vertical="center" wrapText="1"/>
    </xf>
    <xf numFmtId="0" fontId="20" fillId="0" borderId="3" xfId="1" applyFont="1" applyBorder="1" applyAlignment="1" applyProtection="1">
      <alignment horizontal="left" vertical="center" wrapText="1"/>
    </xf>
    <xf numFmtId="0" fontId="4" fillId="0" borderId="9" xfId="1" applyFont="1" applyBorder="1" applyAlignment="1" applyProtection="1">
      <alignment horizontal="left" vertical="center" wrapText="1"/>
    </xf>
    <xf numFmtId="0" fontId="4" fillId="0" borderId="10" xfId="1" applyFont="1" applyBorder="1" applyAlignment="1" applyProtection="1">
      <alignment horizontal="left" vertical="center" wrapText="1"/>
    </xf>
    <xf numFmtId="0" fontId="23" fillId="0" borderId="46" xfId="1" applyFont="1" applyBorder="1" applyAlignment="1" applyProtection="1">
      <alignment horizontal="center" vertical="top" wrapText="1"/>
      <protection locked="0"/>
    </xf>
    <xf numFmtId="0" fontId="23" fillId="0" borderId="47" xfId="1" applyFont="1" applyBorder="1" applyAlignment="1" applyProtection="1">
      <alignment horizontal="center" vertical="top" wrapText="1"/>
      <protection locked="0"/>
    </xf>
    <xf numFmtId="0" fontId="24" fillId="0" borderId="45" xfId="1" applyFont="1" applyBorder="1" applyAlignment="1" applyProtection="1">
      <alignment horizontal="left" vertical="top" readingOrder="1"/>
    </xf>
    <xf numFmtId="0" fontId="24" fillId="0" borderId="46" xfId="1" applyFont="1" applyBorder="1" applyAlignment="1" applyProtection="1">
      <alignment horizontal="left" vertical="top" readingOrder="1"/>
    </xf>
    <xf numFmtId="0" fontId="21" fillId="0" borderId="46" xfId="1" applyFont="1" applyBorder="1" applyAlignment="1" applyProtection="1">
      <alignment horizontal="center" vertical="top" wrapText="1" readingOrder="1"/>
      <protection locked="0"/>
    </xf>
    <xf numFmtId="0" fontId="21" fillId="0" borderId="47" xfId="1" applyFont="1" applyBorder="1" applyAlignment="1" applyProtection="1">
      <alignment horizontal="center" vertical="top" wrapText="1" readingOrder="1"/>
      <protection locked="0"/>
    </xf>
    <xf numFmtId="0" fontId="3" fillId="0" borderId="40" xfId="1" applyFont="1" applyBorder="1" applyAlignment="1" applyProtection="1">
      <alignment horizontal="left" vertical="top"/>
    </xf>
    <xf numFmtId="0" fontId="3" fillId="0" borderId="20" xfId="1" applyFont="1" applyBorder="1" applyAlignment="1" applyProtection="1">
      <alignment horizontal="left" vertical="top"/>
    </xf>
    <xf numFmtId="0" fontId="3" fillId="0" borderId="48" xfId="1" applyFont="1" applyBorder="1" applyProtection="1"/>
    <xf numFmtId="0" fontId="3" fillId="0" borderId="49" xfId="1" applyFont="1" applyBorder="1" applyAlignment="1" applyProtection="1">
      <alignment horizontal="left"/>
    </xf>
    <xf numFmtId="0" fontId="3" fillId="0" borderId="50" xfId="1" applyFont="1" applyBorder="1" applyAlignment="1" applyProtection="1">
      <alignment horizontal="left"/>
    </xf>
    <xf numFmtId="0" fontId="3" fillId="0" borderId="51" xfId="1" applyFont="1" applyBorder="1" applyAlignment="1" applyProtection="1">
      <alignment horizontal="left"/>
    </xf>
    <xf numFmtId="0" fontId="9" fillId="0" borderId="49" xfId="1" applyFont="1" applyBorder="1" applyAlignment="1" applyProtection="1">
      <alignment horizontal="left" vertical="top"/>
    </xf>
    <xf numFmtId="0" fontId="9" fillId="0" borderId="50" xfId="1" applyFont="1" applyBorder="1" applyAlignment="1" applyProtection="1">
      <alignment horizontal="left" vertical="top"/>
    </xf>
    <xf numFmtId="0" fontId="9" fillId="0" borderId="51" xfId="1" applyFont="1" applyBorder="1" applyAlignment="1" applyProtection="1">
      <alignment horizontal="left" vertical="top"/>
    </xf>
    <xf numFmtId="14" fontId="2" fillId="0" borderId="54" xfId="1" applyNumberFormat="1" applyFont="1" applyBorder="1" applyAlignment="1" applyProtection="1">
      <alignment horizontal="center" vertical="center" wrapText="1"/>
      <protection locked="0"/>
    </xf>
    <xf numFmtId="0" fontId="5" fillId="0" borderId="54" xfId="1" applyBorder="1" applyProtection="1">
      <protection locked="0"/>
    </xf>
    <xf numFmtId="0" fontId="5" fillId="0" borderId="55" xfId="1" applyBorder="1" applyProtection="1">
      <protection locked="0"/>
    </xf>
    <xf numFmtId="14" fontId="2" fillId="0" borderId="53" xfId="1" applyNumberFormat="1" applyFont="1" applyBorder="1" applyAlignment="1" applyProtection="1">
      <alignment horizontal="left" vertical="center"/>
    </xf>
    <xf numFmtId="14" fontId="2" fillId="0" borderId="54" xfId="1" applyNumberFormat="1" applyFont="1" applyBorder="1" applyAlignment="1" applyProtection="1">
      <alignment horizontal="left" vertical="center"/>
    </xf>
  </cellXfs>
  <cellStyles count="4">
    <cellStyle name="Normal" xfId="0" builtinId="0"/>
    <cellStyle name="Normal 2" xfId="2"/>
    <cellStyle name="Normal 2 2" xfId="3"/>
    <cellStyle name="Normal 3" xfId="1"/>
  </cellStyles>
  <dxfs count="76"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Continuous" vertical="center" textRotation="0" wrapText="1" relativeIndent="0" justifyLastLine="0" shrinkToFit="0" readingOrder="0"/>
      <border diagonalUp="0" diagonalDown="0">
        <left style="thin">
          <color indexed="0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Arial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" formatCode="0"/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4" formatCode="dd/mm/yyyy"/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4" formatCode="dd/mm/yyyy"/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right" vertical="center" textRotation="0" wrapText="1" 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alignment horizontal="centerContinuous" vertical="center" textRotation="0" wrapText="1" relativeIndent="0" justifyLastLine="0" shrinkToFit="0" readingOrder="0"/>
      <border diagonalUp="0" diagonalDown="0">
        <left/>
        <right style="thin">
          <color indexed="0"/>
        </right>
        <top/>
        <bottom/>
      </border>
      <protection locked="0" hidden="0"/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1" relativeIndent="0" justifyLastLine="0" shrinkToFit="0" readingOrder="0"/>
      <protection locked="0" hidden="0"/>
    </dxf>
    <dxf>
      <border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theme="1" tint="4.9989318521683403E-2"/>
      </font>
      <border diagonalUp="0" diagonalDown="0">
        <left style="thin">
          <color indexed="0"/>
        </left>
        <right style="thin">
          <color indexed="0"/>
        </right>
        <top/>
        <bottom/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/mm/yyyy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/mm/yyyy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dd/mm/yyyy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10583</xdr:colOff>
      <xdr:row>846</xdr:row>
      <xdr:rowOff>60324</xdr:rowOff>
    </xdr:from>
    <xdr:to>
      <xdr:col>2</xdr:col>
      <xdr:colOff>410633</xdr:colOff>
      <xdr:row>846</xdr:row>
      <xdr:rowOff>203199</xdr:rowOff>
    </xdr:to>
    <xdr:sp macro="" textlink="">
      <xdr:nvSpPr>
        <xdr:cNvPr id="2" name="Text Box 9"/>
        <xdr:cNvSpPr txBox="1">
          <a:spLocks noChangeArrowheads="1"/>
        </xdr:cNvSpPr>
      </xdr:nvSpPr>
      <xdr:spPr bwMode="auto">
        <a:xfrm>
          <a:off x="10583" y="362296074"/>
          <a:ext cx="1876425" cy="142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es-ES" sz="1000" b="1" i="0" strike="noStrike">
              <a:solidFill>
                <a:srgbClr val="000000"/>
              </a:solidFill>
              <a:latin typeface="Arial"/>
              <a:cs typeface="Arial"/>
            </a:rPr>
            <a:t>FECHA: 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447675</xdr:colOff>
          <xdr:row>837</xdr:row>
          <xdr:rowOff>152400</xdr:rowOff>
        </xdr:from>
        <xdr:to>
          <xdr:col>2</xdr:col>
          <xdr:colOff>238125</xdr:colOff>
          <xdr:row>839</xdr:row>
          <xdr:rowOff>9525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837</xdr:row>
          <xdr:rowOff>171450</xdr:rowOff>
        </xdr:from>
        <xdr:to>
          <xdr:col>2</xdr:col>
          <xdr:colOff>552450</xdr:colOff>
          <xdr:row>839</xdr:row>
          <xdr:rowOff>9525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</a:t>
              </a:r>
            </a:p>
          </xdr:txBody>
        </xdr:sp>
        <xdr:clientData fLock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192.168.100.130_SQLCOPNIA COPNIA ParametrosGenerales" connectionId="3" autoFormatId="16" applyNumberFormats="0" applyBorderFormats="0" applyFontFormats="0" applyPatternFormats="0" applyAlignmentFormats="0" applyWidthHeightFormats="0">
  <queryTableRefresh nextId="3">
    <queryTableFields count="2">
      <queryTableField id="1" name="idParametro" tableColumnId="1"/>
      <queryTableField id="2" name="Parametro" tableColumnId="2"/>
    </queryTableFields>
  </queryTableRefresh>
</queryTable>
</file>

<file path=xl/queryTables/queryTable2.xml><?xml version="1.0" encoding="utf-8"?>
<queryTable xmlns="http://schemas.openxmlformats.org/spreadsheetml/2006/main" name="192.168.100.120_SQLCOPNIA DWHCOPNIA DIMPROFESION" connectionId="1" autoFormatId="16" applyNumberFormats="0" applyBorderFormats="0" applyFontFormats="0" applyPatternFormats="0" applyAlignmentFormats="0" applyWidthHeightFormats="0">
  <queryTableRefresh nextId="9">
    <queryTableFields count="8">
      <queryTableField id="1" name="IDPROFESION" tableColumnId="1"/>
      <queryTableField id="2" name="IDGRPROFESION" tableColumnId="2"/>
      <queryTableField id="3" name="PFTIPO" tableColumnId="3"/>
      <queryTableField id="4" name="PFDURACION" tableColumnId="4"/>
      <queryTableField id="5" name="PFACTIVO" tableColumnId="5"/>
      <queryTableField id="6" name="PFOBSERVACION" tableColumnId="6"/>
      <queryTableField id="7" name="PFNOMBRE" tableColumnId="7"/>
      <queryTableField id="8" name="PFABREVIATURA" tableColumnId="8"/>
    </queryTableFields>
  </queryTableRefresh>
</queryTable>
</file>

<file path=xl/queryTables/queryTable3.xml><?xml version="1.0" encoding="utf-8"?>
<queryTable xmlns="http://schemas.openxmlformats.org/spreadsheetml/2006/main" name="192.168.100.120_SQLCOPNIA DWHCOPNIA DIMUNIVERSIDAD" connectionId="2" autoFormatId="16" applyNumberFormats="0" applyBorderFormats="0" applyFontFormats="0" applyPatternFormats="0" applyAlignmentFormats="0" applyWidthHeightFormats="0">
  <queryTableRefresh nextId="8">
    <queryTableFields count="7">
      <queryTableField id="1" name="IDUNIVERSIDAD" tableColumnId="1"/>
      <queryTableField id="2" name="IDPAIS" tableColumnId="2"/>
      <queryTableField id="3" name="IDGRUNIVERSIDADES" tableColumnId="3"/>
      <queryTableField id="4" name="UNNOMBRE" tableColumnId="4"/>
      <queryTableField id="5" name="UNABREVIATURA" tableColumnId="5"/>
      <queryTableField id="6" name="IDUNORIGEN" tableColumnId="6"/>
      <queryTableField id="7" name="IDUNTIPO" tableColumnId="7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id="3" name="Tabla3" displayName="Tabla3" ref="A1:Z2" totalsRowShown="0" headerRowDxfId="75" dataDxfId="73" headerRowBorderDxfId="74" tableBorderDxfId="72" totalsRowBorderDxfId="71">
  <autoFilter ref="A1:Z2"/>
  <sortState ref="A2:R50">
    <sortCondition ref="A1:A50"/>
  </sortState>
  <tableColumns count="26">
    <tableColumn id="18" name="No" dataDxfId="70"/>
    <tableColumn id="1" name="MATRICULA" dataDxfId="69"/>
    <tableColumn id="2" name="SECCIONAL" dataDxfId="68"/>
    <tableColumn id="3" name="NUMERO RESOLUCION SECCIONAL" dataDxfId="67"/>
    <tableColumn id="4" name="AÑO RES.SECCIONAL" dataDxfId="66"/>
    <tableColumn id="22" name="RES.SECCIONAL" dataDxfId="65"/>
    <tableColumn id="5" name="RESOLUCION NACIONAL" dataDxfId="64"/>
    <tableColumn id="6" name="FECHA RES NACIONAL" dataDxfId="63"/>
    <tableColumn id="23" name="TIPO RES NACIONAL" dataDxfId="62"/>
    <tableColumn id="20" name="Primer Apellido" dataDxfId="61"/>
    <tableColumn id="7" name="Segundo Apellido" dataDxfId="60"/>
    <tableColumn id="21" name="Primer Nombre" dataDxfId="59"/>
    <tableColumn id="8" name="Segundo Nombre" dataDxfId="58"/>
    <tableColumn id="9" name="TI" dataDxfId="57"/>
    <tableColumn id="10" name="ID" dataDxfId="56"/>
    <tableColumn id="24" name="Sexo" dataDxfId="55"/>
    <tableColumn id="25" name="Fecha Nacimiento" dataDxfId="54"/>
    <tableColumn id="11" name="PROFESION" dataDxfId="53"/>
    <tableColumn id="12" name="UNIVERSIDAD" dataDxfId="52"/>
    <tableColumn id="13" name="ACTA GRADO" dataDxfId="51"/>
    <tableColumn id="14" name="FECHA GRADO" dataDxfId="50"/>
    <tableColumn id="15" name="FOLIOS" dataDxfId="49"/>
    <tableColumn id="17" name="SEDE" dataDxfId="48"/>
    <tableColumn id="16" name="OBSERVACIONES.. Mtobservaciones" dataDxfId="47"/>
    <tableColumn id="19" name="HOMOLOGA" dataDxfId="46">
      <calculatedColumnFormula>VLOOKUP(Z2,CHOOSE({2,1},Tabla__192.168.100.130_SQLCOPNIA_COPNIA_ParametrosGenerales[idParametro],Tabla__192.168.100.130_SQLCOPNIA_COPNIA_ParametrosGenerales[Parametro]),2,0)</calculatedColumnFormula>
    </tableColumn>
    <tableColumn id="26" name="OTRO CONSEJO" dataDxfId="45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6" name="Tabla__192.168.100.130_SQLCOPNIA_COPNIA_ParametrosGenerales" displayName="Tabla__192.168.100.130_SQLCOPNIA_COPNIA_ParametrosGenerales" ref="A1:B4" tableType="queryTable" totalsRowShown="0">
  <autoFilter ref="A1:B4"/>
  <tableColumns count="2">
    <tableColumn id="1" uniqueName="1" name="idParametro" queryTableFieldId="1"/>
    <tableColumn id="2" uniqueName="2" name="Parametro" queryTableFieldId="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Tabla__192.168.100.120_SQLCOPNIA_DWHCOPNIA_DIMPROFESION" displayName="Tabla__192.168.100.120_SQLCOPNIA_DWHCOPNIA_DIMPROFESION" ref="A1:H1236" tableType="queryTable" totalsRowShown="0">
  <autoFilter ref="A1:H1236"/>
  <tableColumns count="8">
    <tableColumn id="1" uniqueName="1" name="IDPROFESION" queryTableFieldId="1"/>
    <tableColumn id="2" uniqueName="2" name="IDGRPROFESION" queryTableFieldId="2"/>
    <tableColumn id="3" uniqueName="3" name="PFTIPO" queryTableFieldId="3"/>
    <tableColumn id="4" uniqueName="4" name="PFDURACION" queryTableFieldId="4"/>
    <tableColumn id="5" uniqueName="5" name="PFACTIVO" queryTableFieldId="5"/>
    <tableColumn id="6" uniqueName="6" name="PFOBSERVACION" queryTableFieldId="6"/>
    <tableColumn id="7" uniqueName="7" name="PFNOMBRE" queryTableFieldId="7"/>
    <tableColumn id="8" uniqueName="8" name="PFABREVIATURA" queryTableFieldId="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5" name="Tabla__192.168.100.120_SQLCOPNIA_DWHCOPNIA_DIMUNIVERSIDAD" displayName="Tabla__192.168.100.120_SQLCOPNIA_DWHCOPNIA_DIMUNIVERSIDAD" ref="A1:G1864" tableType="queryTable" totalsRowShown="0">
  <autoFilter ref="A1:G1864"/>
  <tableColumns count="7">
    <tableColumn id="1" uniqueName="1" name="IDUNIVERSIDAD" queryTableFieldId="1"/>
    <tableColumn id="2" uniqueName="2" name="IDPAIS" queryTableFieldId="2"/>
    <tableColumn id="3" uniqueName="3" name="IDGRUNIVERSIDADES" queryTableFieldId="3"/>
    <tableColumn id="4" uniqueName="4" name="UNNOMBRE" queryTableFieldId="4"/>
    <tableColumn id="5" uniqueName="5" name="UNABREVIATURA" queryTableFieldId="5"/>
    <tableColumn id="6" uniqueName="6" name="IDUNORIGEN" queryTableFieldId="6"/>
    <tableColumn id="7" uniqueName="7" name="IDUNTIPO" queryTableFieldId="7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2" name="Tabla1" displayName="Tabla1" ref="A8:S837" totalsRowShown="0" headerRowDxfId="44" dataDxfId="42" headerRowBorderDxfId="43" tableBorderDxfId="41">
  <sortState ref="A9:S45">
    <sortCondition ref="D4:D41"/>
  </sortState>
  <tableColumns count="19">
    <tableColumn id="1" name="No.  consecutivo" dataDxfId="40"/>
    <tableColumn id="20" name="Codigo" dataDxfId="39" dataCellStyle="Normal 2"/>
    <tableColumn id="2" name="NOMBRE DE LA SERIE O CONTENIDO" dataDxfId="38"/>
    <tableColumn id="18" name="Columna1" dataDxfId="37" dataCellStyle="Normal"/>
    <tableColumn id="3" name="Desde" dataDxfId="36"/>
    <tableColumn id="4" name="Hasta" dataDxfId="35"/>
    <tableColumn id="5" name="Inicial" dataDxfId="34"/>
    <tableColumn id="6" name="Final" dataDxfId="33"/>
    <tableColumn id="7" name="Tomo / Vol" dataDxfId="32"/>
    <tableColumn id="8" name="Ca" dataDxfId="31"/>
    <tableColumn id="9" name="Lg" dataDxfId="30"/>
    <tableColumn id="22" name="Az" dataDxfId="29" dataCellStyle="Normal 3"/>
    <tableColumn id="10" name="Em" dataDxfId="28"/>
    <tableColumn id="11" name="Cj" dataDxfId="27"/>
    <tableColumn id="21" name="MT" dataDxfId="26" dataCellStyle="Normal 3"/>
    <tableColumn id="14" name="Folios / Series Cons" dataDxfId="25">
      <calculatedColumnFormula>IF(F9="","",IF(ISERR(F9-E9)=TRUE,"",F9-E9+1))</calculatedColumnFormula>
    </tableColumn>
    <tableColumn id="15" name="Observaciones" dataDxfId="24"/>
    <tableColumn id="17" name="No. Caja*" dataDxfId="23"/>
    <tableColumn id="16" name="Proced*" dataDxfId="22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id="1" name="Tabla9" displayName="Tabla9" ref="A1:S1494" totalsRowShown="0" headerRowDxfId="21" dataDxfId="20" tableBorderDxfId="19" dataCellStyle="Normal 3">
  <autoFilter ref="A1:S1494"/>
  <sortState ref="A2:U1493">
    <sortCondition ref="A2:A1493"/>
    <sortCondition ref="B2:B1493"/>
    <sortCondition ref="D2:D1493"/>
  </sortState>
  <tableColumns count="19">
    <tableColumn id="1" name="ESTADO" dataDxfId="18" dataCellStyle="Normal 3"/>
    <tableColumn id="20" name="NO" dataDxfId="17" dataCellStyle="Normal 3"/>
    <tableColumn id="3" name="MATRICULA" dataDxfId="16" dataCellStyle="Normal 3"/>
    <tableColumn id="4" name="SECCIONAL" dataDxfId="15" dataCellStyle="Normal 3"/>
    <tableColumn id="5" name="RESOLUCION SECCIONAL" dataDxfId="14" dataCellStyle="Normal 3"/>
    <tableColumn id="6" name="FECHA RES.SECCIONAL" dataDxfId="13" dataCellStyle="Normal 3"/>
    <tableColumn id="7" name="RESOLUCION NACIONAL" dataDxfId="12" dataCellStyle="Normal 3"/>
    <tableColumn id="8" name="FECHA RES NACIONAL" dataDxfId="11" dataCellStyle="Normal 3"/>
    <tableColumn id="9" name="APELLIDOS" dataDxfId="10" dataCellStyle="Normal 3"/>
    <tableColumn id="10" name="NOMBRE " dataDxfId="9" dataCellStyle="Normal 3"/>
    <tableColumn id="11" name="TI" dataDxfId="8" dataCellStyle="Normal 3"/>
    <tableColumn id="12" name="ID" dataDxfId="7" dataCellStyle="Normal 3"/>
    <tableColumn id="13" name="PROFESION" dataDxfId="6" dataCellStyle="Normal 3"/>
    <tableColumn id="14" name="UNIVERSIDAD" dataDxfId="5" dataCellStyle="Normal 3"/>
    <tableColumn id="15" name="ACTA GRADO" dataDxfId="4" dataCellStyle="Normal 3"/>
    <tableColumn id="16" name="FECHA GRADO" dataDxfId="3" dataCellStyle="Normal 3"/>
    <tableColumn id="17" name="TIPO" dataDxfId="2" dataCellStyle="Normal 3"/>
    <tableColumn id="18" name="FOLIOS" dataDxfId="1" dataCellStyle="Normal 3"/>
    <tableColumn id="19" name="OBSERVACIONES" dataDxfId="0" dataCellStyle="Normal 3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Z2"/>
  <sheetViews>
    <sheetView tabSelected="1" zoomScale="75" zoomScaleNormal="75" workbookViewId="0">
      <selection activeCell="G2" sqref="G2"/>
    </sheetView>
  </sheetViews>
  <sheetFormatPr baseColWidth="10" defaultRowHeight="15" x14ac:dyDescent="0.25"/>
  <cols>
    <col min="1" max="1" width="8.5703125" style="114" customWidth="1"/>
    <col min="2" max="2" width="29.42578125" style="114" customWidth="1"/>
    <col min="3" max="3" width="17.28515625" style="114" customWidth="1"/>
    <col min="4" max="4" width="18.42578125" style="114" customWidth="1"/>
    <col min="5" max="6" width="17.85546875" style="114" customWidth="1"/>
    <col min="7" max="7" width="16.7109375" style="114" customWidth="1"/>
    <col min="8" max="9" width="20.7109375" style="114" customWidth="1"/>
    <col min="10" max="10" width="15" style="114" customWidth="1"/>
    <col min="11" max="12" width="21.28515625" style="114" customWidth="1"/>
    <col min="13" max="13" width="23.42578125" style="114" customWidth="1"/>
    <col min="14" max="14" width="12" style="114" customWidth="1"/>
    <col min="15" max="17" width="15.140625" style="114" customWidth="1"/>
    <col min="18" max="18" width="39.42578125" style="114" customWidth="1"/>
    <col min="19" max="19" width="41" style="114" bestFit="1" customWidth="1"/>
    <col min="20" max="20" width="18.42578125" style="114" customWidth="1"/>
    <col min="21" max="21" width="16.5703125" style="114" customWidth="1"/>
    <col min="22" max="22" width="14" style="114" customWidth="1"/>
    <col min="23" max="23" width="20.28515625" style="114" customWidth="1"/>
    <col min="24" max="24" width="35.85546875" style="114" customWidth="1"/>
    <col min="26" max="16384" width="11.42578125" style="114"/>
  </cols>
  <sheetData>
    <row r="1" spans="1:26" ht="36" customHeight="1" x14ac:dyDescent="0.25">
      <c r="A1" s="116" t="s">
        <v>7345</v>
      </c>
      <c r="B1" s="113" t="s">
        <v>0</v>
      </c>
      <c r="C1" s="112" t="s">
        <v>1</v>
      </c>
      <c r="D1" s="112" t="s">
        <v>10498</v>
      </c>
      <c r="E1" s="112" t="s">
        <v>10496</v>
      </c>
      <c r="F1" s="112" t="s">
        <v>10497</v>
      </c>
      <c r="G1" s="112" t="s">
        <v>4</v>
      </c>
      <c r="H1" s="112" t="s">
        <v>5</v>
      </c>
      <c r="I1" s="112" t="s">
        <v>10499</v>
      </c>
      <c r="J1" s="112" t="s">
        <v>10490</v>
      </c>
      <c r="K1" s="113" t="s">
        <v>10491</v>
      </c>
      <c r="L1" s="113" t="s">
        <v>10492</v>
      </c>
      <c r="M1" s="113" t="s">
        <v>10493</v>
      </c>
      <c r="N1" s="113" t="s">
        <v>8</v>
      </c>
      <c r="O1" s="113" t="s">
        <v>9</v>
      </c>
      <c r="P1" s="113" t="s">
        <v>10500</v>
      </c>
      <c r="Q1" s="113" t="s">
        <v>10502</v>
      </c>
      <c r="R1" s="113" t="s">
        <v>10</v>
      </c>
      <c r="S1" s="113" t="s">
        <v>11</v>
      </c>
      <c r="T1" s="113" t="s">
        <v>12</v>
      </c>
      <c r="U1" s="113" t="s">
        <v>13</v>
      </c>
      <c r="V1" s="113" t="s">
        <v>3325</v>
      </c>
      <c r="W1" s="113" t="s">
        <v>7337</v>
      </c>
      <c r="X1" s="117" t="s">
        <v>7349</v>
      </c>
      <c r="Y1" s="113" t="s">
        <v>10508</v>
      </c>
      <c r="Z1" s="127" t="s">
        <v>10509</v>
      </c>
    </row>
    <row r="2" spans="1:26" s="120" customFormat="1" ht="45" x14ac:dyDescent="0.25">
      <c r="A2" s="121">
        <v>1</v>
      </c>
      <c r="B2" s="123" t="s">
        <v>10519</v>
      </c>
      <c r="C2" s="115" t="s">
        <v>7346</v>
      </c>
      <c r="D2" s="123"/>
      <c r="E2" s="123"/>
      <c r="F2" s="123"/>
      <c r="G2" s="124">
        <v>650136</v>
      </c>
      <c r="H2" s="119">
        <v>42125</v>
      </c>
      <c r="I2" s="125">
        <v>2</v>
      </c>
      <c r="J2" s="115" t="s">
        <v>10515</v>
      </c>
      <c r="K2" s="115" t="s">
        <v>10516</v>
      </c>
      <c r="L2" s="115" t="s">
        <v>10517</v>
      </c>
      <c r="M2" s="115" t="s">
        <v>10518</v>
      </c>
      <c r="N2" s="115" t="s">
        <v>10494</v>
      </c>
      <c r="O2" s="115">
        <v>40000004</v>
      </c>
      <c r="P2" s="115" t="s">
        <v>10501</v>
      </c>
      <c r="Q2" s="119">
        <v>29952</v>
      </c>
      <c r="R2" s="115" t="s">
        <v>7365</v>
      </c>
      <c r="S2" s="115" t="s">
        <v>8668</v>
      </c>
      <c r="T2" s="118">
        <v>20001314</v>
      </c>
      <c r="U2" s="119">
        <v>36794</v>
      </c>
      <c r="V2" s="115">
        <v>6</v>
      </c>
      <c r="W2" s="115" t="s">
        <v>7346</v>
      </c>
      <c r="X2" s="122"/>
      <c r="Y2" s="128">
        <f>VLOOKUP(Z2,CHOOSE({2,1},Tabla__192.168.100.130_SQLCOPNIA_COPNIA_ParametrosGenerales[idParametro],Tabla__192.168.100.130_SQLCOPNIA_COPNIA_ParametrosGenerales[Parametro]),2,0)</f>
        <v>1047</v>
      </c>
      <c r="Z2" s="126" t="s">
        <v>10506</v>
      </c>
    </row>
  </sheetData>
  <dataValidations count="4">
    <dataValidation type="list" allowBlank="1" showInputMessage="1" showErrorMessage="1" sqref="R2">
      <formula1>PROFESIONES</formula1>
    </dataValidation>
    <dataValidation type="list" allowBlank="1" showInputMessage="1" showErrorMessage="1" sqref="S2">
      <formula1>UNIVERSIDADES</formula1>
    </dataValidation>
    <dataValidation type="list" allowBlank="1" showInputMessage="1" showErrorMessage="1" sqref="Z2">
      <formula1>HOMOLOGACONSEJO</formula1>
    </dataValidation>
    <dataValidation type="list" allowBlank="1" showInputMessage="1" showErrorMessage="1" sqref="I2">
      <formula1>TIPO</formula1>
    </dataValidation>
  </dataValidations>
  <pageMargins left="0.70866141732283472" right="0.70866141732283472" top="0.6" bottom="0.56999999999999995" header="0.31496062992125984" footer="0.31496062992125984"/>
  <pageSetup scale="32" fitToHeight="0" orientation="landscape" r:id="rId1"/>
  <headerFooter>
    <oddHeader>&amp;C&amp;"Arial,Negrita"&amp;14REGISTRO DE EXPEDIENTES DE PROFESIONALES AUXILIARES REGISTRADOS ANTE EL CONSEJO PROFESIONAL DE ARQUITECTURA - CPNAA</oddHeader>
    <oddFooter>Página &amp;P</oddFoot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5"/>
  <sheetViews>
    <sheetView workbookViewId="0">
      <selection activeCell="C4" sqref="C4"/>
    </sheetView>
  </sheetViews>
  <sheetFormatPr baseColWidth="10" defaultRowHeight="15" x14ac:dyDescent="0.25"/>
  <sheetData>
    <row r="1" spans="1:2" x14ac:dyDescent="0.25">
      <c r="A1" t="s">
        <v>9</v>
      </c>
      <c r="B1" t="s">
        <v>14</v>
      </c>
    </row>
    <row r="2" spans="1:2" x14ac:dyDescent="0.25">
      <c r="A2">
        <v>1</v>
      </c>
    </row>
    <row r="3" spans="1:2" x14ac:dyDescent="0.25">
      <c r="A3">
        <v>2</v>
      </c>
    </row>
    <row r="4" spans="1:2" x14ac:dyDescent="0.25">
      <c r="A4">
        <v>3</v>
      </c>
    </row>
    <row r="5" spans="1:2" x14ac:dyDescent="0.25">
      <c r="A5">
        <v>100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4"/>
  <sheetViews>
    <sheetView workbookViewId="0">
      <selection activeCell="B2" sqref="B2:B4"/>
    </sheetView>
  </sheetViews>
  <sheetFormatPr baseColWidth="10" defaultRowHeight="15" x14ac:dyDescent="0.25"/>
  <cols>
    <col min="1" max="1" width="14.28515625" bestFit="1" customWidth="1"/>
    <col min="2" max="2" width="26.140625" bestFit="1" customWidth="1"/>
  </cols>
  <sheetData>
    <row r="1" spans="1:2" x14ac:dyDescent="0.25">
      <c r="A1" t="s">
        <v>10503</v>
      </c>
      <c r="B1" t="s">
        <v>10504</v>
      </c>
    </row>
    <row r="2" spans="1:2" x14ac:dyDescent="0.25">
      <c r="A2">
        <v>1046</v>
      </c>
      <c r="B2" t="s">
        <v>10505</v>
      </c>
    </row>
    <row r="3" spans="1:2" x14ac:dyDescent="0.25">
      <c r="A3">
        <v>1047</v>
      </c>
      <c r="B3" t="s">
        <v>10506</v>
      </c>
    </row>
    <row r="4" spans="1:2" x14ac:dyDescent="0.25">
      <c r="A4">
        <v>1048</v>
      </c>
      <c r="B4" t="s">
        <v>10507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236"/>
  <sheetViews>
    <sheetView workbookViewId="0">
      <selection activeCell="G5" sqref="G5"/>
    </sheetView>
  </sheetViews>
  <sheetFormatPr baseColWidth="10" defaultRowHeight="15" x14ac:dyDescent="0.25"/>
  <cols>
    <col min="1" max="1" width="15.28515625" bestFit="1" customWidth="1"/>
    <col min="2" max="2" width="17.85546875" bestFit="1" customWidth="1"/>
    <col min="3" max="3" width="9.5703125" bestFit="1" customWidth="1"/>
    <col min="4" max="4" width="15.140625" bestFit="1" customWidth="1"/>
    <col min="5" max="5" width="12.140625" bestFit="1" customWidth="1"/>
    <col min="6" max="6" width="53.28515625" bestFit="1" customWidth="1"/>
    <col min="7" max="8" width="81.140625" bestFit="1" customWidth="1"/>
  </cols>
  <sheetData>
    <row r="1" spans="1:8" x14ac:dyDescent="0.25">
      <c r="A1" t="s">
        <v>7350</v>
      </c>
      <c r="B1" t="s">
        <v>7351</v>
      </c>
      <c r="C1" t="s">
        <v>7352</v>
      </c>
      <c r="D1" t="s">
        <v>7353</v>
      </c>
      <c r="E1" t="s">
        <v>7354</v>
      </c>
      <c r="F1" t="s">
        <v>7355</v>
      </c>
      <c r="G1" t="s">
        <v>7356</v>
      </c>
      <c r="H1" t="s">
        <v>7357</v>
      </c>
    </row>
    <row r="2" spans="1:8" x14ac:dyDescent="0.25">
      <c r="A2">
        <v>0</v>
      </c>
      <c r="B2">
        <v>0</v>
      </c>
      <c r="C2">
        <v>0</v>
      </c>
      <c r="D2">
        <v>0</v>
      </c>
      <c r="E2">
        <v>0</v>
      </c>
      <c r="F2" t="s">
        <v>7358</v>
      </c>
      <c r="G2" t="s">
        <v>7359</v>
      </c>
      <c r="H2" t="s">
        <v>7360</v>
      </c>
    </row>
    <row r="3" spans="1:8" x14ac:dyDescent="0.25">
      <c r="A3">
        <v>1</v>
      </c>
      <c r="B3">
        <v>255</v>
      </c>
      <c r="C3">
        <v>2</v>
      </c>
      <c r="D3">
        <v>6</v>
      </c>
      <c r="E3">
        <v>1</v>
      </c>
      <c r="G3" t="s">
        <v>10495</v>
      </c>
      <c r="H3" t="s">
        <v>7361</v>
      </c>
    </row>
    <row r="4" spans="1:8" x14ac:dyDescent="0.25">
      <c r="A4">
        <v>2</v>
      </c>
      <c r="B4">
        <v>255</v>
      </c>
      <c r="C4">
        <v>2</v>
      </c>
      <c r="D4">
        <v>7</v>
      </c>
      <c r="E4">
        <v>1</v>
      </c>
      <c r="G4" t="s">
        <v>7362</v>
      </c>
      <c r="H4" t="s">
        <v>7362</v>
      </c>
    </row>
    <row r="5" spans="1:8" x14ac:dyDescent="0.25">
      <c r="A5">
        <v>3</v>
      </c>
      <c r="B5">
        <v>999</v>
      </c>
      <c r="C5">
        <v>2</v>
      </c>
      <c r="D5">
        <v>7</v>
      </c>
      <c r="E5">
        <v>0</v>
      </c>
      <c r="F5" t="s">
        <v>7363</v>
      </c>
      <c r="G5" t="s">
        <v>7364</v>
      </c>
    </row>
    <row r="6" spans="1:8" x14ac:dyDescent="0.25">
      <c r="A6">
        <v>4</v>
      </c>
      <c r="B6">
        <v>999</v>
      </c>
      <c r="C6">
        <v>1</v>
      </c>
      <c r="D6">
        <v>10</v>
      </c>
      <c r="E6">
        <v>1</v>
      </c>
      <c r="F6" t="s">
        <v>3321</v>
      </c>
      <c r="G6" t="s">
        <v>7365</v>
      </c>
      <c r="H6" t="s">
        <v>7365</v>
      </c>
    </row>
    <row r="7" spans="1:8" x14ac:dyDescent="0.25">
      <c r="A7">
        <v>5</v>
      </c>
      <c r="B7">
        <v>999</v>
      </c>
      <c r="C7">
        <v>100</v>
      </c>
      <c r="D7">
        <v>10</v>
      </c>
      <c r="E7">
        <v>1</v>
      </c>
      <c r="F7" t="s">
        <v>3321</v>
      </c>
      <c r="G7" t="s">
        <v>7366</v>
      </c>
      <c r="H7" t="s">
        <v>7366</v>
      </c>
    </row>
    <row r="8" spans="1:8" x14ac:dyDescent="0.25">
      <c r="A8">
        <v>6</v>
      </c>
      <c r="B8">
        <v>115</v>
      </c>
      <c r="C8">
        <v>100</v>
      </c>
      <c r="D8">
        <v>10</v>
      </c>
      <c r="E8">
        <v>1</v>
      </c>
      <c r="F8" t="s">
        <v>7367</v>
      </c>
      <c r="G8" t="s">
        <v>7368</v>
      </c>
      <c r="H8" t="s">
        <v>7368</v>
      </c>
    </row>
    <row r="9" spans="1:8" x14ac:dyDescent="0.25">
      <c r="A9">
        <v>7</v>
      </c>
      <c r="B9">
        <v>999</v>
      </c>
      <c r="C9">
        <v>2</v>
      </c>
      <c r="D9">
        <v>6</v>
      </c>
      <c r="E9">
        <v>1</v>
      </c>
      <c r="F9" t="s">
        <v>3321</v>
      </c>
      <c r="G9" t="s">
        <v>7369</v>
      </c>
      <c r="H9" t="s">
        <v>7369</v>
      </c>
    </row>
    <row r="10" spans="1:8" x14ac:dyDescent="0.25">
      <c r="A10">
        <v>8</v>
      </c>
      <c r="B10">
        <v>999</v>
      </c>
      <c r="C10">
        <v>2</v>
      </c>
      <c r="D10">
        <v>6</v>
      </c>
      <c r="E10">
        <v>1</v>
      </c>
      <c r="F10" t="s">
        <v>3321</v>
      </c>
      <c r="G10" t="s">
        <v>7370</v>
      </c>
      <c r="H10" t="s">
        <v>7370</v>
      </c>
    </row>
    <row r="11" spans="1:8" x14ac:dyDescent="0.25">
      <c r="A11">
        <v>9</v>
      </c>
      <c r="B11">
        <v>999</v>
      </c>
      <c r="C11">
        <v>2</v>
      </c>
      <c r="D11">
        <v>6</v>
      </c>
      <c r="E11">
        <v>1</v>
      </c>
      <c r="F11" t="s">
        <v>3321</v>
      </c>
      <c r="G11" t="s">
        <v>7371</v>
      </c>
      <c r="H11" t="s">
        <v>7371</v>
      </c>
    </row>
    <row r="12" spans="1:8" x14ac:dyDescent="0.25">
      <c r="A12">
        <v>10</v>
      </c>
      <c r="B12">
        <v>999</v>
      </c>
      <c r="C12">
        <v>1</v>
      </c>
      <c r="D12">
        <v>10</v>
      </c>
      <c r="E12">
        <v>1</v>
      </c>
      <c r="F12" t="s">
        <v>3321</v>
      </c>
      <c r="G12" t="s">
        <v>7372</v>
      </c>
      <c r="H12" t="s">
        <v>7372</v>
      </c>
    </row>
    <row r="13" spans="1:8" x14ac:dyDescent="0.25">
      <c r="A13">
        <v>11</v>
      </c>
      <c r="B13">
        <v>999</v>
      </c>
      <c r="C13">
        <v>2</v>
      </c>
      <c r="D13">
        <v>6</v>
      </c>
      <c r="E13">
        <v>1</v>
      </c>
      <c r="F13" t="s">
        <v>3321</v>
      </c>
      <c r="G13" t="s">
        <v>7373</v>
      </c>
      <c r="H13" t="s">
        <v>7373</v>
      </c>
    </row>
    <row r="14" spans="1:8" x14ac:dyDescent="0.25">
      <c r="A14">
        <v>12</v>
      </c>
      <c r="B14">
        <v>999</v>
      </c>
      <c r="C14">
        <v>100</v>
      </c>
      <c r="D14">
        <v>10</v>
      </c>
      <c r="E14">
        <v>1</v>
      </c>
      <c r="F14" t="s">
        <v>3321</v>
      </c>
      <c r="G14" t="s">
        <v>7347</v>
      </c>
      <c r="H14" t="s">
        <v>7347</v>
      </c>
    </row>
    <row r="15" spans="1:8" x14ac:dyDescent="0.25">
      <c r="A15">
        <v>13</v>
      </c>
      <c r="B15">
        <v>999</v>
      </c>
      <c r="C15">
        <v>2</v>
      </c>
      <c r="D15">
        <v>8</v>
      </c>
      <c r="E15">
        <v>1</v>
      </c>
      <c r="F15" t="s">
        <v>3321</v>
      </c>
      <c r="G15" t="s">
        <v>7374</v>
      </c>
      <c r="H15" t="s">
        <v>7374</v>
      </c>
    </row>
    <row r="16" spans="1:8" x14ac:dyDescent="0.25">
      <c r="A16">
        <v>14</v>
      </c>
      <c r="B16">
        <v>999</v>
      </c>
      <c r="C16">
        <v>2</v>
      </c>
      <c r="D16">
        <v>6</v>
      </c>
      <c r="E16">
        <v>1</v>
      </c>
      <c r="F16" t="s">
        <v>7367</v>
      </c>
      <c r="G16" t="s">
        <v>7375</v>
      </c>
      <c r="H16" t="s">
        <v>7375</v>
      </c>
    </row>
    <row r="17" spans="1:8" x14ac:dyDescent="0.25">
      <c r="A17">
        <v>15</v>
      </c>
      <c r="B17">
        <v>999</v>
      </c>
      <c r="C17">
        <v>2</v>
      </c>
      <c r="D17">
        <v>6</v>
      </c>
      <c r="E17">
        <v>1</v>
      </c>
      <c r="F17" t="s">
        <v>3321</v>
      </c>
      <c r="G17" t="s">
        <v>7376</v>
      </c>
      <c r="H17" t="s">
        <v>7376</v>
      </c>
    </row>
    <row r="18" spans="1:8" x14ac:dyDescent="0.25">
      <c r="A18">
        <v>16</v>
      </c>
      <c r="B18">
        <v>999</v>
      </c>
      <c r="C18">
        <v>2</v>
      </c>
      <c r="D18">
        <v>6</v>
      </c>
      <c r="E18">
        <v>1</v>
      </c>
      <c r="F18" t="s">
        <v>3321</v>
      </c>
      <c r="G18" t="s">
        <v>7377</v>
      </c>
      <c r="H18" t="s">
        <v>7377</v>
      </c>
    </row>
    <row r="19" spans="1:8" x14ac:dyDescent="0.25">
      <c r="A19">
        <v>17</v>
      </c>
      <c r="B19">
        <v>999</v>
      </c>
      <c r="C19">
        <v>100</v>
      </c>
      <c r="D19">
        <v>10</v>
      </c>
      <c r="E19">
        <v>1</v>
      </c>
      <c r="F19" t="s">
        <v>3321</v>
      </c>
      <c r="G19" t="s">
        <v>7378</v>
      </c>
      <c r="H19" t="s">
        <v>7378</v>
      </c>
    </row>
    <row r="20" spans="1:8" x14ac:dyDescent="0.25">
      <c r="A20">
        <v>18</v>
      </c>
      <c r="B20">
        <v>999</v>
      </c>
      <c r="C20">
        <v>2</v>
      </c>
      <c r="D20">
        <v>6</v>
      </c>
      <c r="E20">
        <v>1</v>
      </c>
      <c r="F20" t="s">
        <v>3321</v>
      </c>
      <c r="G20" t="s">
        <v>7379</v>
      </c>
      <c r="H20" t="s">
        <v>7379</v>
      </c>
    </row>
    <row r="21" spans="1:8" x14ac:dyDescent="0.25">
      <c r="A21">
        <v>19</v>
      </c>
      <c r="B21">
        <v>999</v>
      </c>
      <c r="C21">
        <v>1</v>
      </c>
      <c r="D21">
        <v>10</v>
      </c>
      <c r="E21">
        <v>1</v>
      </c>
      <c r="F21" t="s">
        <v>3321</v>
      </c>
      <c r="G21" t="s">
        <v>7380</v>
      </c>
      <c r="H21" t="s">
        <v>7380</v>
      </c>
    </row>
    <row r="22" spans="1:8" x14ac:dyDescent="0.25">
      <c r="A22">
        <v>20</v>
      </c>
      <c r="B22">
        <v>999</v>
      </c>
      <c r="C22">
        <v>2</v>
      </c>
      <c r="D22">
        <v>6</v>
      </c>
      <c r="E22">
        <v>1</v>
      </c>
      <c r="F22" t="s">
        <v>3321</v>
      </c>
      <c r="G22" t="s">
        <v>7381</v>
      </c>
      <c r="H22" t="s">
        <v>7381</v>
      </c>
    </row>
    <row r="23" spans="1:8" x14ac:dyDescent="0.25">
      <c r="A23">
        <v>21</v>
      </c>
      <c r="B23">
        <v>999</v>
      </c>
      <c r="C23">
        <v>2</v>
      </c>
      <c r="D23">
        <v>6</v>
      </c>
      <c r="E23">
        <v>1</v>
      </c>
      <c r="F23" t="s">
        <v>3321</v>
      </c>
      <c r="G23" t="s">
        <v>7382</v>
      </c>
      <c r="H23" t="s">
        <v>7382</v>
      </c>
    </row>
    <row r="24" spans="1:8" x14ac:dyDescent="0.25">
      <c r="A24">
        <v>22</v>
      </c>
      <c r="B24">
        <v>999</v>
      </c>
      <c r="C24">
        <v>2</v>
      </c>
      <c r="D24">
        <v>6</v>
      </c>
      <c r="E24">
        <v>1</v>
      </c>
      <c r="G24" t="s">
        <v>7383</v>
      </c>
      <c r="H24" t="s">
        <v>7383</v>
      </c>
    </row>
    <row r="25" spans="1:8" x14ac:dyDescent="0.25">
      <c r="A25">
        <v>23</v>
      </c>
      <c r="B25">
        <v>999</v>
      </c>
      <c r="C25">
        <v>2</v>
      </c>
      <c r="D25">
        <v>7</v>
      </c>
      <c r="E25">
        <v>1</v>
      </c>
      <c r="G25" t="s">
        <v>7384</v>
      </c>
      <c r="H25" t="s">
        <v>7384</v>
      </c>
    </row>
    <row r="26" spans="1:8" x14ac:dyDescent="0.25">
      <c r="A26">
        <v>24</v>
      </c>
      <c r="B26">
        <v>999</v>
      </c>
      <c r="C26">
        <v>2</v>
      </c>
      <c r="D26">
        <v>6</v>
      </c>
      <c r="E26">
        <v>1</v>
      </c>
      <c r="G26" t="s">
        <v>7385</v>
      </c>
      <c r="H26" t="s">
        <v>7385</v>
      </c>
    </row>
    <row r="27" spans="1:8" x14ac:dyDescent="0.25">
      <c r="A27">
        <v>25</v>
      </c>
      <c r="B27">
        <v>999</v>
      </c>
      <c r="C27">
        <v>2</v>
      </c>
      <c r="D27">
        <v>6</v>
      </c>
      <c r="E27">
        <v>0</v>
      </c>
      <c r="F27" t="s">
        <v>7386</v>
      </c>
      <c r="G27" t="s">
        <v>7387</v>
      </c>
      <c r="H27" t="s">
        <v>7387</v>
      </c>
    </row>
    <row r="28" spans="1:8" x14ac:dyDescent="0.25">
      <c r="A28">
        <v>26</v>
      </c>
      <c r="B28">
        <v>238</v>
      </c>
      <c r="C28">
        <v>2</v>
      </c>
      <c r="D28">
        <v>7</v>
      </c>
      <c r="E28">
        <v>1</v>
      </c>
      <c r="G28" t="s">
        <v>7388</v>
      </c>
      <c r="H28" t="s">
        <v>7388</v>
      </c>
    </row>
    <row r="29" spans="1:8" x14ac:dyDescent="0.25">
      <c r="A29">
        <v>27</v>
      </c>
      <c r="B29">
        <v>255</v>
      </c>
      <c r="C29">
        <v>2</v>
      </c>
      <c r="D29">
        <v>7</v>
      </c>
      <c r="E29">
        <v>1</v>
      </c>
      <c r="G29" t="s">
        <v>7389</v>
      </c>
      <c r="H29" t="s">
        <v>7389</v>
      </c>
    </row>
    <row r="30" spans="1:8" x14ac:dyDescent="0.25">
      <c r="A30">
        <v>28</v>
      </c>
      <c r="B30">
        <v>100</v>
      </c>
      <c r="C30">
        <v>2</v>
      </c>
      <c r="D30">
        <v>6</v>
      </c>
      <c r="E30">
        <v>1</v>
      </c>
      <c r="G30" t="s">
        <v>7390</v>
      </c>
      <c r="H30" t="s">
        <v>7390</v>
      </c>
    </row>
    <row r="31" spans="1:8" x14ac:dyDescent="0.25">
      <c r="A31">
        <v>29</v>
      </c>
      <c r="B31">
        <v>115</v>
      </c>
      <c r="C31">
        <v>2</v>
      </c>
      <c r="D31">
        <v>7</v>
      </c>
      <c r="E31">
        <v>1</v>
      </c>
      <c r="G31" t="s">
        <v>7391</v>
      </c>
      <c r="H31" t="s">
        <v>7391</v>
      </c>
    </row>
    <row r="32" spans="1:8" x14ac:dyDescent="0.25">
      <c r="A32">
        <v>30</v>
      </c>
      <c r="B32">
        <v>218</v>
      </c>
      <c r="C32">
        <v>2</v>
      </c>
      <c r="D32">
        <v>6</v>
      </c>
      <c r="E32">
        <v>1</v>
      </c>
      <c r="G32" t="s">
        <v>7392</v>
      </c>
      <c r="H32" t="s">
        <v>7392</v>
      </c>
    </row>
    <row r="33" spans="1:8" x14ac:dyDescent="0.25">
      <c r="A33">
        <v>31</v>
      </c>
      <c r="B33">
        <v>999</v>
      </c>
      <c r="C33">
        <v>2</v>
      </c>
      <c r="D33">
        <v>7</v>
      </c>
      <c r="E33">
        <v>1</v>
      </c>
      <c r="G33" t="s">
        <v>7393</v>
      </c>
      <c r="H33" t="s">
        <v>7393</v>
      </c>
    </row>
    <row r="34" spans="1:8" x14ac:dyDescent="0.25">
      <c r="A34">
        <v>32</v>
      </c>
      <c r="B34">
        <v>999</v>
      </c>
      <c r="C34">
        <v>2</v>
      </c>
      <c r="D34">
        <v>8</v>
      </c>
      <c r="E34">
        <v>1</v>
      </c>
      <c r="G34" t="s">
        <v>7394</v>
      </c>
      <c r="H34" t="s">
        <v>7394</v>
      </c>
    </row>
    <row r="35" spans="1:8" x14ac:dyDescent="0.25">
      <c r="A35">
        <v>33</v>
      </c>
      <c r="B35">
        <v>115</v>
      </c>
      <c r="C35">
        <v>1</v>
      </c>
      <c r="D35">
        <v>5</v>
      </c>
      <c r="E35">
        <v>1</v>
      </c>
      <c r="G35" t="s">
        <v>7395</v>
      </c>
      <c r="H35" t="s">
        <v>7395</v>
      </c>
    </row>
    <row r="36" spans="1:8" x14ac:dyDescent="0.25">
      <c r="A36">
        <v>34</v>
      </c>
      <c r="B36">
        <v>999</v>
      </c>
      <c r="C36">
        <v>2</v>
      </c>
      <c r="D36">
        <v>7</v>
      </c>
      <c r="E36">
        <v>1</v>
      </c>
      <c r="G36" t="s">
        <v>7396</v>
      </c>
      <c r="H36" t="s">
        <v>7396</v>
      </c>
    </row>
    <row r="37" spans="1:8" x14ac:dyDescent="0.25">
      <c r="A37">
        <v>35</v>
      </c>
      <c r="B37">
        <v>999</v>
      </c>
      <c r="C37">
        <v>2</v>
      </c>
      <c r="D37">
        <v>7</v>
      </c>
      <c r="E37">
        <v>1</v>
      </c>
      <c r="G37" t="s">
        <v>7397</v>
      </c>
      <c r="H37" t="s">
        <v>7397</v>
      </c>
    </row>
    <row r="38" spans="1:8" x14ac:dyDescent="0.25">
      <c r="A38">
        <v>36</v>
      </c>
      <c r="B38">
        <v>115</v>
      </c>
      <c r="C38">
        <v>2</v>
      </c>
      <c r="D38">
        <v>7</v>
      </c>
      <c r="E38">
        <v>1</v>
      </c>
      <c r="G38" t="s">
        <v>7398</v>
      </c>
      <c r="H38" t="s">
        <v>7398</v>
      </c>
    </row>
    <row r="39" spans="1:8" x14ac:dyDescent="0.25">
      <c r="A39">
        <v>37</v>
      </c>
      <c r="B39">
        <v>999</v>
      </c>
      <c r="C39">
        <v>2</v>
      </c>
      <c r="D39">
        <v>7</v>
      </c>
      <c r="E39">
        <v>1</v>
      </c>
      <c r="G39" t="s">
        <v>7399</v>
      </c>
      <c r="H39" t="s">
        <v>7399</v>
      </c>
    </row>
    <row r="40" spans="1:8" x14ac:dyDescent="0.25">
      <c r="A40">
        <v>38</v>
      </c>
      <c r="B40">
        <v>255</v>
      </c>
      <c r="C40">
        <v>2</v>
      </c>
      <c r="D40">
        <v>6</v>
      </c>
      <c r="E40">
        <v>1</v>
      </c>
      <c r="G40" t="s">
        <v>7400</v>
      </c>
      <c r="H40" t="s">
        <v>7400</v>
      </c>
    </row>
    <row r="41" spans="1:8" x14ac:dyDescent="0.25">
      <c r="A41">
        <v>39</v>
      </c>
      <c r="B41">
        <v>149</v>
      </c>
      <c r="C41">
        <v>2</v>
      </c>
      <c r="D41">
        <v>5</v>
      </c>
      <c r="E41">
        <v>1</v>
      </c>
      <c r="G41" t="s">
        <v>7401</v>
      </c>
      <c r="H41" t="s">
        <v>7401</v>
      </c>
    </row>
    <row r="42" spans="1:8" x14ac:dyDescent="0.25">
      <c r="A42">
        <v>40</v>
      </c>
      <c r="B42">
        <v>999</v>
      </c>
      <c r="C42">
        <v>2</v>
      </c>
      <c r="D42">
        <v>7</v>
      </c>
      <c r="E42">
        <v>1</v>
      </c>
      <c r="F42" t="s">
        <v>7402</v>
      </c>
      <c r="G42" t="s">
        <v>7403</v>
      </c>
      <c r="H42" t="s">
        <v>7403</v>
      </c>
    </row>
    <row r="43" spans="1:8" x14ac:dyDescent="0.25">
      <c r="A43">
        <v>41</v>
      </c>
      <c r="B43">
        <v>999</v>
      </c>
      <c r="C43">
        <v>2</v>
      </c>
      <c r="D43">
        <v>7</v>
      </c>
      <c r="E43">
        <v>1</v>
      </c>
      <c r="G43" t="s">
        <v>7404</v>
      </c>
      <c r="H43" t="s">
        <v>7404</v>
      </c>
    </row>
    <row r="44" spans="1:8" x14ac:dyDescent="0.25">
      <c r="A44">
        <v>42</v>
      </c>
      <c r="B44">
        <v>223</v>
      </c>
      <c r="C44">
        <v>1</v>
      </c>
      <c r="D44">
        <v>10</v>
      </c>
      <c r="E44">
        <v>0</v>
      </c>
      <c r="F44" t="s">
        <v>7405</v>
      </c>
      <c r="G44" t="s">
        <v>7406</v>
      </c>
      <c r="H44" t="s">
        <v>7406</v>
      </c>
    </row>
    <row r="45" spans="1:8" x14ac:dyDescent="0.25">
      <c r="A45">
        <v>43</v>
      </c>
      <c r="B45">
        <v>238</v>
      </c>
      <c r="C45">
        <v>1</v>
      </c>
      <c r="D45">
        <v>10</v>
      </c>
      <c r="E45">
        <v>1</v>
      </c>
      <c r="G45" t="s">
        <v>7407</v>
      </c>
      <c r="H45" t="s">
        <v>7407</v>
      </c>
    </row>
    <row r="46" spans="1:8" x14ac:dyDescent="0.25">
      <c r="A46">
        <v>44</v>
      </c>
      <c r="B46">
        <v>115</v>
      </c>
      <c r="C46">
        <v>2</v>
      </c>
      <c r="D46">
        <v>3</v>
      </c>
      <c r="E46">
        <v>1</v>
      </c>
      <c r="G46" t="s">
        <v>7408</v>
      </c>
      <c r="H46" t="s">
        <v>7408</v>
      </c>
    </row>
    <row r="47" spans="1:8" x14ac:dyDescent="0.25">
      <c r="A47">
        <v>45</v>
      </c>
      <c r="B47">
        <v>218</v>
      </c>
      <c r="C47">
        <v>2</v>
      </c>
      <c r="D47">
        <v>7</v>
      </c>
      <c r="E47">
        <v>1</v>
      </c>
      <c r="G47" t="s">
        <v>7409</v>
      </c>
      <c r="H47" t="s">
        <v>7409</v>
      </c>
    </row>
    <row r="48" spans="1:8" x14ac:dyDescent="0.25">
      <c r="A48">
        <v>46</v>
      </c>
      <c r="B48">
        <v>115</v>
      </c>
      <c r="C48">
        <v>2</v>
      </c>
      <c r="D48">
        <v>8</v>
      </c>
      <c r="E48">
        <v>1</v>
      </c>
      <c r="G48" t="s">
        <v>7410</v>
      </c>
      <c r="H48" t="s">
        <v>7410</v>
      </c>
    </row>
    <row r="49" spans="1:8" x14ac:dyDescent="0.25">
      <c r="A49">
        <v>47</v>
      </c>
      <c r="B49">
        <v>218</v>
      </c>
      <c r="C49">
        <v>2</v>
      </c>
      <c r="D49">
        <v>6</v>
      </c>
      <c r="E49">
        <v>1</v>
      </c>
      <c r="G49" t="s">
        <v>7411</v>
      </c>
      <c r="H49" t="s">
        <v>7411</v>
      </c>
    </row>
    <row r="50" spans="1:8" x14ac:dyDescent="0.25">
      <c r="A50">
        <v>48</v>
      </c>
      <c r="B50">
        <v>228</v>
      </c>
      <c r="C50">
        <v>2</v>
      </c>
      <c r="D50">
        <v>6</v>
      </c>
      <c r="E50">
        <v>1</v>
      </c>
      <c r="G50" t="s">
        <v>7412</v>
      </c>
      <c r="H50" t="s">
        <v>7412</v>
      </c>
    </row>
    <row r="51" spans="1:8" x14ac:dyDescent="0.25">
      <c r="A51">
        <v>49</v>
      </c>
      <c r="B51">
        <v>200</v>
      </c>
      <c r="C51">
        <v>1</v>
      </c>
      <c r="D51">
        <v>10</v>
      </c>
      <c r="E51">
        <v>1</v>
      </c>
      <c r="F51" t="s">
        <v>7413</v>
      </c>
      <c r="G51" t="s">
        <v>7414</v>
      </c>
      <c r="H51" t="s">
        <v>7414</v>
      </c>
    </row>
    <row r="52" spans="1:8" x14ac:dyDescent="0.25">
      <c r="A52">
        <v>50</v>
      </c>
      <c r="B52">
        <v>238</v>
      </c>
      <c r="C52">
        <v>2</v>
      </c>
      <c r="D52">
        <v>7</v>
      </c>
      <c r="E52">
        <v>1</v>
      </c>
      <c r="G52" t="s">
        <v>7415</v>
      </c>
      <c r="H52" t="s">
        <v>7415</v>
      </c>
    </row>
    <row r="53" spans="1:8" x14ac:dyDescent="0.25">
      <c r="A53">
        <v>51</v>
      </c>
      <c r="B53">
        <v>110</v>
      </c>
      <c r="C53">
        <v>2</v>
      </c>
      <c r="D53">
        <v>3</v>
      </c>
      <c r="E53">
        <v>1</v>
      </c>
      <c r="G53" t="s">
        <v>7416</v>
      </c>
      <c r="H53" t="s">
        <v>7416</v>
      </c>
    </row>
    <row r="54" spans="1:8" x14ac:dyDescent="0.25">
      <c r="A54">
        <v>52</v>
      </c>
      <c r="B54">
        <v>115</v>
      </c>
      <c r="C54">
        <v>100</v>
      </c>
      <c r="D54">
        <v>9</v>
      </c>
      <c r="E54">
        <v>1</v>
      </c>
      <c r="F54" t="s">
        <v>7413</v>
      </c>
      <c r="G54" t="s">
        <v>7417</v>
      </c>
      <c r="H54" t="s">
        <v>7417</v>
      </c>
    </row>
    <row r="55" spans="1:8" x14ac:dyDescent="0.25">
      <c r="A55">
        <v>53</v>
      </c>
      <c r="B55">
        <v>115</v>
      </c>
      <c r="C55">
        <v>2</v>
      </c>
      <c r="D55">
        <v>6</v>
      </c>
      <c r="E55">
        <v>1</v>
      </c>
      <c r="G55" t="s">
        <v>7418</v>
      </c>
      <c r="H55" t="s">
        <v>7418</v>
      </c>
    </row>
    <row r="56" spans="1:8" x14ac:dyDescent="0.25">
      <c r="A56">
        <v>54</v>
      </c>
      <c r="B56">
        <v>238</v>
      </c>
      <c r="C56">
        <v>2</v>
      </c>
      <c r="D56">
        <v>6</v>
      </c>
      <c r="E56">
        <v>1</v>
      </c>
      <c r="G56" t="s">
        <v>7419</v>
      </c>
    </row>
    <row r="57" spans="1:8" x14ac:dyDescent="0.25">
      <c r="A57">
        <v>55</v>
      </c>
      <c r="B57">
        <v>228</v>
      </c>
      <c r="C57">
        <v>2</v>
      </c>
      <c r="D57">
        <v>5</v>
      </c>
      <c r="E57">
        <v>0</v>
      </c>
      <c r="F57" t="s">
        <v>7405</v>
      </c>
      <c r="G57" t="s">
        <v>7420</v>
      </c>
    </row>
    <row r="58" spans="1:8" x14ac:dyDescent="0.25">
      <c r="A58">
        <v>56</v>
      </c>
      <c r="B58">
        <v>238</v>
      </c>
      <c r="C58">
        <v>2</v>
      </c>
      <c r="D58">
        <v>6</v>
      </c>
      <c r="E58">
        <v>0</v>
      </c>
      <c r="F58" t="s">
        <v>7421</v>
      </c>
      <c r="G58" t="s">
        <v>7422</v>
      </c>
    </row>
    <row r="59" spans="1:8" x14ac:dyDescent="0.25">
      <c r="A59">
        <v>57</v>
      </c>
      <c r="B59">
        <v>255</v>
      </c>
      <c r="C59">
        <v>2</v>
      </c>
      <c r="D59">
        <v>7</v>
      </c>
      <c r="E59">
        <v>1</v>
      </c>
      <c r="G59" t="s">
        <v>7423</v>
      </c>
      <c r="H59" t="s">
        <v>7423</v>
      </c>
    </row>
    <row r="60" spans="1:8" x14ac:dyDescent="0.25">
      <c r="A60">
        <v>58</v>
      </c>
      <c r="B60">
        <v>218</v>
      </c>
      <c r="C60">
        <v>2</v>
      </c>
      <c r="D60">
        <v>3</v>
      </c>
      <c r="E60">
        <v>1</v>
      </c>
      <c r="G60" t="s">
        <v>7424</v>
      </c>
    </row>
    <row r="61" spans="1:8" x14ac:dyDescent="0.25">
      <c r="A61">
        <v>59</v>
      </c>
      <c r="B61">
        <v>999</v>
      </c>
      <c r="C61">
        <v>2</v>
      </c>
      <c r="D61">
        <v>7</v>
      </c>
      <c r="E61">
        <v>1</v>
      </c>
      <c r="G61" t="s">
        <v>7425</v>
      </c>
    </row>
    <row r="62" spans="1:8" x14ac:dyDescent="0.25">
      <c r="A62">
        <v>60</v>
      </c>
      <c r="B62">
        <v>115</v>
      </c>
      <c r="C62">
        <v>2</v>
      </c>
      <c r="D62">
        <v>6</v>
      </c>
      <c r="E62">
        <v>1</v>
      </c>
      <c r="G62" t="s">
        <v>7426</v>
      </c>
    </row>
    <row r="63" spans="1:8" x14ac:dyDescent="0.25">
      <c r="A63">
        <v>61</v>
      </c>
      <c r="B63">
        <v>115</v>
      </c>
      <c r="C63">
        <v>1</v>
      </c>
      <c r="D63">
        <v>5</v>
      </c>
      <c r="E63">
        <v>1</v>
      </c>
      <c r="G63" t="s">
        <v>7427</v>
      </c>
    </row>
    <row r="64" spans="1:8" x14ac:dyDescent="0.25">
      <c r="A64">
        <v>62</v>
      </c>
      <c r="B64">
        <v>222</v>
      </c>
      <c r="C64">
        <v>1</v>
      </c>
      <c r="D64">
        <v>10</v>
      </c>
      <c r="E64">
        <v>1</v>
      </c>
      <c r="G64" t="s">
        <v>7428</v>
      </c>
    </row>
    <row r="65" spans="1:8" x14ac:dyDescent="0.25">
      <c r="A65">
        <v>63</v>
      </c>
      <c r="B65">
        <v>218</v>
      </c>
      <c r="C65">
        <v>2</v>
      </c>
      <c r="D65">
        <v>7</v>
      </c>
      <c r="E65">
        <v>1</v>
      </c>
      <c r="G65" t="s">
        <v>7429</v>
      </c>
    </row>
    <row r="66" spans="1:8" x14ac:dyDescent="0.25">
      <c r="A66">
        <v>64</v>
      </c>
      <c r="B66">
        <v>228</v>
      </c>
      <c r="C66">
        <v>2</v>
      </c>
      <c r="D66">
        <v>7</v>
      </c>
      <c r="E66">
        <v>1</v>
      </c>
      <c r="G66" t="s">
        <v>7430</v>
      </c>
    </row>
    <row r="67" spans="1:8" x14ac:dyDescent="0.25">
      <c r="A67">
        <v>65</v>
      </c>
      <c r="B67">
        <v>115</v>
      </c>
      <c r="C67">
        <v>1</v>
      </c>
      <c r="D67">
        <v>10</v>
      </c>
      <c r="E67">
        <v>1</v>
      </c>
      <c r="G67" t="s">
        <v>7431</v>
      </c>
    </row>
    <row r="68" spans="1:8" x14ac:dyDescent="0.25">
      <c r="A68">
        <v>66</v>
      </c>
      <c r="B68">
        <v>238</v>
      </c>
      <c r="C68">
        <v>2</v>
      </c>
      <c r="D68">
        <v>6</v>
      </c>
      <c r="E68">
        <v>1</v>
      </c>
      <c r="G68" t="s">
        <v>7432</v>
      </c>
      <c r="H68" t="s">
        <v>7432</v>
      </c>
    </row>
    <row r="69" spans="1:8" x14ac:dyDescent="0.25">
      <c r="A69">
        <v>67</v>
      </c>
      <c r="B69">
        <v>999</v>
      </c>
      <c r="C69">
        <v>2</v>
      </c>
      <c r="D69">
        <v>7</v>
      </c>
      <c r="E69">
        <v>1</v>
      </c>
      <c r="G69" t="s">
        <v>7433</v>
      </c>
    </row>
    <row r="70" spans="1:8" x14ac:dyDescent="0.25">
      <c r="A70">
        <v>68</v>
      </c>
      <c r="B70">
        <v>999</v>
      </c>
      <c r="C70">
        <v>2</v>
      </c>
      <c r="D70">
        <v>6</v>
      </c>
      <c r="E70">
        <v>1</v>
      </c>
      <c r="G70" t="s">
        <v>7434</v>
      </c>
    </row>
    <row r="71" spans="1:8" x14ac:dyDescent="0.25">
      <c r="A71">
        <v>69</v>
      </c>
      <c r="B71">
        <v>115</v>
      </c>
      <c r="C71">
        <v>1</v>
      </c>
      <c r="D71">
        <v>5</v>
      </c>
      <c r="E71">
        <v>0</v>
      </c>
      <c r="F71" t="s">
        <v>7435</v>
      </c>
      <c r="G71" t="s">
        <v>7436</v>
      </c>
      <c r="H71" t="s">
        <v>7436</v>
      </c>
    </row>
    <row r="72" spans="1:8" x14ac:dyDescent="0.25">
      <c r="A72">
        <v>70</v>
      </c>
      <c r="B72">
        <v>228</v>
      </c>
      <c r="C72">
        <v>1</v>
      </c>
      <c r="D72">
        <v>5</v>
      </c>
      <c r="E72">
        <v>1</v>
      </c>
      <c r="G72" t="s">
        <v>7437</v>
      </c>
    </row>
    <row r="73" spans="1:8" x14ac:dyDescent="0.25">
      <c r="A73">
        <v>71</v>
      </c>
      <c r="B73">
        <v>115</v>
      </c>
      <c r="C73">
        <v>2</v>
      </c>
      <c r="D73">
        <v>7</v>
      </c>
      <c r="E73">
        <v>1</v>
      </c>
      <c r="G73" t="s">
        <v>7438</v>
      </c>
    </row>
    <row r="74" spans="1:8" x14ac:dyDescent="0.25">
      <c r="A74">
        <v>72</v>
      </c>
      <c r="B74">
        <v>115</v>
      </c>
      <c r="C74">
        <v>100</v>
      </c>
      <c r="D74">
        <v>10</v>
      </c>
      <c r="E74">
        <v>1</v>
      </c>
      <c r="G74" t="s">
        <v>7439</v>
      </c>
    </row>
    <row r="75" spans="1:8" x14ac:dyDescent="0.25">
      <c r="A75">
        <v>73</v>
      </c>
      <c r="B75">
        <v>149</v>
      </c>
      <c r="C75">
        <v>1</v>
      </c>
      <c r="D75">
        <v>10</v>
      </c>
      <c r="E75">
        <v>1</v>
      </c>
      <c r="G75" t="s">
        <v>7440</v>
      </c>
    </row>
    <row r="76" spans="1:8" x14ac:dyDescent="0.25">
      <c r="A76">
        <v>74</v>
      </c>
      <c r="B76">
        <v>238</v>
      </c>
      <c r="C76">
        <v>2</v>
      </c>
      <c r="D76">
        <v>6</v>
      </c>
      <c r="E76">
        <v>1</v>
      </c>
      <c r="G76" t="s">
        <v>7441</v>
      </c>
    </row>
    <row r="77" spans="1:8" x14ac:dyDescent="0.25">
      <c r="A77">
        <v>75</v>
      </c>
      <c r="B77">
        <v>228</v>
      </c>
      <c r="C77">
        <v>2</v>
      </c>
      <c r="D77">
        <v>7</v>
      </c>
      <c r="E77">
        <v>1</v>
      </c>
      <c r="G77" t="s">
        <v>7442</v>
      </c>
      <c r="H77" t="s">
        <v>7442</v>
      </c>
    </row>
    <row r="78" spans="1:8" x14ac:dyDescent="0.25">
      <c r="A78">
        <v>76</v>
      </c>
      <c r="B78">
        <v>254</v>
      </c>
      <c r="C78">
        <v>2</v>
      </c>
      <c r="D78">
        <v>7</v>
      </c>
      <c r="E78">
        <v>1</v>
      </c>
      <c r="G78" t="s">
        <v>7443</v>
      </c>
    </row>
    <row r="79" spans="1:8" x14ac:dyDescent="0.25">
      <c r="A79">
        <v>77</v>
      </c>
      <c r="B79">
        <v>149</v>
      </c>
      <c r="C79">
        <v>2</v>
      </c>
      <c r="D79">
        <v>7</v>
      </c>
      <c r="E79">
        <v>1</v>
      </c>
      <c r="G79" t="s">
        <v>7444</v>
      </c>
    </row>
    <row r="80" spans="1:8" x14ac:dyDescent="0.25">
      <c r="A80">
        <v>78</v>
      </c>
      <c r="B80">
        <v>115</v>
      </c>
      <c r="C80">
        <v>100</v>
      </c>
      <c r="D80">
        <v>10</v>
      </c>
      <c r="E80">
        <v>0</v>
      </c>
      <c r="F80" t="s">
        <v>7445</v>
      </c>
      <c r="G80" t="s">
        <v>7446</v>
      </c>
    </row>
    <row r="81" spans="1:8" x14ac:dyDescent="0.25">
      <c r="A81">
        <v>79</v>
      </c>
      <c r="B81">
        <v>999</v>
      </c>
      <c r="C81">
        <v>2</v>
      </c>
      <c r="D81">
        <v>3</v>
      </c>
      <c r="E81">
        <v>0</v>
      </c>
      <c r="F81" t="s">
        <v>7447</v>
      </c>
      <c r="G81" t="s">
        <v>7448</v>
      </c>
    </row>
    <row r="82" spans="1:8" x14ac:dyDescent="0.25">
      <c r="A82">
        <v>80</v>
      </c>
      <c r="B82">
        <v>999</v>
      </c>
      <c r="C82">
        <v>2</v>
      </c>
      <c r="D82">
        <v>5</v>
      </c>
      <c r="E82">
        <v>1</v>
      </c>
      <c r="F82" t="s">
        <v>7449</v>
      </c>
      <c r="G82" t="s">
        <v>7450</v>
      </c>
      <c r="H82" t="s">
        <v>7450</v>
      </c>
    </row>
    <row r="83" spans="1:8" x14ac:dyDescent="0.25">
      <c r="A83">
        <v>81</v>
      </c>
      <c r="B83">
        <v>999</v>
      </c>
      <c r="C83">
        <v>2</v>
      </c>
      <c r="D83">
        <v>6</v>
      </c>
      <c r="E83">
        <v>1</v>
      </c>
      <c r="G83" t="s">
        <v>7451</v>
      </c>
    </row>
    <row r="84" spans="1:8" x14ac:dyDescent="0.25">
      <c r="A84">
        <v>82</v>
      </c>
      <c r="B84">
        <v>999</v>
      </c>
      <c r="C84">
        <v>2</v>
      </c>
      <c r="D84">
        <v>6</v>
      </c>
      <c r="E84">
        <v>1</v>
      </c>
      <c r="G84" t="s">
        <v>7452</v>
      </c>
    </row>
    <row r="85" spans="1:8" x14ac:dyDescent="0.25">
      <c r="A85">
        <v>83</v>
      </c>
      <c r="B85">
        <v>999</v>
      </c>
      <c r="C85">
        <v>2</v>
      </c>
      <c r="D85">
        <v>7</v>
      </c>
      <c r="E85">
        <v>1</v>
      </c>
      <c r="G85" t="s">
        <v>7453</v>
      </c>
    </row>
    <row r="86" spans="1:8" x14ac:dyDescent="0.25">
      <c r="A86">
        <v>84</v>
      </c>
      <c r="B86">
        <v>999</v>
      </c>
      <c r="C86">
        <v>2</v>
      </c>
      <c r="D86">
        <v>7</v>
      </c>
      <c r="E86">
        <v>1</v>
      </c>
      <c r="G86" t="s">
        <v>7454</v>
      </c>
    </row>
    <row r="87" spans="1:8" x14ac:dyDescent="0.25">
      <c r="A87">
        <v>85</v>
      </c>
      <c r="B87">
        <v>218</v>
      </c>
      <c r="C87">
        <v>2</v>
      </c>
      <c r="D87">
        <v>6</v>
      </c>
      <c r="E87">
        <v>1</v>
      </c>
      <c r="G87" t="s">
        <v>7455</v>
      </c>
    </row>
    <row r="88" spans="1:8" x14ac:dyDescent="0.25">
      <c r="A88">
        <v>86</v>
      </c>
      <c r="B88">
        <v>999</v>
      </c>
      <c r="C88">
        <v>2</v>
      </c>
      <c r="D88">
        <v>7</v>
      </c>
      <c r="E88">
        <v>1</v>
      </c>
      <c r="G88" t="s">
        <v>7364</v>
      </c>
      <c r="H88" t="s">
        <v>7456</v>
      </c>
    </row>
    <row r="89" spans="1:8" x14ac:dyDescent="0.25">
      <c r="A89">
        <v>87</v>
      </c>
      <c r="B89">
        <v>999</v>
      </c>
      <c r="C89">
        <v>2</v>
      </c>
      <c r="D89">
        <v>7</v>
      </c>
      <c r="E89">
        <v>1</v>
      </c>
      <c r="G89" t="s">
        <v>7457</v>
      </c>
    </row>
    <row r="90" spans="1:8" x14ac:dyDescent="0.25">
      <c r="A90">
        <v>88</v>
      </c>
      <c r="B90">
        <v>115</v>
      </c>
      <c r="C90">
        <v>2</v>
      </c>
      <c r="D90">
        <v>3</v>
      </c>
      <c r="E90">
        <v>1</v>
      </c>
      <c r="G90" t="s">
        <v>7458</v>
      </c>
    </row>
    <row r="91" spans="1:8" x14ac:dyDescent="0.25">
      <c r="A91">
        <v>89</v>
      </c>
      <c r="B91">
        <v>110</v>
      </c>
      <c r="C91">
        <v>1</v>
      </c>
      <c r="D91">
        <v>5</v>
      </c>
      <c r="E91">
        <v>1</v>
      </c>
      <c r="G91" t="s">
        <v>7459</v>
      </c>
      <c r="H91" t="s">
        <v>7459</v>
      </c>
    </row>
    <row r="92" spans="1:8" x14ac:dyDescent="0.25">
      <c r="A92">
        <v>90</v>
      </c>
      <c r="B92">
        <v>115</v>
      </c>
      <c r="C92">
        <v>2</v>
      </c>
      <c r="D92">
        <v>3</v>
      </c>
      <c r="E92">
        <v>1</v>
      </c>
      <c r="G92" t="s">
        <v>7460</v>
      </c>
      <c r="H92" t="s">
        <v>7460</v>
      </c>
    </row>
    <row r="93" spans="1:8" x14ac:dyDescent="0.25">
      <c r="A93">
        <v>91</v>
      </c>
      <c r="B93">
        <v>115</v>
      </c>
      <c r="C93">
        <v>2</v>
      </c>
      <c r="D93">
        <v>3</v>
      </c>
      <c r="E93">
        <v>1</v>
      </c>
      <c r="G93" t="s">
        <v>7461</v>
      </c>
      <c r="H93" t="s">
        <v>7461</v>
      </c>
    </row>
    <row r="94" spans="1:8" x14ac:dyDescent="0.25">
      <c r="A94">
        <v>92</v>
      </c>
      <c r="B94">
        <v>238</v>
      </c>
      <c r="C94">
        <v>2</v>
      </c>
      <c r="D94">
        <v>7</v>
      </c>
      <c r="E94">
        <v>1</v>
      </c>
      <c r="G94" t="s">
        <v>7462</v>
      </c>
    </row>
    <row r="95" spans="1:8" x14ac:dyDescent="0.25">
      <c r="A95">
        <v>93</v>
      </c>
      <c r="B95">
        <v>999</v>
      </c>
      <c r="C95">
        <v>2</v>
      </c>
      <c r="D95">
        <v>3</v>
      </c>
      <c r="E95">
        <v>1</v>
      </c>
      <c r="G95" t="s">
        <v>7463</v>
      </c>
    </row>
    <row r="96" spans="1:8" x14ac:dyDescent="0.25">
      <c r="A96">
        <v>94</v>
      </c>
      <c r="B96">
        <v>149</v>
      </c>
      <c r="C96">
        <v>2</v>
      </c>
      <c r="D96">
        <v>7</v>
      </c>
      <c r="E96">
        <v>1</v>
      </c>
      <c r="F96" t="s">
        <v>7464</v>
      </c>
      <c r="G96" t="s">
        <v>7465</v>
      </c>
      <c r="H96" t="s">
        <v>7465</v>
      </c>
    </row>
    <row r="97" spans="1:8" x14ac:dyDescent="0.25">
      <c r="A97">
        <v>95</v>
      </c>
      <c r="B97">
        <v>115</v>
      </c>
      <c r="C97">
        <v>2</v>
      </c>
      <c r="D97">
        <v>3</v>
      </c>
      <c r="E97">
        <v>1</v>
      </c>
      <c r="G97" t="s">
        <v>7466</v>
      </c>
    </row>
    <row r="98" spans="1:8" x14ac:dyDescent="0.25">
      <c r="A98">
        <v>96</v>
      </c>
      <c r="B98">
        <v>999</v>
      </c>
      <c r="C98">
        <v>2</v>
      </c>
      <c r="D98">
        <v>6</v>
      </c>
      <c r="E98">
        <v>1</v>
      </c>
      <c r="G98" t="s">
        <v>7467</v>
      </c>
    </row>
    <row r="99" spans="1:8" x14ac:dyDescent="0.25">
      <c r="A99">
        <v>97</v>
      </c>
      <c r="B99">
        <v>999</v>
      </c>
      <c r="C99">
        <v>2</v>
      </c>
      <c r="D99">
        <v>6</v>
      </c>
      <c r="E99">
        <v>1</v>
      </c>
      <c r="G99" t="s">
        <v>7468</v>
      </c>
    </row>
    <row r="100" spans="1:8" x14ac:dyDescent="0.25">
      <c r="A100">
        <v>98</v>
      </c>
      <c r="B100">
        <v>999</v>
      </c>
      <c r="C100">
        <v>2</v>
      </c>
      <c r="D100">
        <v>6</v>
      </c>
      <c r="E100">
        <v>1</v>
      </c>
      <c r="F100" t="s">
        <v>3321</v>
      </c>
      <c r="G100" t="s">
        <v>7469</v>
      </c>
      <c r="H100" t="s">
        <v>7469</v>
      </c>
    </row>
    <row r="101" spans="1:8" x14ac:dyDescent="0.25">
      <c r="A101">
        <v>99</v>
      </c>
      <c r="B101">
        <v>255</v>
      </c>
      <c r="C101">
        <v>2</v>
      </c>
      <c r="D101">
        <v>7</v>
      </c>
      <c r="E101">
        <v>0</v>
      </c>
      <c r="F101" t="s">
        <v>7470</v>
      </c>
      <c r="G101" t="s">
        <v>7471</v>
      </c>
      <c r="H101" t="s">
        <v>7471</v>
      </c>
    </row>
    <row r="102" spans="1:8" x14ac:dyDescent="0.25">
      <c r="A102">
        <v>100</v>
      </c>
      <c r="B102">
        <v>999</v>
      </c>
      <c r="C102">
        <v>1</v>
      </c>
      <c r="D102">
        <v>10</v>
      </c>
      <c r="E102">
        <v>1</v>
      </c>
      <c r="F102" t="s">
        <v>7472</v>
      </c>
      <c r="G102" t="s">
        <v>7473</v>
      </c>
      <c r="H102" t="s">
        <v>7473</v>
      </c>
    </row>
    <row r="103" spans="1:8" x14ac:dyDescent="0.25">
      <c r="A103">
        <v>101</v>
      </c>
      <c r="B103">
        <v>999</v>
      </c>
      <c r="C103">
        <v>1</v>
      </c>
      <c r="D103">
        <v>10</v>
      </c>
      <c r="E103">
        <v>0</v>
      </c>
      <c r="F103" t="s">
        <v>7474</v>
      </c>
      <c r="G103" t="s">
        <v>7475</v>
      </c>
      <c r="H103" t="s">
        <v>7475</v>
      </c>
    </row>
    <row r="104" spans="1:8" x14ac:dyDescent="0.25">
      <c r="A104">
        <v>102</v>
      </c>
      <c r="B104">
        <v>999</v>
      </c>
      <c r="C104">
        <v>1</v>
      </c>
      <c r="D104">
        <v>10</v>
      </c>
      <c r="E104">
        <v>0</v>
      </c>
      <c r="F104" t="s">
        <v>7476</v>
      </c>
      <c r="G104" t="s">
        <v>7477</v>
      </c>
      <c r="H104" t="s">
        <v>7477</v>
      </c>
    </row>
    <row r="105" spans="1:8" x14ac:dyDescent="0.25">
      <c r="A105">
        <v>103</v>
      </c>
      <c r="B105">
        <v>255</v>
      </c>
      <c r="C105">
        <v>2</v>
      </c>
      <c r="D105">
        <v>7</v>
      </c>
      <c r="E105">
        <v>1</v>
      </c>
      <c r="G105" t="s">
        <v>7478</v>
      </c>
      <c r="H105" t="s">
        <v>7478</v>
      </c>
    </row>
    <row r="106" spans="1:8" x14ac:dyDescent="0.25">
      <c r="A106">
        <v>104</v>
      </c>
      <c r="B106">
        <v>999</v>
      </c>
      <c r="C106">
        <v>1</v>
      </c>
      <c r="D106">
        <v>10</v>
      </c>
      <c r="E106">
        <v>0</v>
      </c>
      <c r="F106" t="s">
        <v>7476</v>
      </c>
      <c r="G106" t="s">
        <v>7479</v>
      </c>
      <c r="H106" t="s">
        <v>7479</v>
      </c>
    </row>
    <row r="107" spans="1:8" x14ac:dyDescent="0.25">
      <c r="A107">
        <v>105</v>
      </c>
      <c r="B107">
        <v>999</v>
      </c>
      <c r="C107">
        <v>100</v>
      </c>
      <c r="D107">
        <v>10</v>
      </c>
      <c r="E107">
        <v>1</v>
      </c>
      <c r="F107" t="s">
        <v>3321</v>
      </c>
      <c r="G107" t="s">
        <v>7480</v>
      </c>
      <c r="H107" t="s">
        <v>7480</v>
      </c>
    </row>
    <row r="108" spans="1:8" x14ac:dyDescent="0.25">
      <c r="A108">
        <v>106</v>
      </c>
      <c r="B108">
        <v>999</v>
      </c>
      <c r="C108">
        <v>100</v>
      </c>
      <c r="D108">
        <v>10</v>
      </c>
      <c r="E108">
        <v>1</v>
      </c>
      <c r="F108" t="s">
        <v>3321</v>
      </c>
      <c r="G108" t="s">
        <v>7481</v>
      </c>
      <c r="H108" t="s">
        <v>7481</v>
      </c>
    </row>
    <row r="109" spans="1:8" x14ac:dyDescent="0.25">
      <c r="A109">
        <v>107</v>
      </c>
      <c r="B109">
        <v>999</v>
      </c>
      <c r="C109">
        <v>1</v>
      </c>
      <c r="D109">
        <v>10</v>
      </c>
      <c r="E109">
        <v>0</v>
      </c>
      <c r="F109" t="s">
        <v>7476</v>
      </c>
      <c r="G109" t="s">
        <v>7482</v>
      </c>
      <c r="H109" t="s">
        <v>7482</v>
      </c>
    </row>
    <row r="110" spans="1:8" x14ac:dyDescent="0.25">
      <c r="A110">
        <v>108</v>
      </c>
      <c r="B110">
        <v>999</v>
      </c>
      <c r="C110">
        <v>1</v>
      </c>
      <c r="D110">
        <v>10</v>
      </c>
      <c r="E110">
        <v>0</v>
      </c>
      <c r="F110" t="s">
        <v>7474</v>
      </c>
      <c r="G110" t="s">
        <v>7483</v>
      </c>
      <c r="H110" t="s">
        <v>7483</v>
      </c>
    </row>
    <row r="111" spans="1:8" x14ac:dyDescent="0.25">
      <c r="A111">
        <v>109</v>
      </c>
      <c r="B111">
        <v>999</v>
      </c>
      <c r="C111">
        <v>2</v>
      </c>
      <c r="D111">
        <v>7</v>
      </c>
      <c r="E111">
        <v>1</v>
      </c>
      <c r="G111" t="s">
        <v>7484</v>
      </c>
    </row>
    <row r="112" spans="1:8" x14ac:dyDescent="0.25">
      <c r="A112">
        <v>110</v>
      </c>
      <c r="B112">
        <v>999</v>
      </c>
      <c r="C112">
        <v>100</v>
      </c>
      <c r="D112">
        <v>10</v>
      </c>
      <c r="E112">
        <v>1</v>
      </c>
      <c r="F112" t="s">
        <v>3321</v>
      </c>
      <c r="G112" t="s">
        <v>7485</v>
      </c>
      <c r="H112" t="s">
        <v>7485</v>
      </c>
    </row>
    <row r="113" spans="1:8" x14ac:dyDescent="0.25">
      <c r="A113">
        <v>111</v>
      </c>
      <c r="B113">
        <v>999</v>
      </c>
      <c r="C113">
        <v>1</v>
      </c>
      <c r="D113">
        <v>10</v>
      </c>
      <c r="E113">
        <v>0</v>
      </c>
      <c r="F113" t="s">
        <v>7476</v>
      </c>
      <c r="G113" t="s">
        <v>7486</v>
      </c>
      <c r="H113" t="s">
        <v>7486</v>
      </c>
    </row>
    <row r="114" spans="1:8" x14ac:dyDescent="0.25">
      <c r="A114">
        <v>112</v>
      </c>
      <c r="B114">
        <v>999</v>
      </c>
      <c r="C114">
        <v>2</v>
      </c>
      <c r="D114">
        <v>6</v>
      </c>
      <c r="E114">
        <v>1</v>
      </c>
      <c r="G114" t="s">
        <v>7487</v>
      </c>
    </row>
    <row r="115" spans="1:8" x14ac:dyDescent="0.25">
      <c r="A115">
        <v>113</v>
      </c>
      <c r="B115">
        <v>999</v>
      </c>
      <c r="C115">
        <v>1</v>
      </c>
      <c r="D115">
        <v>10</v>
      </c>
      <c r="E115">
        <v>1</v>
      </c>
      <c r="F115" t="s">
        <v>3321</v>
      </c>
      <c r="G115" t="s">
        <v>7488</v>
      </c>
      <c r="H115" t="s">
        <v>7488</v>
      </c>
    </row>
    <row r="116" spans="1:8" x14ac:dyDescent="0.25">
      <c r="A116">
        <v>114</v>
      </c>
      <c r="B116">
        <v>999</v>
      </c>
      <c r="C116">
        <v>1</v>
      </c>
      <c r="D116">
        <v>10</v>
      </c>
      <c r="E116">
        <v>1</v>
      </c>
      <c r="F116" t="s">
        <v>3321</v>
      </c>
      <c r="G116" t="s">
        <v>7489</v>
      </c>
      <c r="H116" t="s">
        <v>7489</v>
      </c>
    </row>
    <row r="117" spans="1:8" x14ac:dyDescent="0.25">
      <c r="A117">
        <v>115</v>
      </c>
      <c r="B117">
        <v>999</v>
      </c>
      <c r="C117">
        <v>1</v>
      </c>
      <c r="D117">
        <v>10</v>
      </c>
      <c r="E117">
        <v>1</v>
      </c>
      <c r="F117" t="s">
        <v>3321</v>
      </c>
      <c r="G117" t="s">
        <v>7490</v>
      </c>
      <c r="H117" t="s">
        <v>7490</v>
      </c>
    </row>
    <row r="118" spans="1:8" x14ac:dyDescent="0.25">
      <c r="A118">
        <v>116</v>
      </c>
      <c r="B118">
        <v>999</v>
      </c>
      <c r="C118">
        <v>1</v>
      </c>
      <c r="D118">
        <v>10</v>
      </c>
      <c r="E118">
        <v>1</v>
      </c>
      <c r="F118" t="s">
        <v>7474</v>
      </c>
      <c r="G118" t="s">
        <v>7491</v>
      </c>
      <c r="H118" t="s">
        <v>7491</v>
      </c>
    </row>
    <row r="119" spans="1:8" x14ac:dyDescent="0.25">
      <c r="A119">
        <v>117</v>
      </c>
      <c r="B119">
        <v>999</v>
      </c>
      <c r="C119">
        <v>1</v>
      </c>
      <c r="D119">
        <v>10</v>
      </c>
      <c r="E119">
        <v>1</v>
      </c>
      <c r="F119" t="s">
        <v>3321</v>
      </c>
      <c r="G119" t="s">
        <v>7492</v>
      </c>
      <c r="H119" t="s">
        <v>7492</v>
      </c>
    </row>
    <row r="120" spans="1:8" x14ac:dyDescent="0.25">
      <c r="A120">
        <v>118</v>
      </c>
      <c r="B120">
        <v>999</v>
      </c>
      <c r="C120">
        <v>1</v>
      </c>
      <c r="D120">
        <v>10</v>
      </c>
      <c r="E120">
        <v>0</v>
      </c>
      <c r="F120" t="s">
        <v>7474</v>
      </c>
      <c r="G120" t="s">
        <v>7493</v>
      </c>
      <c r="H120" t="s">
        <v>7493</v>
      </c>
    </row>
    <row r="121" spans="1:8" x14ac:dyDescent="0.25">
      <c r="A121">
        <v>119</v>
      </c>
      <c r="B121">
        <v>999</v>
      </c>
      <c r="C121">
        <v>1</v>
      </c>
      <c r="D121">
        <v>10</v>
      </c>
      <c r="E121">
        <v>0</v>
      </c>
      <c r="F121" t="s">
        <v>7494</v>
      </c>
      <c r="G121" t="s">
        <v>7495</v>
      </c>
      <c r="H121" t="s">
        <v>7495</v>
      </c>
    </row>
    <row r="122" spans="1:8" x14ac:dyDescent="0.25">
      <c r="A122">
        <v>120</v>
      </c>
      <c r="B122">
        <v>999</v>
      </c>
      <c r="C122">
        <v>1</v>
      </c>
      <c r="D122">
        <v>10</v>
      </c>
      <c r="E122">
        <v>0</v>
      </c>
      <c r="F122" t="s">
        <v>7494</v>
      </c>
      <c r="G122" t="s">
        <v>7496</v>
      </c>
      <c r="H122" t="s">
        <v>7496</v>
      </c>
    </row>
    <row r="123" spans="1:8" x14ac:dyDescent="0.25">
      <c r="A123">
        <v>121</v>
      </c>
      <c r="B123">
        <v>999</v>
      </c>
      <c r="C123">
        <v>100</v>
      </c>
      <c r="D123">
        <v>10</v>
      </c>
      <c r="E123">
        <v>1</v>
      </c>
      <c r="F123" t="s">
        <v>3321</v>
      </c>
      <c r="G123" t="s">
        <v>7497</v>
      </c>
      <c r="H123" t="s">
        <v>7497</v>
      </c>
    </row>
    <row r="124" spans="1:8" x14ac:dyDescent="0.25">
      <c r="A124">
        <v>122</v>
      </c>
      <c r="B124">
        <v>999</v>
      </c>
      <c r="C124">
        <v>1</v>
      </c>
      <c r="D124">
        <v>10</v>
      </c>
      <c r="E124">
        <v>1</v>
      </c>
      <c r="F124" t="s">
        <v>7498</v>
      </c>
      <c r="G124" t="s">
        <v>7499</v>
      </c>
      <c r="H124" t="s">
        <v>7499</v>
      </c>
    </row>
    <row r="125" spans="1:8" x14ac:dyDescent="0.25">
      <c r="A125">
        <v>123</v>
      </c>
      <c r="B125">
        <v>999</v>
      </c>
      <c r="C125">
        <v>1</v>
      </c>
      <c r="D125">
        <v>10</v>
      </c>
      <c r="E125">
        <v>0</v>
      </c>
      <c r="F125" t="s">
        <v>7474</v>
      </c>
      <c r="G125" t="s">
        <v>7500</v>
      </c>
      <c r="H125" t="s">
        <v>7500</v>
      </c>
    </row>
    <row r="126" spans="1:8" x14ac:dyDescent="0.25">
      <c r="A126">
        <v>124</v>
      </c>
      <c r="B126">
        <v>115</v>
      </c>
      <c r="C126">
        <v>1</v>
      </c>
      <c r="D126">
        <v>10</v>
      </c>
      <c r="E126">
        <v>1</v>
      </c>
      <c r="G126" t="s">
        <v>7501</v>
      </c>
    </row>
    <row r="127" spans="1:8" x14ac:dyDescent="0.25">
      <c r="A127">
        <v>125</v>
      </c>
      <c r="B127">
        <v>999</v>
      </c>
      <c r="C127">
        <v>1</v>
      </c>
      <c r="D127">
        <v>10</v>
      </c>
      <c r="E127">
        <v>0</v>
      </c>
      <c r="F127" t="s">
        <v>7476</v>
      </c>
      <c r="G127" t="s">
        <v>7502</v>
      </c>
      <c r="H127" t="s">
        <v>7502</v>
      </c>
    </row>
    <row r="128" spans="1:8" x14ac:dyDescent="0.25">
      <c r="A128">
        <v>126</v>
      </c>
      <c r="B128">
        <v>999</v>
      </c>
      <c r="C128">
        <v>1</v>
      </c>
      <c r="D128">
        <v>10</v>
      </c>
      <c r="E128">
        <v>0</v>
      </c>
      <c r="F128" t="s">
        <v>7503</v>
      </c>
      <c r="G128" t="s">
        <v>7504</v>
      </c>
      <c r="H128" t="s">
        <v>7504</v>
      </c>
    </row>
    <row r="129" spans="1:8" x14ac:dyDescent="0.25">
      <c r="A129">
        <v>127</v>
      </c>
      <c r="B129">
        <v>999</v>
      </c>
      <c r="C129">
        <v>1</v>
      </c>
      <c r="D129">
        <v>10</v>
      </c>
      <c r="E129">
        <v>0</v>
      </c>
      <c r="F129" t="s">
        <v>7505</v>
      </c>
      <c r="G129" t="s">
        <v>7506</v>
      </c>
      <c r="H129" t="s">
        <v>7506</v>
      </c>
    </row>
    <row r="130" spans="1:8" x14ac:dyDescent="0.25">
      <c r="A130">
        <v>128</v>
      </c>
      <c r="B130">
        <v>999</v>
      </c>
      <c r="C130">
        <v>1</v>
      </c>
      <c r="D130">
        <v>10</v>
      </c>
      <c r="E130">
        <v>0</v>
      </c>
      <c r="F130" t="s">
        <v>7494</v>
      </c>
      <c r="G130" t="s">
        <v>7507</v>
      </c>
      <c r="H130" t="s">
        <v>7507</v>
      </c>
    </row>
    <row r="131" spans="1:8" x14ac:dyDescent="0.25">
      <c r="A131">
        <v>129</v>
      </c>
      <c r="B131">
        <v>999</v>
      </c>
      <c r="C131">
        <v>1</v>
      </c>
      <c r="D131">
        <v>10</v>
      </c>
      <c r="E131">
        <v>1</v>
      </c>
      <c r="F131" t="s">
        <v>7508</v>
      </c>
      <c r="G131" t="s">
        <v>7509</v>
      </c>
      <c r="H131" t="s">
        <v>7509</v>
      </c>
    </row>
    <row r="132" spans="1:8" x14ac:dyDescent="0.25">
      <c r="A132">
        <v>130</v>
      </c>
      <c r="B132">
        <v>999</v>
      </c>
      <c r="C132">
        <v>1</v>
      </c>
      <c r="D132">
        <v>10</v>
      </c>
      <c r="E132">
        <v>0</v>
      </c>
      <c r="F132" t="s">
        <v>7494</v>
      </c>
      <c r="G132" t="s">
        <v>7510</v>
      </c>
      <c r="H132" t="s">
        <v>7510</v>
      </c>
    </row>
    <row r="133" spans="1:8" x14ac:dyDescent="0.25">
      <c r="A133">
        <v>131</v>
      </c>
      <c r="B133">
        <v>999</v>
      </c>
      <c r="C133">
        <v>1</v>
      </c>
      <c r="D133">
        <v>10</v>
      </c>
      <c r="E133">
        <v>0</v>
      </c>
      <c r="F133" t="s">
        <v>7474</v>
      </c>
      <c r="G133" t="s">
        <v>7511</v>
      </c>
      <c r="H133" t="s">
        <v>7511</v>
      </c>
    </row>
    <row r="134" spans="1:8" x14ac:dyDescent="0.25">
      <c r="A134">
        <v>132</v>
      </c>
      <c r="B134">
        <v>999</v>
      </c>
      <c r="C134">
        <v>1</v>
      </c>
      <c r="D134">
        <v>10</v>
      </c>
      <c r="E134">
        <v>0</v>
      </c>
      <c r="F134" t="s">
        <v>7474</v>
      </c>
      <c r="G134" t="s">
        <v>7512</v>
      </c>
      <c r="H134" t="s">
        <v>7512</v>
      </c>
    </row>
    <row r="135" spans="1:8" x14ac:dyDescent="0.25">
      <c r="A135">
        <v>133</v>
      </c>
      <c r="B135">
        <v>999</v>
      </c>
      <c r="C135">
        <v>1</v>
      </c>
      <c r="D135">
        <v>10</v>
      </c>
      <c r="E135">
        <v>0</v>
      </c>
      <c r="F135" t="s">
        <v>7474</v>
      </c>
      <c r="G135" t="s">
        <v>7513</v>
      </c>
      <c r="H135" t="s">
        <v>7513</v>
      </c>
    </row>
    <row r="136" spans="1:8" x14ac:dyDescent="0.25">
      <c r="A136">
        <v>134</v>
      </c>
      <c r="B136">
        <v>999</v>
      </c>
      <c r="C136">
        <v>1</v>
      </c>
      <c r="D136">
        <v>10</v>
      </c>
      <c r="E136">
        <v>0</v>
      </c>
      <c r="F136" t="s">
        <v>7476</v>
      </c>
      <c r="G136" t="s">
        <v>7514</v>
      </c>
      <c r="H136" t="s">
        <v>7514</v>
      </c>
    </row>
    <row r="137" spans="1:8" x14ac:dyDescent="0.25">
      <c r="A137">
        <v>135</v>
      </c>
      <c r="B137">
        <v>999</v>
      </c>
      <c r="C137">
        <v>1</v>
      </c>
      <c r="D137">
        <v>6</v>
      </c>
      <c r="E137">
        <v>0</v>
      </c>
      <c r="F137" t="s">
        <v>7474</v>
      </c>
      <c r="G137" t="s">
        <v>7515</v>
      </c>
      <c r="H137" t="s">
        <v>7515</v>
      </c>
    </row>
    <row r="138" spans="1:8" x14ac:dyDescent="0.25">
      <c r="A138">
        <v>136</v>
      </c>
      <c r="B138">
        <v>999</v>
      </c>
      <c r="C138">
        <v>1</v>
      </c>
      <c r="D138">
        <v>10</v>
      </c>
      <c r="E138">
        <v>0</v>
      </c>
      <c r="F138" t="s">
        <v>7494</v>
      </c>
      <c r="G138" t="s">
        <v>7516</v>
      </c>
      <c r="H138" t="s">
        <v>7516</v>
      </c>
    </row>
    <row r="139" spans="1:8" x14ac:dyDescent="0.25">
      <c r="A139">
        <v>137</v>
      </c>
      <c r="B139">
        <v>999</v>
      </c>
      <c r="C139">
        <v>1</v>
      </c>
      <c r="D139">
        <v>10</v>
      </c>
      <c r="E139">
        <v>0</v>
      </c>
      <c r="F139" t="s">
        <v>7494</v>
      </c>
      <c r="G139" t="s">
        <v>7517</v>
      </c>
      <c r="H139" t="s">
        <v>7517</v>
      </c>
    </row>
    <row r="140" spans="1:8" x14ac:dyDescent="0.25">
      <c r="A140">
        <v>138</v>
      </c>
      <c r="B140">
        <v>999</v>
      </c>
      <c r="C140">
        <v>1</v>
      </c>
      <c r="D140">
        <v>10</v>
      </c>
      <c r="E140">
        <v>0</v>
      </c>
      <c r="F140" t="s">
        <v>7494</v>
      </c>
      <c r="G140" t="s">
        <v>7518</v>
      </c>
      <c r="H140" t="s">
        <v>7518</v>
      </c>
    </row>
    <row r="141" spans="1:8" x14ac:dyDescent="0.25">
      <c r="A141">
        <v>139</v>
      </c>
      <c r="B141">
        <v>999</v>
      </c>
      <c r="C141">
        <v>1</v>
      </c>
      <c r="D141">
        <v>10</v>
      </c>
      <c r="E141">
        <v>0</v>
      </c>
      <c r="F141" t="s">
        <v>7494</v>
      </c>
      <c r="G141" t="s">
        <v>7519</v>
      </c>
      <c r="H141" t="s">
        <v>7519</v>
      </c>
    </row>
    <row r="142" spans="1:8" x14ac:dyDescent="0.25">
      <c r="A142">
        <v>140</v>
      </c>
      <c r="B142">
        <v>999</v>
      </c>
      <c r="C142">
        <v>1</v>
      </c>
      <c r="D142">
        <v>10</v>
      </c>
      <c r="E142">
        <v>1</v>
      </c>
      <c r="F142" t="s">
        <v>7413</v>
      </c>
      <c r="G142" t="s">
        <v>7520</v>
      </c>
      <c r="H142" t="s">
        <v>7520</v>
      </c>
    </row>
    <row r="143" spans="1:8" x14ac:dyDescent="0.25">
      <c r="A143">
        <v>141</v>
      </c>
      <c r="B143">
        <v>999</v>
      </c>
      <c r="C143">
        <v>1</v>
      </c>
      <c r="D143">
        <v>10</v>
      </c>
      <c r="E143">
        <v>0</v>
      </c>
      <c r="F143" t="s">
        <v>7474</v>
      </c>
      <c r="G143" t="s">
        <v>7521</v>
      </c>
      <c r="H143" t="s">
        <v>7521</v>
      </c>
    </row>
    <row r="144" spans="1:8" x14ac:dyDescent="0.25">
      <c r="A144">
        <v>142</v>
      </c>
      <c r="B144">
        <v>999</v>
      </c>
      <c r="C144">
        <v>1</v>
      </c>
      <c r="D144">
        <v>10</v>
      </c>
      <c r="E144">
        <v>1</v>
      </c>
      <c r="F144" t="s">
        <v>3321</v>
      </c>
      <c r="G144" t="s">
        <v>7522</v>
      </c>
      <c r="H144" t="s">
        <v>7522</v>
      </c>
    </row>
    <row r="145" spans="1:8" x14ac:dyDescent="0.25">
      <c r="A145">
        <v>143</v>
      </c>
      <c r="B145">
        <v>999</v>
      </c>
      <c r="C145">
        <v>1</v>
      </c>
      <c r="D145">
        <v>10</v>
      </c>
      <c r="E145">
        <v>1</v>
      </c>
      <c r="F145" t="s">
        <v>3321</v>
      </c>
      <c r="G145" t="s">
        <v>7523</v>
      </c>
      <c r="H145" t="s">
        <v>7523</v>
      </c>
    </row>
    <row r="146" spans="1:8" x14ac:dyDescent="0.25">
      <c r="A146">
        <v>144</v>
      </c>
      <c r="B146">
        <v>999</v>
      </c>
      <c r="C146">
        <v>1</v>
      </c>
      <c r="D146">
        <v>10</v>
      </c>
      <c r="E146">
        <v>0</v>
      </c>
      <c r="F146" t="s">
        <v>7494</v>
      </c>
      <c r="G146" t="s">
        <v>7524</v>
      </c>
      <c r="H146" t="s">
        <v>7524</v>
      </c>
    </row>
    <row r="147" spans="1:8" x14ac:dyDescent="0.25">
      <c r="A147">
        <v>145</v>
      </c>
      <c r="B147">
        <v>999</v>
      </c>
      <c r="C147">
        <v>1</v>
      </c>
      <c r="D147">
        <v>10</v>
      </c>
      <c r="E147">
        <v>0</v>
      </c>
      <c r="F147" t="s">
        <v>7474</v>
      </c>
      <c r="G147" t="s">
        <v>7525</v>
      </c>
      <c r="H147" t="s">
        <v>7525</v>
      </c>
    </row>
    <row r="148" spans="1:8" x14ac:dyDescent="0.25">
      <c r="A148">
        <v>146</v>
      </c>
      <c r="B148">
        <v>999</v>
      </c>
      <c r="C148">
        <v>1</v>
      </c>
      <c r="D148">
        <v>10</v>
      </c>
      <c r="E148">
        <v>0</v>
      </c>
      <c r="F148" t="s">
        <v>7526</v>
      </c>
      <c r="G148" t="s">
        <v>7527</v>
      </c>
      <c r="H148" t="s">
        <v>7527</v>
      </c>
    </row>
    <row r="149" spans="1:8" x14ac:dyDescent="0.25">
      <c r="A149">
        <v>147</v>
      </c>
      <c r="B149">
        <v>999</v>
      </c>
      <c r="C149">
        <v>1</v>
      </c>
      <c r="D149">
        <v>10</v>
      </c>
      <c r="E149">
        <v>0</v>
      </c>
      <c r="F149" t="s">
        <v>7476</v>
      </c>
      <c r="G149" t="s">
        <v>7528</v>
      </c>
      <c r="H149" t="s">
        <v>7528</v>
      </c>
    </row>
    <row r="150" spans="1:8" x14ac:dyDescent="0.25">
      <c r="A150">
        <v>148</v>
      </c>
      <c r="B150">
        <v>999</v>
      </c>
      <c r="C150">
        <v>1</v>
      </c>
      <c r="D150">
        <v>10</v>
      </c>
      <c r="E150">
        <v>0</v>
      </c>
      <c r="F150" t="s">
        <v>7476</v>
      </c>
      <c r="G150" t="s">
        <v>7529</v>
      </c>
      <c r="H150" t="s">
        <v>7529</v>
      </c>
    </row>
    <row r="151" spans="1:8" x14ac:dyDescent="0.25">
      <c r="A151">
        <v>149</v>
      </c>
      <c r="B151">
        <v>999</v>
      </c>
      <c r="C151">
        <v>1</v>
      </c>
      <c r="D151">
        <v>10</v>
      </c>
      <c r="E151">
        <v>1</v>
      </c>
      <c r="F151" t="s">
        <v>3321</v>
      </c>
      <c r="G151" t="s">
        <v>7530</v>
      </c>
      <c r="H151" t="s">
        <v>7530</v>
      </c>
    </row>
    <row r="152" spans="1:8" x14ac:dyDescent="0.25">
      <c r="A152">
        <v>150</v>
      </c>
      <c r="B152">
        <v>999</v>
      </c>
      <c r="C152">
        <v>1</v>
      </c>
      <c r="D152">
        <v>10</v>
      </c>
      <c r="E152">
        <v>0</v>
      </c>
      <c r="F152" t="s">
        <v>7476</v>
      </c>
      <c r="G152" t="s">
        <v>7531</v>
      </c>
      <c r="H152" t="s">
        <v>7531</v>
      </c>
    </row>
    <row r="153" spans="1:8" x14ac:dyDescent="0.25">
      <c r="A153">
        <v>151</v>
      </c>
      <c r="B153">
        <v>999</v>
      </c>
      <c r="C153">
        <v>1</v>
      </c>
      <c r="D153">
        <v>10</v>
      </c>
      <c r="E153">
        <v>1</v>
      </c>
      <c r="F153" t="s">
        <v>7532</v>
      </c>
      <c r="G153" t="s">
        <v>7533</v>
      </c>
      <c r="H153" t="s">
        <v>7533</v>
      </c>
    </row>
    <row r="154" spans="1:8" x14ac:dyDescent="0.25">
      <c r="A154">
        <v>152</v>
      </c>
      <c r="B154">
        <v>999</v>
      </c>
      <c r="C154">
        <v>1</v>
      </c>
      <c r="D154">
        <v>10</v>
      </c>
      <c r="E154">
        <v>0</v>
      </c>
      <c r="F154" t="s">
        <v>7476</v>
      </c>
      <c r="G154" t="s">
        <v>7534</v>
      </c>
      <c r="H154" t="s">
        <v>7534</v>
      </c>
    </row>
    <row r="155" spans="1:8" x14ac:dyDescent="0.25">
      <c r="A155">
        <v>153</v>
      </c>
      <c r="B155">
        <v>999</v>
      </c>
      <c r="C155">
        <v>1</v>
      </c>
      <c r="D155">
        <v>10</v>
      </c>
      <c r="E155">
        <v>0</v>
      </c>
      <c r="F155" t="s">
        <v>7474</v>
      </c>
      <c r="G155" t="s">
        <v>7535</v>
      </c>
      <c r="H155" t="s">
        <v>7535</v>
      </c>
    </row>
    <row r="156" spans="1:8" x14ac:dyDescent="0.25">
      <c r="A156">
        <v>154</v>
      </c>
      <c r="B156">
        <v>255</v>
      </c>
      <c r="C156">
        <v>1</v>
      </c>
      <c r="D156">
        <v>5</v>
      </c>
      <c r="E156">
        <v>1</v>
      </c>
      <c r="G156" t="s">
        <v>7536</v>
      </c>
      <c r="H156" t="s">
        <v>7536</v>
      </c>
    </row>
    <row r="157" spans="1:8" x14ac:dyDescent="0.25">
      <c r="A157">
        <v>155</v>
      </c>
      <c r="B157">
        <v>999</v>
      </c>
      <c r="C157">
        <v>1</v>
      </c>
      <c r="D157">
        <v>10</v>
      </c>
      <c r="E157">
        <v>1</v>
      </c>
      <c r="F157" t="s">
        <v>7537</v>
      </c>
      <c r="G157" t="s">
        <v>7538</v>
      </c>
      <c r="H157" t="s">
        <v>7538</v>
      </c>
    </row>
    <row r="158" spans="1:8" x14ac:dyDescent="0.25">
      <c r="A158">
        <v>156</v>
      </c>
      <c r="B158">
        <v>999</v>
      </c>
      <c r="C158">
        <v>1</v>
      </c>
      <c r="D158">
        <v>10</v>
      </c>
      <c r="E158">
        <v>0</v>
      </c>
      <c r="F158" t="s">
        <v>7474</v>
      </c>
      <c r="G158" t="s">
        <v>7539</v>
      </c>
      <c r="H158" t="s">
        <v>7539</v>
      </c>
    </row>
    <row r="159" spans="1:8" x14ac:dyDescent="0.25">
      <c r="A159">
        <v>157</v>
      </c>
      <c r="B159">
        <v>999</v>
      </c>
      <c r="C159">
        <v>1</v>
      </c>
      <c r="D159">
        <v>10</v>
      </c>
      <c r="E159">
        <v>0</v>
      </c>
      <c r="F159" t="s">
        <v>7474</v>
      </c>
      <c r="G159" t="s">
        <v>7540</v>
      </c>
      <c r="H159" t="s">
        <v>7540</v>
      </c>
    </row>
    <row r="160" spans="1:8" x14ac:dyDescent="0.25">
      <c r="A160">
        <v>158</v>
      </c>
      <c r="B160">
        <v>999</v>
      </c>
      <c r="C160">
        <v>1</v>
      </c>
      <c r="D160">
        <v>10</v>
      </c>
      <c r="E160">
        <v>0</v>
      </c>
      <c r="F160" t="s">
        <v>7476</v>
      </c>
      <c r="G160" t="s">
        <v>7541</v>
      </c>
      <c r="H160" t="s">
        <v>7541</v>
      </c>
    </row>
    <row r="161" spans="1:8" x14ac:dyDescent="0.25">
      <c r="A161">
        <v>159</v>
      </c>
      <c r="B161">
        <v>999</v>
      </c>
      <c r="C161">
        <v>1</v>
      </c>
      <c r="D161">
        <v>10</v>
      </c>
      <c r="E161">
        <v>0</v>
      </c>
      <c r="F161" t="s">
        <v>7474</v>
      </c>
      <c r="G161" t="s">
        <v>7542</v>
      </c>
      <c r="H161" t="s">
        <v>7542</v>
      </c>
    </row>
    <row r="162" spans="1:8" x14ac:dyDescent="0.25">
      <c r="A162">
        <v>160</v>
      </c>
      <c r="B162">
        <v>999</v>
      </c>
      <c r="C162">
        <v>1</v>
      </c>
      <c r="D162">
        <v>10</v>
      </c>
      <c r="E162">
        <v>0</v>
      </c>
      <c r="F162" t="s">
        <v>7476</v>
      </c>
      <c r="G162" t="s">
        <v>7543</v>
      </c>
      <c r="H162" t="s">
        <v>7543</v>
      </c>
    </row>
    <row r="163" spans="1:8" x14ac:dyDescent="0.25">
      <c r="A163">
        <v>161</v>
      </c>
      <c r="B163">
        <v>999</v>
      </c>
      <c r="C163">
        <v>1</v>
      </c>
      <c r="D163">
        <v>10</v>
      </c>
      <c r="E163">
        <v>0</v>
      </c>
      <c r="F163" t="s">
        <v>7474</v>
      </c>
      <c r="G163" t="s">
        <v>7544</v>
      </c>
      <c r="H163" t="s">
        <v>7544</v>
      </c>
    </row>
    <row r="164" spans="1:8" x14ac:dyDescent="0.25">
      <c r="A164">
        <v>162</v>
      </c>
      <c r="B164">
        <v>999</v>
      </c>
      <c r="C164">
        <v>1</v>
      </c>
      <c r="D164">
        <v>10</v>
      </c>
      <c r="E164">
        <v>0</v>
      </c>
      <c r="F164" t="s">
        <v>7474</v>
      </c>
      <c r="G164" t="s">
        <v>7545</v>
      </c>
      <c r="H164" t="s">
        <v>7545</v>
      </c>
    </row>
    <row r="165" spans="1:8" x14ac:dyDescent="0.25">
      <c r="A165">
        <v>163</v>
      </c>
      <c r="B165">
        <v>999</v>
      </c>
      <c r="C165">
        <v>1</v>
      </c>
      <c r="D165">
        <v>10</v>
      </c>
      <c r="E165">
        <v>0</v>
      </c>
      <c r="F165" t="s">
        <v>7494</v>
      </c>
      <c r="G165" t="s">
        <v>7546</v>
      </c>
      <c r="H165" t="s">
        <v>7546</v>
      </c>
    </row>
    <row r="166" spans="1:8" x14ac:dyDescent="0.25">
      <c r="A166">
        <v>164</v>
      </c>
      <c r="B166">
        <v>999</v>
      </c>
      <c r="C166">
        <v>1</v>
      </c>
      <c r="D166">
        <v>10</v>
      </c>
      <c r="E166">
        <v>0</v>
      </c>
      <c r="F166" t="s">
        <v>7474</v>
      </c>
      <c r="G166" t="s">
        <v>7547</v>
      </c>
      <c r="H166" t="s">
        <v>7547</v>
      </c>
    </row>
    <row r="167" spans="1:8" x14ac:dyDescent="0.25">
      <c r="A167">
        <v>165</v>
      </c>
      <c r="B167">
        <v>999</v>
      </c>
      <c r="C167">
        <v>1</v>
      </c>
      <c r="D167">
        <v>10</v>
      </c>
      <c r="E167">
        <v>0</v>
      </c>
      <c r="F167" t="s">
        <v>7476</v>
      </c>
      <c r="G167" t="s">
        <v>7548</v>
      </c>
      <c r="H167" t="s">
        <v>7548</v>
      </c>
    </row>
    <row r="168" spans="1:8" x14ac:dyDescent="0.25">
      <c r="A168">
        <v>166</v>
      </c>
      <c r="B168">
        <v>999</v>
      </c>
      <c r="C168">
        <v>1</v>
      </c>
      <c r="D168">
        <v>10</v>
      </c>
      <c r="E168">
        <v>0</v>
      </c>
      <c r="F168" t="s">
        <v>7474</v>
      </c>
      <c r="G168" t="s">
        <v>7549</v>
      </c>
      <c r="H168" t="s">
        <v>7549</v>
      </c>
    </row>
    <row r="169" spans="1:8" x14ac:dyDescent="0.25">
      <c r="A169">
        <v>167</v>
      </c>
      <c r="B169">
        <v>999</v>
      </c>
      <c r="C169">
        <v>1</v>
      </c>
      <c r="D169">
        <v>10</v>
      </c>
      <c r="E169">
        <v>0</v>
      </c>
      <c r="F169" t="s">
        <v>7476</v>
      </c>
      <c r="G169" t="s">
        <v>7550</v>
      </c>
      <c r="H169" t="s">
        <v>7550</v>
      </c>
    </row>
    <row r="170" spans="1:8" x14ac:dyDescent="0.25">
      <c r="A170">
        <v>168</v>
      </c>
      <c r="B170">
        <v>999</v>
      </c>
      <c r="C170">
        <v>1</v>
      </c>
      <c r="D170">
        <v>10</v>
      </c>
      <c r="E170">
        <v>0</v>
      </c>
      <c r="F170" t="s">
        <v>7526</v>
      </c>
      <c r="G170" t="s">
        <v>7551</v>
      </c>
      <c r="H170" t="s">
        <v>7551</v>
      </c>
    </row>
    <row r="171" spans="1:8" x14ac:dyDescent="0.25">
      <c r="A171">
        <v>169</v>
      </c>
      <c r="B171">
        <v>999</v>
      </c>
      <c r="C171">
        <v>1</v>
      </c>
      <c r="D171">
        <v>10</v>
      </c>
      <c r="E171">
        <v>0</v>
      </c>
      <c r="F171" t="s">
        <v>7474</v>
      </c>
      <c r="G171" t="s">
        <v>7552</v>
      </c>
      <c r="H171" t="s">
        <v>7552</v>
      </c>
    </row>
    <row r="172" spans="1:8" x14ac:dyDescent="0.25">
      <c r="A172">
        <v>170</v>
      </c>
      <c r="B172">
        <v>255</v>
      </c>
      <c r="C172">
        <v>2</v>
      </c>
      <c r="D172">
        <v>5</v>
      </c>
      <c r="E172">
        <v>1</v>
      </c>
      <c r="G172" t="s">
        <v>7553</v>
      </c>
    </row>
    <row r="173" spans="1:8" x14ac:dyDescent="0.25">
      <c r="A173">
        <v>171</v>
      </c>
      <c r="B173">
        <v>999</v>
      </c>
      <c r="C173">
        <v>1</v>
      </c>
      <c r="D173">
        <v>10</v>
      </c>
      <c r="E173">
        <v>0</v>
      </c>
      <c r="F173" t="s">
        <v>7476</v>
      </c>
      <c r="G173" t="s">
        <v>7554</v>
      </c>
      <c r="H173" t="s">
        <v>7554</v>
      </c>
    </row>
    <row r="174" spans="1:8" x14ac:dyDescent="0.25">
      <c r="A174">
        <v>172</v>
      </c>
      <c r="B174">
        <v>999</v>
      </c>
      <c r="C174">
        <v>1</v>
      </c>
      <c r="D174">
        <v>10</v>
      </c>
      <c r="E174">
        <v>0</v>
      </c>
      <c r="F174" t="s">
        <v>7474</v>
      </c>
      <c r="G174" t="s">
        <v>7555</v>
      </c>
      <c r="H174" t="s">
        <v>7555</v>
      </c>
    </row>
    <row r="175" spans="1:8" x14ac:dyDescent="0.25">
      <c r="A175">
        <v>173</v>
      </c>
      <c r="B175">
        <v>999</v>
      </c>
      <c r="C175">
        <v>1</v>
      </c>
      <c r="D175">
        <v>10</v>
      </c>
      <c r="E175">
        <v>1</v>
      </c>
      <c r="F175" t="s">
        <v>3321</v>
      </c>
      <c r="G175" t="s">
        <v>7556</v>
      </c>
      <c r="H175" t="s">
        <v>7556</v>
      </c>
    </row>
    <row r="176" spans="1:8" x14ac:dyDescent="0.25">
      <c r="A176">
        <v>174</v>
      </c>
      <c r="B176">
        <v>999</v>
      </c>
      <c r="C176">
        <v>1</v>
      </c>
      <c r="D176">
        <v>10</v>
      </c>
      <c r="E176">
        <v>0</v>
      </c>
      <c r="F176" t="s">
        <v>7474</v>
      </c>
      <c r="G176" t="s">
        <v>7557</v>
      </c>
      <c r="H176" t="s">
        <v>7557</v>
      </c>
    </row>
    <row r="177" spans="1:8" x14ac:dyDescent="0.25">
      <c r="A177">
        <v>175</v>
      </c>
      <c r="B177">
        <v>999</v>
      </c>
      <c r="C177">
        <v>1</v>
      </c>
      <c r="D177">
        <v>10</v>
      </c>
      <c r="E177">
        <v>0</v>
      </c>
      <c r="F177" t="s">
        <v>7474</v>
      </c>
      <c r="G177" t="s">
        <v>7558</v>
      </c>
      <c r="H177" t="s">
        <v>7558</v>
      </c>
    </row>
    <row r="178" spans="1:8" x14ac:dyDescent="0.25">
      <c r="A178">
        <v>176</v>
      </c>
      <c r="B178">
        <v>218</v>
      </c>
      <c r="C178">
        <v>1</v>
      </c>
      <c r="D178">
        <v>10</v>
      </c>
      <c r="E178">
        <v>1</v>
      </c>
      <c r="F178" t="s">
        <v>3321</v>
      </c>
      <c r="G178" t="s">
        <v>7559</v>
      </c>
      <c r="H178" t="s">
        <v>7559</v>
      </c>
    </row>
    <row r="179" spans="1:8" x14ac:dyDescent="0.25">
      <c r="A179">
        <v>177</v>
      </c>
      <c r="B179">
        <v>999</v>
      </c>
      <c r="C179">
        <v>1</v>
      </c>
      <c r="D179">
        <v>10</v>
      </c>
      <c r="E179">
        <v>0</v>
      </c>
      <c r="F179" t="s">
        <v>7503</v>
      </c>
      <c r="G179" t="s">
        <v>7560</v>
      </c>
      <c r="H179" t="s">
        <v>7560</v>
      </c>
    </row>
    <row r="180" spans="1:8" x14ac:dyDescent="0.25">
      <c r="A180">
        <v>178</v>
      </c>
      <c r="B180">
        <v>999</v>
      </c>
      <c r="C180">
        <v>1</v>
      </c>
      <c r="D180">
        <v>10</v>
      </c>
      <c r="E180">
        <v>0</v>
      </c>
      <c r="F180" t="s">
        <v>7494</v>
      </c>
      <c r="G180" t="s">
        <v>7561</v>
      </c>
      <c r="H180" t="s">
        <v>7561</v>
      </c>
    </row>
    <row r="181" spans="1:8" x14ac:dyDescent="0.25">
      <c r="A181">
        <v>179</v>
      </c>
      <c r="B181">
        <v>999</v>
      </c>
      <c r="C181">
        <v>1</v>
      </c>
      <c r="D181">
        <v>10</v>
      </c>
      <c r="E181">
        <v>1</v>
      </c>
      <c r="F181" t="s">
        <v>3321</v>
      </c>
      <c r="G181" t="s">
        <v>7562</v>
      </c>
      <c r="H181" t="s">
        <v>7562</v>
      </c>
    </row>
    <row r="182" spans="1:8" x14ac:dyDescent="0.25">
      <c r="A182">
        <v>180</v>
      </c>
      <c r="B182">
        <v>999</v>
      </c>
      <c r="C182">
        <v>1</v>
      </c>
      <c r="D182">
        <v>10</v>
      </c>
      <c r="E182">
        <v>1</v>
      </c>
      <c r="F182" t="s">
        <v>3321</v>
      </c>
      <c r="G182" t="s">
        <v>7563</v>
      </c>
      <c r="H182" t="s">
        <v>7563</v>
      </c>
    </row>
    <row r="183" spans="1:8" x14ac:dyDescent="0.25">
      <c r="A183">
        <v>181</v>
      </c>
      <c r="B183">
        <v>999</v>
      </c>
      <c r="C183">
        <v>1</v>
      </c>
      <c r="D183">
        <v>10</v>
      </c>
      <c r="E183">
        <v>0</v>
      </c>
      <c r="F183" t="s">
        <v>7474</v>
      </c>
      <c r="G183" t="s">
        <v>7564</v>
      </c>
      <c r="H183" t="s">
        <v>7564</v>
      </c>
    </row>
    <row r="184" spans="1:8" x14ac:dyDescent="0.25">
      <c r="A184">
        <v>182</v>
      </c>
      <c r="B184">
        <v>999</v>
      </c>
      <c r="C184">
        <v>1</v>
      </c>
      <c r="D184">
        <v>10</v>
      </c>
      <c r="E184">
        <v>0</v>
      </c>
      <c r="F184" t="s">
        <v>7474</v>
      </c>
      <c r="G184" t="s">
        <v>7565</v>
      </c>
      <c r="H184" t="s">
        <v>7565</v>
      </c>
    </row>
    <row r="185" spans="1:8" x14ac:dyDescent="0.25">
      <c r="A185">
        <v>183</v>
      </c>
      <c r="B185">
        <v>999</v>
      </c>
      <c r="C185">
        <v>1</v>
      </c>
      <c r="D185">
        <v>10</v>
      </c>
      <c r="E185">
        <v>0</v>
      </c>
      <c r="F185" t="s">
        <v>7494</v>
      </c>
      <c r="G185" t="s">
        <v>7566</v>
      </c>
      <c r="H185" t="s">
        <v>7566</v>
      </c>
    </row>
    <row r="186" spans="1:8" x14ac:dyDescent="0.25">
      <c r="A186">
        <v>184</v>
      </c>
      <c r="B186">
        <v>999</v>
      </c>
      <c r="C186">
        <v>1</v>
      </c>
      <c r="D186">
        <v>10</v>
      </c>
      <c r="E186">
        <v>0</v>
      </c>
      <c r="F186" t="s">
        <v>7476</v>
      </c>
      <c r="G186" t="s">
        <v>7567</v>
      </c>
      <c r="H186" t="s">
        <v>7567</v>
      </c>
    </row>
    <row r="187" spans="1:8" x14ac:dyDescent="0.25">
      <c r="A187">
        <v>185</v>
      </c>
      <c r="B187">
        <v>999</v>
      </c>
      <c r="C187">
        <v>1</v>
      </c>
      <c r="D187">
        <v>10</v>
      </c>
      <c r="E187">
        <v>0</v>
      </c>
      <c r="F187" t="s">
        <v>7494</v>
      </c>
      <c r="G187" t="s">
        <v>7568</v>
      </c>
      <c r="H187" t="s">
        <v>7568</v>
      </c>
    </row>
    <row r="188" spans="1:8" x14ac:dyDescent="0.25">
      <c r="A188">
        <v>186</v>
      </c>
      <c r="B188">
        <v>999</v>
      </c>
      <c r="C188">
        <v>1</v>
      </c>
      <c r="D188">
        <v>10</v>
      </c>
      <c r="E188">
        <v>0</v>
      </c>
      <c r="F188" t="s">
        <v>7569</v>
      </c>
      <c r="G188" t="s">
        <v>7570</v>
      </c>
      <c r="H188" t="s">
        <v>7570</v>
      </c>
    </row>
    <row r="189" spans="1:8" x14ac:dyDescent="0.25">
      <c r="A189">
        <v>187</v>
      </c>
      <c r="B189">
        <v>100</v>
      </c>
      <c r="C189">
        <v>1</v>
      </c>
      <c r="D189">
        <v>10</v>
      </c>
      <c r="E189">
        <v>1</v>
      </c>
      <c r="G189" t="s">
        <v>7571</v>
      </c>
    </row>
    <row r="190" spans="1:8" x14ac:dyDescent="0.25">
      <c r="A190">
        <v>188</v>
      </c>
      <c r="B190">
        <v>999</v>
      </c>
      <c r="C190">
        <v>1</v>
      </c>
      <c r="D190">
        <v>10</v>
      </c>
      <c r="E190">
        <v>0</v>
      </c>
      <c r="F190" t="s">
        <v>7476</v>
      </c>
      <c r="G190" t="s">
        <v>7572</v>
      </c>
      <c r="H190" t="s">
        <v>7572</v>
      </c>
    </row>
    <row r="191" spans="1:8" x14ac:dyDescent="0.25">
      <c r="A191">
        <v>189</v>
      </c>
      <c r="B191">
        <v>999</v>
      </c>
      <c r="C191">
        <v>1</v>
      </c>
      <c r="D191">
        <v>10</v>
      </c>
      <c r="E191">
        <v>0</v>
      </c>
      <c r="F191" t="s">
        <v>7474</v>
      </c>
      <c r="G191" t="s">
        <v>7573</v>
      </c>
      <c r="H191" t="s">
        <v>7573</v>
      </c>
    </row>
    <row r="192" spans="1:8" x14ac:dyDescent="0.25">
      <c r="A192">
        <v>190</v>
      </c>
      <c r="B192">
        <v>999</v>
      </c>
      <c r="C192">
        <v>1</v>
      </c>
      <c r="D192">
        <v>10</v>
      </c>
      <c r="E192">
        <v>0</v>
      </c>
      <c r="F192" t="s">
        <v>7476</v>
      </c>
      <c r="G192" t="s">
        <v>7574</v>
      </c>
      <c r="H192" t="s">
        <v>7574</v>
      </c>
    </row>
    <row r="193" spans="1:8" x14ac:dyDescent="0.25">
      <c r="A193">
        <v>191</v>
      </c>
      <c r="B193">
        <v>999</v>
      </c>
      <c r="C193">
        <v>2</v>
      </c>
      <c r="D193">
        <v>6</v>
      </c>
      <c r="E193">
        <v>0</v>
      </c>
      <c r="F193" t="s">
        <v>7575</v>
      </c>
      <c r="G193" t="s">
        <v>7576</v>
      </c>
      <c r="H193" t="s">
        <v>7576</v>
      </c>
    </row>
    <row r="194" spans="1:8" x14ac:dyDescent="0.25">
      <c r="A194">
        <v>192</v>
      </c>
      <c r="B194">
        <v>999</v>
      </c>
      <c r="C194">
        <v>1</v>
      </c>
      <c r="D194">
        <v>10</v>
      </c>
      <c r="E194">
        <v>0</v>
      </c>
      <c r="F194" t="s">
        <v>7494</v>
      </c>
      <c r="G194" t="s">
        <v>7577</v>
      </c>
      <c r="H194" t="s">
        <v>7577</v>
      </c>
    </row>
    <row r="195" spans="1:8" x14ac:dyDescent="0.25">
      <c r="A195">
        <v>193</v>
      </c>
      <c r="B195">
        <v>999</v>
      </c>
      <c r="C195">
        <v>1</v>
      </c>
      <c r="D195">
        <v>10</v>
      </c>
      <c r="E195">
        <v>0</v>
      </c>
      <c r="F195" t="s">
        <v>7476</v>
      </c>
      <c r="G195" t="s">
        <v>7578</v>
      </c>
      <c r="H195" t="s">
        <v>7578</v>
      </c>
    </row>
    <row r="196" spans="1:8" x14ac:dyDescent="0.25">
      <c r="A196">
        <v>194</v>
      </c>
      <c r="B196">
        <v>999</v>
      </c>
      <c r="C196">
        <v>1</v>
      </c>
      <c r="D196">
        <v>10</v>
      </c>
      <c r="E196">
        <v>0</v>
      </c>
      <c r="F196" t="s">
        <v>7474</v>
      </c>
      <c r="G196" t="s">
        <v>7579</v>
      </c>
      <c r="H196" t="s">
        <v>7579</v>
      </c>
    </row>
    <row r="197" spans="1:8" x14ac:dyDescent="0.25">
      <c r="A197">
        <v>195</v>
      </c>
      <c r="B197">
        <v>999</v>
      </c>
      <c r="C197">
        <v>1</v>
      </c>
      <c r="D197">
        <v>10</v>
      </c>
      <c r="E197">
        <v>0</v>
      </c>
      <c r="F197" t="s">
        <v>7494</v>
      </c>
      <c r="G197" t="s">
        <v>7580</v>
      </c>
      <c r="H197" t="s">
        <v>7580</v>
      </c>
    </row>
    <row r="198" spans="1:8" x14ac:dyDescent="0.25">
      <c r="A198">
        <v>196</v>
      </c>
      <c r="B198">
        <v>999</v>
      </c>
      <c r="C198">
        <v>1</v>
      </c>
      <c r="D198">
        <v>10</v>
      </c>
      <c r="E198">
        <v>0</v>
      </c>
      <c r="F198" t="s">
        <v>7474</v>
      </c>
      <c r="G198" t="s">
        <v>7581</v>
      </c>
      <c r="H198" t="s">
        <v>7581</v>
      </c>
    </row>
    <row r="199" spans="1:8" x14ac:dyDescent="0.25">
      <c r="A199">
        <v>197</v>
      </c>
      <c r="B199">
        <v>999</v>
      </c>
      <c r="C199">
        <v>1</v>
      </c>
      <c r="D199">
        <v>10</v>
      </c>
      <c r="E199">
        <v>0</v>
      </c>
      <c r="F199" t="s">
        <v>7474</v>
      </c>
      <c r="G199" t="s">
        <v>7582</v>
      </c>
      <c r="H199" t="s">
        <v>7582</v>
      </c>
    </row>
    <row r="200" spans="1:8" x14ac:dyDescent="0.25">
      <c r="A200">
        <v>198</v>
      </c>
      <c r="B200">
        <v>255</v>
      </c>
      <c r="C200">
        <v>1</v>
      </c>
      <c r="D200">
        <v>10</v>
      </c>
      <c r="E200">
        <v>1</v>
      </c>
      <c r="G200" t="s">
        <v>7583</v>
      </c>
    </row>
    <row r="201" spans="1:8" x14ac:dyDescent="0.25">
      <c r="A201">
        <v>199</v>
      </c>
      <c r="B201">
        <v>999</v>
      </c>
      <c r="C201">
        <v>1</v>
      </c>
      <c r="D201">
        <v>10</v>
      </c>
      <c r="E201">
        <v>1</v>
      </c>
      <c r="F201" t="s">
        <v>3321</v>
      </c>
      <c r="G201" t="s">
        <v>7584</v>
      </c>
      <c r="H201" t="s">
        <v>7584</v>
      </c>
    </row>
    <row r="202" spans="1:8" x14ac:dyDescent="0.25">
      <c r="A202">
        <v>200</v>
      </c>
      <c r="B202">
        <v>115</v>
      </c>
      <c r="C202">
        <v>2</v>
      </c>
      <c r="D202">
        <v>3</v>
      </c>
      <c r="E202">
        <v>1</v>
      </c>
      <c r="G202" t="s">
        <v>7585</v>
      </c>
    </row>
    <row r="203" spans="1:8" x14ac:dyDescent="0.25">
      <c r="A203">
        <v>201</v>
      </c>
      <c r="B203">
        <v>999</v>
      </c>
      <c r="C203">
        <v>1</v>
      </c>
      <c r="D203">
        <v>10</v>
      </c>
      <c r="E203">
        <v>0</v>
      </c>
      <c r="F203" t="s">
        <v>7494</v>
      </c>
      <c r="G203" t="s">
        <v>7586</v>
      </c>
      <c r="H203" t="s">
        <v>7586</v>
      </c>
    </row>
    <row r="204" spans="1:8" x14ac:dyDescent="0.25">
      <c r="A204">
        <v>202</v>
      </c>
      <c r="B204">
        <v>999</v>
      </c>
      <c r="C204">
        <v>1</v>
      </c>
      <c r="D204">
        <v>10</v>
      </c>
      <c r="E204">
        <v>1</v>
      </c>
      <c r="F204" t="s">
        <v>7367</v>
      </c>
      <c r="G204" t="s">
        <v>7587</v>
      </c>
      <c r="H204" t="s">
        <v>7587</v>
      </c>
    </row>
    <row r="205" spans="1:8" x14ac:dyDescent="0.25">
      <c r="A205">
        <v>203</v>
      </c>
      <c r="B205">
        <v>999</v>
      </c>
      <c r="C205">
        <v>1</v>
      </c>
      <c r="D205">
        <v>10</v>
      </c>
      <c r="E205">
        <v>1</v>
      </c>
      <c r="F205" t="s">
        <v>7588</v>
      </c>
      <c r="G205" t="s">
        <v>7589</v>
      </c>
      <c r="H205" t="s">
        <v>7589</v>
      </c>
    </row>
    <row r="206" spans="1:8" x14ac:dyDescent="0.25">
      <c r="A206">
        <v>204</v>
      </c>
      <c r="B206">
        <v>999</v>
      </c>
      <c r="C206">
        <v>1</v>
      </c>
      <c r="D206">
        <v>10</v>
      </c>
      <c r="E206">
        <v>0</v>
      </c>
      <c r="F206" t="s">
        <v>7474</v>
      </c>
      <c r="G206" t="s">
        <v>7590</v>
      </c>
      <c r="H206" t="s">
        <v>7590</v>
      </c>
    </row>
    <row r="207" spans="1:8" x14ac:dyDescent="0.25">
      <c r="A207">
        <v>205</v>
      </c>
      <c r="B207">
        <v>999</v>
      </c>
      <c r="C207">
        <v>1</v>
      </c>
      <c r="D207">
        <v>10</v>
      </c>
      <c r="E207">
        <v>0</v>
      </c>
      <c r="F207" t="s">
        <v>7494</v>
      </c>
      <c r="G207" t="s">
        <v>7591</v>
      </c>
      <c r="H207" t="s">
        <v>7591</v>
      </c>
    </row>
    <row r="208" spans="1:8" x14ac:dyDescent="0.25">
      <c r="A208">
        <v>206</v>
      </c>
      <c r="B208">
        <v>999</v>
      </c>
      <c r="C208">
        <v>1</v>
      </c>
      <c r="D208">
        <v>10</v>
      </c>
      <c r="E208">
        <v>0</v>
      </c>
      <c r="F208" t="s">
        <v>7494</v>
      </c>
      <c r="G208" t="s">
        <v>7592</v>
      </c>
      <c r="H208" t="s">
        <v>7592</v>
      </c>
    </row>
    <row r="209" spans="1:8" x14ac:dyDescent="0.25">
      <c r="A209">
        <v>207</v>
      </c>
      <c r="B209">
        <v>999</v>
      </c>
      <c r="C209">
        <v>1</v>
      </c>
      <c r="D209">
        <v>10</v>
      </c>
      <c r="E209">
        <v>1</v>
      </c>
      <c r="F209" t="s">
        <v>3321</v>
      </c>
      <c r="G209" t="s">
        <v>7593</v>
      </c>
      <c r="H209" t="s">
        <v>7593</v>
      </c>
    </row>
    <row r="210" spans="1:8" x14ac:dyDescent="0.25">
      <c r="A210">
        <v>208</v>
      </c>
      <c r="B210">
        <v>999</v>
      </c>
      <c r="C210">
        <v>1</v>
      </c>
      <c r="D210">
        <v>10</v>
      </c>
      <c r="E210">
        <v>1</v>
      </c>
      <c r="F210" t="s">
        <v>3321</v>
      </c>
      <c r="G210" t="s">
        <v>7594</v>
      </c>
      <c r="H210" t="s">
        <v>7594</v>
      </c>
    </row>
    <row r="211" spans="1:8" x14ac:dyDescent="0.25">
      <c r="A211">
        <v>209</v>
      </c>
      <c r="B211">
        <v>999</v>
      </c>
      <c r="C211">
        <v>1</v>
      </c>
      <c r="D211">
        <v>10</v>
      </c>
      <c r="E211">
        <v>1</v>
      </c>
      <c r="F211" t="s">
        <v>7595</v>
      </c>
      <c r="G211" t="s">
        <v>7596</v>
      </c>
      <c r="H211" t="s">
        <v>7596</v>
      </c>
    </row>
    <row r="212" spans="1:8" x14ac:dyDescent="0.25">
      <c r="A212">
        <v>210</v>
      </c>
      <c r="B212">
        <v>999</v>
      </c>
      <c r="C212">
        <v>1</v>
      </c>
      <c r="D212">
        <v>10</v>
      </c>
      <c r="E212">
        <v>0</v>
      </c>
      <c r="F212" t="s">
        <v>7474</v>
      </c>
      <c r="G212" t="s">
        <v>7597</v>
      </c>
      <c r="H212" t="s">
        <v>7597</v>
      </c>
    </row>
    <row r="213" spans="1:8" x14ac:dyDescent="0.25">
      <c r="A213">
        <v>211</v>
      </c>
      <c r="B213">
        <v>999</v>
      </c>
      <c r="C213">
        <v>1</v>
      </c>
      <c r="D213">
        <v>10</v>
      </c>
      <c r="E213">
        <v>0</v>
      </c>
      <c r="F213" t="s">
        <v>7598</v>
      </c>
      <c r="G213" t="s">
        <v>7599</v>
      </c>
      <c r="H213" t="s">
        <v>7599</v>
      </c>
    </row>
    <row r="214" spans="1:8" x14ac:dyDescent="0.25">
      <c r="A214">
        <v>212</v>
      </c>
      <c r="B214">
        <v>289</v>
      </c>
      <c r="C214">
        <v>1</v>
      </c>
      <c r="D214">
        <v>10</v>
      </c>
      <c r="E214">
        <v>1</v>
      </c>
      <c r="F214" t="s">
        <v>7474</v>
      </c>
      <c r="G214" t="s">
        <v>7600</v>
      </c>
      <c r="H214" t="s">
        <v>7600</v>
      </c>
    </row>
    <row r="215" spans="1:8" x14ac:dyDescent="0.25">
      <c r="A215">
        <v>213</v>
      </c>
      <c r="B215">
        <v>999</v>
      </c>
      <c r="C215">
        <v>1</v>
      </c>
      <c r="D215">
        <v>10</v>
      </c>
      <c r="E215">
        <v>0</v>
      </c>
      <c r="F215" t="s">
        <v>7474</v>
      </c>
      <c r="G215" t="s">
        <v>7601</v>
      </c>
      <c r="H215" t="s">
        <v>7601</v>
      </c>
    </row>
    <row r="216" spans="1:8" x14ac:dyDescent="0.25">
      <c r="A216">
        <v>214</v>
      </c>
      <c r="B216">
        <v>999</v>
      </c>
      <c r="C216">
        <v>1</v>
      </c>
      <c r="D216">
        <v>10</v>
      </c>
      <c r="E216">
        <v>0</v>
      </c>
      <c r="F216" t="s">
        <v>7494</v>
      </c>
      <c r="G216" t="s">
        <v>7602</v>
      </c>
      <c r="H216" t="s">
        <v>7602</v>
      </c>
    </row>
    <row r="217" spans="1:8" x14ac:dyDescent="0.25">
      <c r="A217">
        <v>215</v>
      </c>
      <c r="B217">
        <v>999</v>
      </c>
      <c r="C217">
        <v>1</v>
      </c>
      <c r="D217">
        <v>10</v>
      </c>
      <c r="E217">
        <v>0</v>
      </c>
      <c r="F217" t="s">
        <v>7474</v>
      </c>
      <c r="G217" t="s">
        <v>7603</v>
      </c>
      <c r="H217" t="s">
        <v>7603</v>
      </c>
    </row>
    <row r="218" spans="1:8" x14ac:dyDescent="0.25">
      <c r="A218">
        <v>216</v>
      </c>
      <c r="B218">
        <v>999</v>
      </c>
      <c r="C218">
        <v>1</v>
      </c>
      <c r="D218">
        <v>10</v>
      </c>
      <c r="E218">
        <v>0</v>
      </c>
      <c r="F218" t="s">
        <v>7494</v>
      </c>
      <c r="G218" t="s">
        <v>7604</v>
      </c>
      <c r="H218" t="s">
        <v>7604</v>
      </c>
    </row>
    <row r="219" spans="1:8" x14ac:dyDescent="0.25">
      <c r="A219">
        <v>217</v>
      </c>
      <c r="B219">
        <v>999</v>
      </c>
      <c r="C219">
        <v>1</v>
      </c>
      <c r="D219">
        <v>10</v>
      </c>
      <c r="E219">
        <v>1</v>
      </c>
      <c r="F219" t="s">
        <v>3321</v>
      </c>
      <c r="G219" t="s">
        <v>7605</v>
      </c>
      <c r="H219" t="s">
        <v>7605</v>
      </c>
    </row>
    <row r="220" spans="1:8" x14ac:dyDescent="0.25">
      <c r="A220">
        <v>218</v>
      </c>
      <c r="B220">
        <v>999</v>
      </c>
      <c r="C220">
        <v>1</v>
      </c>
      <c r="D220">
        <v>10</v>
      </c>
      <c r="E220">
        <v>1</v>
      </c>
      <c r="F220" t="s">
        <v>3321</v>
      </c>
      <c r="G220" t="s">
        <v>7606</v>
      </c>
      <c r="H220" t="s">
        <v>7606</v>
      </c>
    </row>
    <row r="221" spans="1:8" x14ac:dyDescent="0.25">
      <c r="A221">
        <v>219</v>
      </c>
      <c r="B221">
        <v>999</v>
      </c>
      <c r="C221">
        <v>1</v>
      </c>
      <c r="D221">
        <v>10</v>
      </c>
      <c r="E221">
        <v>0</v>
      </c>
      <c r="F221" t="s">
        <v>7607</v>
      </c>
      <c r="G221" t="s">
        <v>7608</v>
      </c>
      <c r="H221" t="s">
        <v>7608</v>
      </c>
    </row>
    <row r="222" spans="1:8" x14ac:dyDescent="0.25">
      <c r="A222">
        <v>220</v>
      </c>
      <c r="B222">
        <v>999</v>
      </c>
      <c r="C222">
        <v>1</v>
      </c>
      <c r="D222">
        <v>10</v>
      </c>
      <c r="E222">
        <v>0</v>
      </c>
      <c r="F222" t="s">
        <v>7609</v>
      </c>
      <c r="G222" t="s">
        <v>7610</v>
      </c>
      <c r="H222" t="s">
        <v>7610</v>
      </c>
    </row>
    <row r="223" spans="1:8" x14ac:dyDescent="0.25">
      <c r="A223">
        <v>221</v>
      </c>
      <c r="B223">
        <v>999</v>
      </c>
      <c r="C223">
        <v>1</v>
      </c>
      <c r="D223">
        <v>10</v>
      </c>
      <c r="E223">
        <v>0</v>
      </c>
      <c r="F223" t="s">
        <v>7474</v>
      </c>
      <c r="G223" t="s">
        <v>7611</v>
      </c>
      <c r="H223" t="s">
        <v>7611</v>
      </c>
    </row>
    <row r="224" spans="1:8" x14ac:dyDescent="0.25">
      <c r="A224">
        <v>222</v>
      </c>
      <c r="B224">
        <v>999</v>
      </c>
      <c r="C224">
        <v>1</v>
      </c>
      <c r="D224">
        <v>10</v>
      </c>
      <c r="E224">
        <v>1</v>
      </c>
      <c r="F224" t="s">
        <v>3321</v>
      </c>
      <c r="G224" t="s">
        <v>7612</v>
      </c>
      <c r="H224" t="s">
        <v>7612</v>
      </c>
    </row>
    <row r="225" spans="1:8" x14ac:dyDescent="0.25">
      <c r="A225">
        <v>223</v>
      </c>
      <c r="B225">
        <v>999</v>
      </c>
      <c r="C225">
        <v>1</v>
      </c>
      <c r="D225">
        <v>10</v>
      </c>
      <c r="E225">
        <v>1</v>
      </c>
      <c r="F225" t="s">
        <v>3321</v>
      </c>
      <c r="G225" t="s">
        <v>7613</v>
      </c>
      <c r="H225" t="s">
        <v>7613</v>
      </c>
    </row>
    <row r="226" spans="1:8" x14ac:dyDescent="0.25">
      <c r="A226">
        <v>224</v>
      </c>
      <c r="B226">
        <v>999</v>
      </c>
      <c r="C226">
        <v>1</v>
      </c>
      <c r="D226">
        <v>10</v>
      </c>
      <c r="E226">
        <v>0</v>
      </c>
      <c r="F226" t="s">
        <v>7474</v>
      </c>
      <c r="G226" t="s">
        <v>7614</v>
      </c>
      <c r="H226" t="s">
        <v>7614</v>
      </c>
    </row>
    <row r="227" spans="1:8" x14ac:dyDescent="0.25">
      <c r="A227">
        <v>225</v>
      </c>
      <c r="B227">
        <v>999</v>
      </c>
      <c r="C227">
        <v>1</v>
      </c>
      <c r="D227">
        <v>10</v>
      </c>
      <c r="E227">
        <v>0</v>
      </c>
      <c r="F227" t="s">
        <v>7615</v>
      </c>
      <c r="G227" t="s">
        <v>7616</v>
      </c>
      <c r="H227" t="s">
        <v>7616</v>
      </c>
    </row>
    <row r="228" spans="1:8" x14ac:dyDescent="0.25">
      <c r="A228">
        <v>226</v>
      </c>
      <c r="B228">
        <v>999</v>
      </c>
      <c r="C228">
        <v>1</v>
      </c>
      <c r="D228">
        <v>10</v>
      </c>
      <c r="E228">
        <v>0</v>
      </c>
      <c r="F228" t="s">
        <v>7474</v>
      </c>
      <c r="G228" t="s">
        <v>7617</v>
      </c>
      <c r="H228" t="s">
        <v>7617</v>
      </c>
    </row>
    <row r="229" spans="1:8" x14ac:dyDescent="0.25">
      <c r="A229">
        <v>227</v>
      </c>
      <c r="B229">
        <v>999</v>
      </c>
      <c r="C229">
        <v>1</v>
      </c>
      <c r="D229">
        <v>10</v>
      </c>
      <c r="E229">
        <v>1</v>
      </c>
      <c r="F229" t="s">
        <v>3321</v>
      </c>
      <c r="G229" t="s">
        <v>7618</v>
      </c>
      <c r="H229" t="s">
        <v>7618</v>
      </c>
    </row>
    <row r="230" spans="1:8" x14ac:dyDescent="0.25">
      <c r="A230">
        <v>228</v>
      </c>
      <c r="B230">
        <v>999</v>
      </c>
      <c r="C230">
        <v>1</v>
      </c>
      <c r="D230">
        <v>10</v>
      </c>
      <c r="E230">
        <v>1</v>
      </c>
      <c r="F230" t="s">
        <v>3321</v>
      </c>
      <c r="G230" t="s">
        <v>7619</v>
      </c>
      <c r="H230" t="s">
        <v>7619</v>
      </c>
    </row>
    <row r="231" spans="1:8" x14ac:dyDescent="0.25">
      <c r="A231">
        <v>229</v>
      </c>
      <c r="B231">
        <v>999</v>
      </c>
      <c r="C231">
        <v>1</v>
      </c>
      <c r="D231">
        <v>10</v>
      </c>
      <c r="E231">
        <v>1</v>
      </c>
      <c r="F231" t="s">
        <v>3321</v>
      </c>
      <c r="G231" t="s">
        <v>7620</v>
      </c>
      <c r="H231" t="s">
        <v>7620</v>
      </c>
    </row>
    <row r="232" spans="1:8" x14ac:dyDescent="0.25">
      <c r="A232">
        <v>230</v>
      </c>
      <c r="B232">
        <v>999</v>
      </c>
      <c r="C232">
        <v>1</v>
      </c>
      <c r="D232">
        <v>10</v>
      </c>
      <c r="E232">
        <v>0</v>
      </c>
      <c r="F232" t="s">
        <v>7494</v>
      </c>
      <c r="G232" t="s">
        <v>7621</v>
      </c>
      <c r="H232" t="s">
        <v>7621</v>
      </c>
    </row>
    <row r="233" spans="1:8" x14ac:dyDescent="0.25">
      <c r="A233">
        <v>231</v>
      </c>
      <c r="B233">
        <v>999</v>
      </c>
      <c r="C233">
        <v>1</v>
      </c>
      <c r="D233">
        <v>10</v>
      </c>
      <c r="E233">
        <v>0</v>
      </c>
      <c r="F233" t="s">
        <v>7494</v>
      </c>
      <c r="G233" t="s">
        <v>7622</v>
      </c>
      <c r="H233" t="s">
        <v>7622</v>
      </c>
    </row>
    <row r="234" spans="1:8" x14ac:dyDescent="0.25">
      <c r="A234">
        <v>232</v>
      </c>
      <c r="B234">
        <v>999</v>
      </c>
      <c r="C234">
        <v>1</v>
      </c>
      <c r="D234">
        <v>10</v>
      </c>
      <c r="E234">
        <v>1</v>
      </c>
      <c r="F234" t="s">
        <v>3321</v>
      </c>
      <c r="G234" t="s">
        <v>7623</v>
      </c>
      <c r="H234" t="s">
        <v>7623</v>
      </c>
    </row>
    <row r="235" spans="1:8" x14ac:dyDescent="0.25">
      <c r="A235">
        <v>233</v>
      </c>
      <c r="B235">
        <v>999</v>
      </c>
      <c r="C235">
        <v>1</v>
      </c>
      <c r="D235">
        <v>10</v>
      </c>
      <c r="E235">
        <v>1</v>
      </c>
      <c r="F235" t="s">
        <v>7494</v>
      </c>
      <c r="G235" t="s">
        <v>7624</v>
      </c>
      <c r="H235" t="s">
        <v>7624</v>
      </c>
    </row>
    <row r="236" spans="1:8" x14ac:dyDescent="0.25">
      <c r="A236">
        <v>234</v>
      </c>
      <c r="B236">
        <v>999</v>
      </c>
      <c r="C236">
        <v>1</v>
      </c>
      <c r="D236">
        <v>10</v>
      </c>
      <c r="E236">
        <v>0</v>
      </c>
      <c r="F236" t="s">
        <v>7474</v>
      </c>
      <c r="G236" t="s">
        <v>7625</v>
      </c>
      <c r="H236" t="s">
        <v>7625</v>
      </c>
    </row>
    <row r="237" spans="1:8" x14ac:dyDescent="0.25">
      <c r="A237">
        <v>235</v>
      </c>
      <c r="B237">
        <v>999</v>
      </c>
      <c r="C237">
        <v>1</v>
      </c>
      <c r="D237">
        <v>10</v>
      </c>
      <c r="E237">
        <v>1</v>
      </c>
      <c r="F237" t="s">
        <v>3321</v>
      </c>
      <c r="G237" t="s">
        <v>7626</v>
      </c>
      <c r="H237" t="s">
        <v>7626</v>
      </c>
    </row>
    <row r="238" spans="1:8" x14ac:dyDescent="0.25">
      <c r="A238">
        <v>236</v>
      </c>
      <c r="B238">
        <v>999</v>
      </c>
      <c r="C238">
        <v>1</v>
      </c>
      <c r="D238">
        <v>10</v>
      </c>
      <c r="E238">
        <v>1</v>
      </c>
      <c r="F238" t="s">
        <v>3321</v>
      </c>
      <c r="G238" t="s">
        <v>7627</v>
      </c>
      <c r="H238" t="s">
        <v>7627</v>
      </c>
    </row>
    <row r="239" spans="1:8" x14ac:dyDescent="0.25">
      <c r="A239">
        <v>237</v>
      </c>
      <c r="B239">
        <v>999</v>
      </c>
      <c r="C239">
        <v>1</v>
      </c>
      <c r="D239">
        <v>10</v>
      </c>
      <c r="E239">
        <v>1</v>
      </c>
      <c r="F239" t="s">
        <v>3321</v>
      </c>
      <c r="G239" t="s">
        <v>7628</v>
      </c>
      <c r="H239" t="s">
        <v>7628</v>
      </c>
    </row>
    <row r="240" spans="1:8" x14ac:dyDescent="0.25">
      <c r="A240">
        <v>238</v>
      </c>
      <c r="B240">
        <v>999</v>
      </c>
      <c r="C240">
        <v>1</v>
      </c>
      <c r="D240">
        <v>10</v>
      </c>
      <c r="E240">
        <v>1</v>
      </c>
      <c r="F240" t="s">
        <v>3321</v>
      </c>
      <c r="G240" t="s">
        <v>7629</v>
      </c>
      <c r="H240" t="s">
        <v>7629</v>
      </c>
    </row>
    <row r="241" spans="1:8" x14ac:dyDescent="0.25">
      <c r="A241">
        <v>239</v>
      </c>
      <c r="B241">
        <v>999</v>
      </c>
      <c r="C241">
        <v>1</v>
      </c>
      <c r="D241">
        <v>10</v>
      </c>
      <c r="E241">
        <v>0</v>
      </c>
      <c r="F241" t="s">
        <v>7607</v>
      </c>
      <c r="G241" t="s">
        <v>7630</v>
      </c>
      <c r="H241" t="s">
        <v>7630</v>
      </c>
    </row>
    <row r="242" spans="1:8" x14ac:dyDescent="0.25">
      <c r="A242">
        <v>240</v>
      </c>
      <c r="B242">
        <v>999</v>
      </c>
      <c r="C242">
        <v>1</v>
      </c>
      <c r="D242">
        <v>10</v>
      </c>
      <c r="E242">
        <v>1</v>
      </c>
      <c r="F242" t="s">
        <v>3321</v>
      </c>
      <c r="G242" t="s">
        <v>7631</v>
      </c>
      <c r="H242" t="s">
        <v>7631</v>
      </c>
    </row>
    <row r="243" spans="1:8" x14ac:dyDescent="0.25">
      <c r="A243">
        <v>241</v>
      </c>
      <c r="B243">
        <v>999</v>
      </c>
      <c r="C243">
        <v>1</v>
      </c>
      <c r="D243">
        <v>10</v>
      </c>
      <c r="E243">
        <v>1</v>
      </c>
      <c r="F243" t="s">
        <v>3321</v>
      </c>
      <c r="G243" t="s">
        <v>7632</v>
      </c>
      <c r="H243" t="s">
        <v>7632</v>
      </c>
    </row>
    <row r="244" spans="1:8" x14ac:dyDescent="0.25">
      <c r="A244">
        <v>242</v>
      </c>
      <c r="B244">
        <v>999</v>
      </c>
      <c r="C244">
        <v>1</v>
      </c>
      <c r="D244">
        <v>10</v>
      </c>
      <c r="E244">
        <v>1</v>
      </c>
      <c r="F244" t="s">
        <v>3321</v>
      </c>
      <c r="G244" t="s">
        <v>7633</v>
      </c>
      <c r="H244" t="s">
        <v>7633</v>
      </c>
    </row>
    <row r="245" spans="1:8" x14ac:dyDescent="0.25">
      <c r="A245">
        <v>243</v>
      </c>
      <c r="B245">
        <v>999</v>
      </c>
      <c r="C245">
        <v>1</v>
      </c>
      <c r="D245">
        <v>10</v>
      </c>
      <c r="E245">
        <v>1</v>
      </c>
      <c r="F245" t="s">
        <v>3321</v>
      </c>
      <c r="G245" t="s">
        <v>7634</v>
      </c>
      <c r="H245" t="s">
        <v>7634</v>
      </c>
    </row>
    <row r="246" spans="1:8" x14ac:dyDescent="0.25">
      <c r="A246">
        <v>244</v>
      </c>
      <c r="B246">
        <v>999</v>
      </c>
      <c r="C246">
        <v>1</v>
      </c>
      <c r="D246">
        <v>10</v>
      </c>
      <c r="E246">
        <v>1</v>
      </c>
      <c r="F246" t="s">
        <v>3321</v>
      </c>
      <c r="G246" t="s">
        <v>7635</v>
      </c>
      <c r="H246" t="s">
        <v>7635</v>
      </c>
    </row>
    <row r="247" spans="1:8" x14ac:dyDescent="0.25">
      <c r="A247">
        <v>245</v>
      </c>
      <c r="B247">
        <v>999</v>
      </c>
      <c r="C247">
        <v>1</v>
      </c>
      <c r="D247">
        <v>10</v>
      </c>
      <c r="E247">
        <v>1</v>
      </c>
      <c r="F247" t="s">
        <v>3321</v>
      </c>
      <c r="G247" t="s">
        <v>7636</v>
      </c>
      <c r="H247" t="s">
        <v>7636</v>
      </c>
    </row>
    <row r="248" spans="1:8" x14ac:dyDescent="0.25">
      <c r="A248">
        <v>246</v>
      </c>
      <c r="B248">
        <v>999</v>
      </c>
      <c r="C248">
        <v>1</v>
      </c>
      <c r="D248">
        <v>10</v>
      </c>
      <c r="E248">
        <v>1</v>
      </c>
      <c r="F248" t="s">
        <v>7637</v>
      </c>
      <c r="G248" t="s">
        <v>7638</v>
      </c>
      <c r="H248" t="s">
        <v>7638</v>
      </c>
    </row>
    <row r="249" spans="1:8" x14ac:dyDescent="0.25">
      <c r="A249">
        <v>247</v>
      </c>
      <c r="B249">
        <v>999</v>
      </c>
      <c r="C249">
        <v>1</v>
      </c>
      <c r="D249">
        <v>10</v>
      </c>
      <c r="E249">
        <v>1</v>
      </c>
      <c r="F249" t="s">
        <v>3321</v>
      </c>
      <c r="G249" t="s">
        <v>7639</v>
      </c>
      <c r="H249" t="s">
        <v>7639</v>
      </c>
    </row>
    <row r="250" spans="1:8" x14ac:dyDescent="0.25">
      <c r="A250">
        <v>248</v>
      </c>
      <c r="B250">
        <v>228</v>
      </c>
      <c r="C250">
        <v>1</v>
      </c>
      <c r="D250">
        <v>5</v>
      </c>
      <c r="E250">
        <v>1</v>
      </c>
      <c r="F250" t="s">
        <v>3321</v>
      </c>
      <c r="G250" t="s">
        <v>7640</v>
      </c>
      <c r="H250" t="s">
        <v>7640</v>
      </c>
    </row>
    <row r="251" spans="1:8" x14ac:dyDescent="0.25">
      <c r="A251">
        <v>249</v>
      </c>
      <c r="B251">
        <v>999</v>
      </c>
      <c r="C251">
        <v>1</v>
      </c>
      <c r="D251">
        <v>10</v>
      </c>
      <c r="E251">
        <v>1</v>
      </c>
      <c r="F251" t="s">
        <v>3321</v>
      </c>
      <c r="G251" t="s">
        <v>7641</v>
      </c>
      <c r="H251" t="s">
        <v>7641</v>
      </c>
    </row>
    <row r="252" spans="1:8" x14ac:dyDescent="0.25">
      <c r="A252">
        <v>250</v>
      </c>
      <c r="B252">
        <v>999</v>
      </c>
      <c r="C252">
        <v>1</v>
      </c>
      <c r="D252">
        <v>10</v>
      </c>
      <c r="E252">
        <v>0</v>
      </c>
      <c r="F252" t="s">
        <v>7494</v>
      </c>
      <c r="G252" t="s">
        <v>7642</v>
      </c>
      <c r="H252" t="s">
        <v>7642</v>
      </c>
    </row>
    <row r="253" spans="1:8" x14ac:dyDescent="0.25">
      <c r="A253">
        <v>251</v>
      </c>
      <c r="B253">
        <v>999</v>
      </c>
      <c r="C253">
        <v>1</v>
      </c>
      <c r="D253">
        <v>10</v>
      </c>
      <c r="E253">
        <v>0</v>
      </c>
      <c r="F253" t="s">
        <v>7476</v>
      </c>
      <c r="G253" t="s">
        <v>7643</v>
      </c>
      <c r="H253" t="s">
        <v>7643</v>
      </c>
    </row>
    <row r="254" spans="1:8" x14ac:dyDescent="0.25">
      <c r="A254">
        <v>252</v>
      </c>
      <c r="B254">
        <v>999</v>
      </c>
      <c r="C254">
        <v>1</v>
      </c>
      <c r="D254">
        <v>10</v>
      </c>
      <c r="E254">
        <v>1</v>
      </c>
      <c r="F254" t="s">
        <v>7644</v>
      </c>
      <c r="G254" t="s">
        <v>7645</v>
      </c>
      <c r="H254" t="s">
        <v>7645</v>
      </c>
    </row>
    <row r="255" spans="1:8" x14ac:dyDescent="0.25">
      <c r="A255">
        <v>253</v>
      </c>
      <c r="B255">
        <v>999</v>
      </c>
      <c r="C255">
        <v>1</v>
      </c>
      <c r="D255">
        <v>10</v>
      </c>
      <c r="E255">
        <v>1</v>
      </c>
      <c r="F255" t="s">
        <v>7508</v>
      </c>
      <c r="G255" t="s">
        <v>7646</v>
      </c>
      <c r="H255" t="s">
        <v>7646</v>
      </c>
    </row>
    <row r="256" spans="1:8" x14ac:dyDescent="0.25">
      <c r="A256">
        <v>254</v>
      </c>
      <c r="B256">
        <v>999</v>
      </c>
      <c r="C256">
        <v>1</v>
      </c>
      <c r="D256">
        <v>10</v>
      </c>
      <c r="E256">
        <v>1</v>
      </c>
      <c r="F256" t="s">
        <v>7367</v>
      </c>
      <c r="G256" t="s">
        <v>7647</v>
      </c>
      <c r="H256" t="s">
        <v>7647</v>
      </c>
    </row>
    <row r="257" spans="1:8" x14ac:dyDescent="0.25">
      <c r="A257">
        <v>255</v>
      </c>
      <c r="B257">
        <v>999</v>
      </c>
      <c r="C257">
        <v>1</v>
      </c>
      <c r="D257">
        <v>10</v>
      </c>
      <c r="E257">
        <v>1</v>
      </c>
      <c r="F257" t="s">
        <v>3321</v>
      </c>
      <c r="G257" t="s">
        <v>7648</v>
      </c>
      <c r="H257" t="s">
        <v>7648</v>
      </c>
    </row>
    <row r="258" spans="1:8" x14ac:dyDescent="0.25">
      <c r="A258">
        <v>256</v>
      </c>
      <c r="B258">
        <v>999</v>
      </c>
      <c r="C258">
        <v>1</v>
      </c>
      <c r="D258">
        <v>10</v>
      </c>
      <c r="E258">
        <v>1</v>
      </c>
      <c r="F258" t="s">
        <v>3321</v>
      </c>
      <c r="G258" t="s">
        <v>7649</v>
      </c>
      <c r="H258" t="s">
        <v>7649</v>
      </c>
    </row>
    <row r="259" spans="1:8" x14ac:dyDescent="0.25">
      <c r="A259">
        <v>257</v>
      </c>
      <c r="B259">
        <v>999</v>
      </c>
      <c r="C259">
        <v>1</v>
      </c>
      <c r="D259">
        <v>10</v>
      </c>
      <c r="E259">
        <v>1</v>
      </c>
      <c r="F259" t="s">
        <v>3321</v>
      </c>
      <c r="G259" t="s">
        <v>7650</v>
      </c>
      <c r="H259" t="s">
        <v>7650</v>
      </c>
    </row>
    <row r="260" spans="1:8" x14ac:dyDescent="0.25">
      <c r="A260">
        <v>258</v>
      </c>
      <c r="B260">
        <v>999</v>
      </c>
      <c r="C260">
        <v>1</v>
      </c>
      <c r="D260">
        <v>10</v>
      </c>
      <c r="E260">
        <v>1</v>
      </c>
      <c r="F260" t="s">
        <v>3321</v>
      </c>
      <c r="G260" t="s">
        <v>7651</v>
      </c>
      <c r="H260" t="s">
        <v>7651</v>
      </c>
    </row>
    <row r="261" spans="1:8" x14ac:dyDescent="0.25">
      <c r="A261">
        <v>259</v>
      </c>
      <c r="B261">
        <v>999</v>
      </c>
      <c r="C261">
        <v>1</v>
      </c>
      <c r="D261">
        <v>10</v>
      </c>
      <c r="E261">
        <v>0</v>
      </c>
      <c r="F261" t="s">
        <v>7474</v>
      </c>
      <c r="G261" t="s">
        <v>7652</v>
      </c>
      <c r="H261" t="s">
        <v>7652</v>
      </c>
    </row>
    <row r="262" spans="1:8" x14ac:dyDescent="0.25">
      <c r="A262">
        <v>260</v>
      </c>
      <c r="B262">
        <v>999</v>
      </c>
      <c r="C262">
        <v>1</v>
      </c>
      <c r="D262">
        <v>10</v>
      </c>
      <c r="E262">
        <v>1</v>
      </c>
      <c r="F262" t="s">
        <v>3321</v>
      </c>
      <c r="G262" t="s">
        <v>7653</v>
      </c>
      <c r="H262" t="s">
        <v>7653</v>
      </c>
    </row>
    <row r="263" spans="1:8" x14ac:dyDescent="0.25">
      <c r="A263">
        <v>261</v>
      </c>
      <c r="B263">
        <v>999</v>
      </c>
      <c r="C263">
        <v>1</v>
      </c>
      <c r="D263">
        <v>10</v>
      </c>
      <c r="E263">
        <v>1</v>
      </c>
      <c r="F263" t="s">
        <v>3321</v>
      </c>
      <c r="G263" t="s">
        <v>7654</v>
      </c>
      <c r="H263" t="s">
        <v>7654</v>
      </c>
    </row>
    <row r="264" spans="1:8" x14ac:dyDescent="0.25">
      <c r="A264">
        <v>262</v>
      </c>
      <c r="B264">
        <v>999</v>
      </c>
      <c r="C264">
        <v>1</v>
      </c>
      <c r="D264">
        <v>10</v>
      </c>
      <c r="E264">
        <v>0</v>
      </c>
      <c r="F264" t="s">
        <v>7474</v>
      </c>
      <c r="G264" t="s">
        <v>7655</v>
      </c>
      <c r="H264" t="s">
        <v>7655</v>
      </c>
    </row>
    <row r="265" spans="1:8" x14ac:dyDescent="0.25">
      <c r="A265">
        <v>263</v>
      </c>
      <c r="B265">
        <v>999</v>
      </c>
      <c r="C265">
        <v>1</v>
      </c>
      <c r="D265">
        <v>10</v>
      </c>
      <c r="E265">
        <v>0</v>
      </c>
      <c r="F265" t="s">
        <v>7474</v>
      </c>
      <c r="G265" t="s">
        <v>7656</v>
      </c>
      <c r="H265" t="s">
        <v>7656</v>
      </c>
    </row>
    <row r="266" spans="1:8" x14ac:dyDescent="0.25">
      <c r="A266">
        <v>264</v>
      </c>
      <c r="B266">
        <v>999</v>
      </c>
      <c r="C266">
        <v>1</v>
      </c>
      <c r="D266">
        <v>10</v>
      </c>
      <c r="E266">
        <v>0</v>
      </c>
      <c r="F266" t="s">
        <v>7474</v>
      </c>
      <c r="G266" t="s">
        <v>7657</v>
      </c>
      <c r="H266" t="s">
        <v>7657</v>
      </c>
    </row>
    <row r="267" spans="1:8" x14ac:dyDescent="0.25">
      <c r="A267">
        <v>265</v>
      </c>
      <c r="B267">
        <v>999</v>
      </c>
      <c r="C267">
        <v>1</v>
      </c>
      <c r="D267">
        <v>10</v>
      </c>
      <c r="E267">
        <v>0</v>
      </c>
      <c r="F267" t="s">
        <v>7474</v>
      </c>
      <c r="G267" t="s">
        <v>7658</v>
      </c>
      <c r="H267" t="s">
        <v>7658</v>
      </c>
    </row>
    <row r="268" spans="1:8" x14ac:dyDescent="0.25">
      <c r="A268">
        <v>266</v>
      </c>
      <c r="B268">
        <v>999</v>
      </c>
      <c r="C268">
        <v>1</v>
      </c>
      <c r="D268">
        <v>10</v>
      </c>
      <c r="E268">
        <v>1</v>
      </c>
      <c r="F268" t="s">
        <v>3321</v>
      </c>
      <c r="G268" t="s">
        <v>7659</v>
      </c>
      <c r="H268" t="s">
        <v>7659</v>
      </c>
    </row>
    <row r="269" spans="1:8" x14ac:dyDescent="0.25">
      <c r="A269">
        <v>267</v>
      </c>
      <c r="B269">
        <v>999</v>
      </c>
      <c r="C269">
        <v>1</v>
      </c>
      <c r="D269">
        <v>10</v>
      </c>
      <c r="E269">
        <v>1</v>
      </c>
      <c r="F269" t="s">
        <v>7660</v>
      </c>
      <c r="G269" t="s">
        <v>7661</v>
      </c>
      <c r="H269" t="s">
        <v>7661</v>
      </c>
    </row>
    <row r="270" spans="1:8" x14ac:dyDescent="0.25">
      <c r="A270">
        <v>268</v>
      </c>
      <c r="B270">
        <v>999</v>
      </c>
      <c r="C270">
        <v>1</v>
      </c>
      <c r="D270">
        <v>10</v>
      </c>
      <c r="E270">
        <v>1</v>
      </c>
      <c r="F270" t="s">
        <v>3321</v>
      </c>
      <c r="G270" t="s">
        <v>7662</v>
      </c>
      <c r="H270" t="s">
        <v>7662</v>
      </c>
    </row>
    <row r="271" spans="1:8" x14ac:dyDescent="0.25">
      <c r="A271">
        <v>269</v>
      </c>
      <c r="B271">
        <v>999</v>
      </c>
      <c r="C271">
        <v>1</v>
      </c>
      <c r="D271">
        <v>10</v>
      </c>
      <c r="E271">
        <v>1</v>
      </c>
      <c r="F271" t="s">
        <v>3321</v>
      </c>
      <c r="G271" t="s">
        <v>7663</v>
      </c>
      <c r="H271" t="s">
        <v>7663</v>
      </c>
    </row>
    <row r="272" spans="1:8" x14ac:dyDescent="0.25">
      <c r="A272">
        <v>270</v>
      </c>
      <c r="B272">
        <v>999</v>
      </c>
      <c r="C272">
        <v>1</v>
      </c>
      <c r="D272">
        <v>10</v>
      </c>
      <c r="E272">
        <v>1</v>
      </c>
      <c r="F272" t="s">
        <v>7413</v>
      </c>
      <c r="G272" t="s">
        <v>7664</v>
      </c>
      <c r="H272" t="s">
        <v>7664</v>
      </c>
    </row>
    <row r="273" spans="1:8" x14ac:dyDescent="0.25">
      <c r="A273">
        <v>271</v>
      </c>
      <c r="B273">
        <v>999</v>
      </c>
      <c r="C273">
        <v>1</v>
      </c>
      <c r="D273">
        <v>10</v>
      </c>
      <c r="E273">
        <v>1</v>
      </c>
      <c r="F273" t="s">
        <v>3321</v>
      </c>
      <c r="G273" t="s">
        <v>7665</v>
      </c>
      <c r="H273" t="s">
        <v>7665</v>
      </c>
    </row>
    <row r="274" spans="1:8" x14ac:dyDescent="0.25">
      <c r="A274">
        <v>272</v>
      </c>
      <c r="B274">
        <v>999</v>
      </c>
      <c r="C274">
        <v>1</v>
      </c>
      <c r="D274">
        <v>10</v>
      </c>
      <c r="E274">
        <v>1</v>
      </c>
      <c r="F274" t="s">
        <v>7666</v>
      </c>
      <c r="G274" t="s">
        <v>7667</v>
      </c>
      <c r="H274" t="s">
        <v>7667</v>
      </c>
    </row>
    <row r="275" spans="1:8" x14ac:dyDescent="0.25">
      <c r="A275">
        <v>273</v>
      </c>
      <c r="B275">
        <v>999</v>
      </c>
      <c r="C275">
        <v>1</v>
      </c>
      <c r="D275">
        <v>10</v>
      </c>
      <c r="E275">
        <v>1</v>
      </c>
      <c r="F275" t="s">
        <v>3321</v>
      </c>
      <c r="G275" t="s">
        <v>7668</v>
      </c>
      <c r="H275" t="s">
        <v>7668</v>
      </c>
    </row>
    <row r="276" spans="1:8" x14ac:dyDescent="0.25">
      <c r="A276">
        <v>274</v>
      </c>
      <c r="B276">
        <v>999</v>
      </c>
      <c r="C276">
        <v>1</v>
      </c>
      <c r="D276">
        <v>10</v>
      </c>
      <c r="E276">
        <v>1</v>
      </c>
      <c r="F276" t="s">
        <v>3321</v>
      </c>
      <c r="G276" t="s">
        <v>7669</v>
      </c>
      <c r="H276" t="s">
        <v>7669</v>
      </c>
    </row>
    <row r="277" spans="1:8" x14ac:dyDescent="0.25">
      <c r="A277">
        <v>275</v>
      </c>
      <c r="B277">
        <v>999</v>
      </c>
      <c r="C277">
        <v>1</v>
      </c>
      <c r="D277">
        <v>10</v>
      </c>
      <c r="E277">
        <v>0</v>
      </c>
      <c r="F277" t="s">
        <v>7474</v>
      </c>
      <c r="G277" t="s">
        <v>7670</v>
      </c>
      <c r="H277" t="s">
        <v>7670</v>
      </c>
    </row>
    <row r="278" spans="1:8" x14ac:dyDescent="0.25">
      <c r="A278">
        <v>276</v>
      </c>
      <c r="B278">
        <v>999</v>
      </c>
      <c r="C278">
        <v>1</v>
      </c>
      <c r="D278">
        <v>10</v>
      </c>
      <c r="E278">
        <v>1</v>
      </c>
      <c r="F278" t="s">
        <v>3321</v>
      </c>
      <c r="G278" t="s">
        <v>7671</v>
      </c>
      <c r="H278" t="s">
        <v>7671</v>
      </c>
    </row>
    <row r="279" spans="1:8" x14ac:dyDescent="0.25">
      <c r="A279">
        <v>277</v>
      </c>
      <c r="B279">
        <v>999</v>
      </c>
      <c r="C279">
        <v>1</v>
      </c>
      <c r="D279">
        <v>10</v>
      </c>
      <c r="E279">
        <v>1</v>
      </c>
      <c r="F279" t="s">
        <v>3321</v>
      </c>
      <c r="G279" t="s">
        <v>7672</v>
      </c>
      <c r="H279" t="s">
        <v>7672</v>
      </c>
    </row>
    <row r="280" spans="1:8" x14ac:dyDescent="0.25">
      <c r="A280">
        <v>278</v>
      </c>
      <c r="B280">
        <v>999</v>
      </c>
      <c r="C280">
        <v>1</v>
      </c>
      <c r="D280">
        <v>10</v>
      </c>
      <c r="E280">
        <v>1</v>
      </c>
      <c r="F280" t="s">
        <v>3321</v>
      </c>
      <c r="G280" t="s">
        <v>7673</v>
      </c>
      <c r="H280" t="s">
        <v>7673</v>
      </c>
    </row>
    <row r="281" spans="1:8" x14ac:dyDescent="0.25">
      <c r="A281">
        <v>279</v>
      </c>
      <c r="B281">
        <v>999</v>
      </c>
      <c r="C281">
        <v>1</v>
      </c>
      <c r="D281">
        <v>10</v>
      </c>
      <c r="E281">
        <v>1</v>
      </c>
      <c r="F281" t="s">
        <v>3321</v>
      </c>
      <c r="G281" t="s">
        <v>7674</v>
      </c>
      <c r="H281" t="s">
        <v>7674</v>
      </c>
    </row>
    <row r="282" spans="1:8" x14ac:dyDescent="0.25">
      <c r="A282">
        <v>280</v>
      </c>
      <c r="B282">
        <v>238</v>
      </c>
      <c r="C282">
        <v>100</v>
      </c>
      <c r="D282">
        <v>5</v>
      </c>
      <c r="E282">
        <v>1</v>
      </c>
      <c r="G282" t="s">
        <v>7675</v>
      </c>
    </row>
    <row r="283" spans="1:8" x14ac:dyDescent="0.25">
      <c r="A283">
        <v>281</v>
      </c>
      <c r="B283">
        <v>110</v>
      </c>
      <c r="C283">
        <v>2</v>
      </c>
      <c r="D283">
        <v>3</v>
      </c>
      <c r="E283">
        <v>1</v>
      </c>
      <c r="G283" t="s">
        <v>7676</v>
      </c>
    </row>
    <row r="284" spans="1:8" x14ac:dyDescent="0.25">
      <c r="A284">
        <v>282</v>
      </c>
      <c r="B284">
        <v>999</v>
      </c>
      <c r="C284">
        <v>1</v>
      </c>
      <c r="D284">
        <v>10</v>
      </c>
      <c r="E284">
        <v>0</v>
      </c>
      <c r="F284" t="s">
        <v>7474</v>
      </c>
      <c r="G284" t="s">
        <v>7677</v>
      </c>
      <c r="H284" t="s">
        <v>7677</v>
      </c>
    </row>
    <row r="285" spans="1:8" x14ac:dyDescent="0.25">
      <c r="A285">
        <v>283</v>
      </c>
      <c r="B285">
        <v>999</v>
      </c>
      <c r="C285">
        <v>1</v>
      </c>
      <c r="D285">
        <v>10</v>
      </c>
      <c r="E285">
        <v>1</v>
      </c>
      <c r="F285" t="s">
        <v>3321</v>
      </c>
      <c r="G285" t="s">
        <v>7678</v>
      </c>
      <c r="H285" t="s">
        <v>7678</v>
      </c>
    </row>
    <row r="286" spans="1:8" x14ac:dyDescent="0.25">
      <c r="A286">
        <v>284</v>
      </c>
      <c r="B286">
        <v>999</v>
      </c>
      <c r="C286">
        <v>1</v>
      </c>
      <c r="D286">
        <v>10</v>
      </c>
      <c r="E286">
        <v>1</v>
      </c>
      <c r="F286" t="s">
        <v>3321</v>
      </c>
      <c r="G286" t="s">
        <v>7679</v>
      </c>
      <c r="H286" t="s">
        <v>7679</v>
      </c>
    </row>
    <row r="287" spans="1:8" x14ac:dyDescent="0.25">
      <c r="A287">
        <v>285</v>
      </c>
      <c r="B287">
        <v>999</v>
      </c>
      <c r="C287">
        <v>1</v>
      </c>
      <c r="D287">
        <v>10</v>
      </c>
      <c r="E287">
        <v>0</v>
      </c>
      <c r="F287" t="s">
        <v>7474</v>
      </c>
      <c r="G287" t="s">
        <v>7680</v>
      </c>
      <c r="H287" t="s">
        <v>7680</v>
      </c>
    </row>
    <row r="288" spans="1:8" x14ac:dyDescent="0.25">
      <c r="A288">
        <v>286</v>
      </c>
      <c r="B288">
        <v>999</v>
      </c>
      <c r="C288">
        <v>1</v>
      </c>
      <c r="D288">
        <v>10</v>
      </c>
      <c r="E288">
        <v>0</v>
      </c>
      <c r="F288" t="s">
        <v>7681</v>
      </c>
      <c r="G288" t="s">
        <v>7682</v>
      </c>
      <c r="H288" t="s">
        <v>7682</v>
      </c>
    </row>
    <row r="289" spans="1:8" x14ac:dyDescent="0.25">
      <c r="A289">
        <v>287</v>
      </c>
      <c r="B289">
        <v>999</v>
      </c>
      <c r="C289">
        <v>1</v>
      </c>
      <c r="D289">
        <v>10</v>
      </c>
      <c r="E289">
        <v>0</v>
      </c>
      <c r="F289" t="s">
        <v>7474</v>
      </c>
      <c r="G289" t="s">
        <v>7683</v>
      </c>
      <c r="H289" t="s">
        <v>7683</v>
      </c>
    </row>
    <row r="290" spans="1:8" x14ac:dyDescent="0.25">
      <c r="A290">
        <v>288</v>
      </c>
      <c r="B290">
        <v>999</v>
      </c>
      <c r="C290">
        <v>1</v>
      </c>
      <c r="D290">
        <v>10</v>
      </c>
      <c r="E290">
        <v>1</v>
      </c>
      <c r="F290" t="s">
        <v>3321</v>
      </c>
      <c r="G290" t="s">
        <v>7684</v>
      </c>
      <c r="H290" t="s">
        <v>7684</v>
      </c>
    </row>
    <row r="291" spans="1:8" x14ac:dyDescent="0.25">
      <c r="A291">
        <v>289</v>
      </c>
      <c r="B291">
        <v>999</v>
      </c>
      <c r="C291">
        <v>1</v>
      </c>
      <c r="D291">
        <v>10</v>
      </c>
      <c r="E291">
        <v>0</v>
      </c>
      <c r="F291" t="s">
        <v>7474</v>
      </c>
      <c r="G291" t="s">
        <v>7685</v>
      </c>
      <c r="H291" t="s">
        <v>7685</v>
      </c>
    </row>
    <row r="292" spans="1:8" x14ac:dyDescent="0.25">
      <c r="A292">
        <v>290</v>
      </c>
      <c r="B292">
        <v>999</v>
      </c>
      <c r="C292">
        <v>1</v>
      </c>
      <c r="D292">
        <v>10</v>
      </c>
      <c r="E292">
        <v>0</v>
      </c>
      <c r="F292" t="s">
        <v>7494</v>
      </c>
      <c r="G292" t="s">
        <v>7686</v>
      </c>
      <c r="H292" t="s">
        <v>7686</v>
      </c>
    </row>
    <row r="293" spans="1:8" x14ac:dyDescent="0.25">
      <c r="A293">
        <v>291</v>
      </c>
      <c r="B293">
        <v>999</v>
      </c>
      <c r="C293">
        <v>1</v>
      </c>
      <c r="D293">
        <v>10</v>
      </c>
      <c r="E293">
        <v>0</v>
      </c>
      <c r="F293" t="s">
        <v>7474</v>
      </c>
      <c r="G293" t="s">
        <v>7687</v>
      </c>
      <c r="H293" t="s">
        <v>7687</v>
      </c>
    </row>
    <row r="294" spans="1:8" x14ac:dyDescent="0.25">
      <c r="A294">
        <v>292</v>
      </c>
      <c r="B294">
        <v>999</v>
      </c>
      <c r="C294">
        <v>1</v>
      </c>
      <c r="D294">
        <v>10</v>
      </c>
      <c r="E294">
        <v>0</v>
      </c>
      <c r="F294" t="s">
        <v>7688</v>
      </c>
      <c r="G294" t="s">
        <v>7689</v>
      </c>
      <c r="H294" t="s">
        <v>7689</v>
      </c>
    </row>
    <row r="295" spans="1:8" x14ac:dyDescent="0.25">
      <c r="A295">
        <v>293</v>
      </c>
      <c r="B295">
        <v>999</v>
      </c>
      <c r="C295">
        <v>1</v>
      </c>
      <c r="D295">
        <v>10</v>
      </c>
      <c r="E295">
        <v>0</v>
      </c>
      <c r="F295" t="s">
        <v>7474</v>
      </c>
      <c r="G295" t="s">
        <v>7690</v>
      </c>
      <c r="H295" t="s">
        <v>7690</v>
      </c>
    </row>
    <row r="296" spans="1:8" x14ac:dyDescent="0.25">
      <c r="A296">
        <v>294</v>
      </c>
      <c r="B296">
        <v>228</v>
      </c>
      <c r="C296">
        <v>2</v>
      </c>
      <c r="D296">
        <v>3</v>
      </c>
      <c r="E296">
        <v>1</v>
      </c>
      <c r="G296" t="s">
        <v>7691</v>
      </c>
    </row>
    <row r="297" spans="1:8" x14ac:dyDescent="0.25">
      <c r="A297">
        <v>295</v>
      </c>
      <c r="B297">
        <v>999</v>
      </c>
      <c r="C297">
        <v>1</v>
      </c>
      <c r="D297">
        <v>10</v>
      </c>
      <c r="E297">
        <v>0</v>
      </c>
      <c r="F297" t="s">
        <v>7474</v>
      </c>
      <c r="G297" t="s">
        <v>7692</v>
      </c>
      <c r="H297" t="s">
        <v>7692</v>
      </c>
    </row>
    <row r="298" spans="1:8" x14ac:dyDescent="0.25">
      <c r="A298">
        <v>296</v>
      </c>
      <c r="B298">
        <v>999</v>
      </c>
      <c r="C298">
        <v>1</v>
      </c>
      <c r="D298">
        <v>10</v>
      </c>
      <c r="E298">
        <v>0</v>
      </c>
      <c r="F298" t="s">
        <v>7693</v>
      </c>
      <c r="G298" t="s">
        <v>7694</v>
      </c>
      <c r="H298" t="s">
        <v>7694</v>
      </c>
    </row>
    <row r="299" spans="1:8" x14ac:dyDescent="0.25">
      <c r="A299">
        <v>297</v>
      </c>
      <c r="B299">
        <v>999</v>
      </c>
      <c r="C299">
        <v>2</v>
      </c>
      <c r="D299">
        <v>6</v>
      </c>
      <c r="E299">
        <v>1</v>
      </c>
      <c r="F299" t="s">
        <v>3321</v>
      </c>
      <c r="G299" t="s">
        <v>7695</v>
      </c>
      <c r="H299" t="s">
        <v>7695</v>
      </c>
    </row>
    <row r="300" spans="1:8" x14ac:dyDescent="0.25">
      <c r="A300">
        <v>298</v>
      </c>
      <c r="B300">
        <v>999</v>
      </c>
      <c r="C300">
        <v>1</v>
      </c>
      <c r="D300">
        <v>10</v>
      </c>
      <c r="E300">
        <v>0</v>
      </c>
      <c r="F300" t="s">
        <v>7494</v>
      </c>
      <c r="G300" t="s">
        <v>7696</v>
      </c>
      <c r="H300" t="s">
        <v>7696</v>
      </c>
    </row>
    <row r="301" spans="1:8" x14ac:dyDescent="0.25">
      <c r="A301">
        <v>299</v>
      </c>
      <c r="B301">
        <v>999</v>
      </c>
      <c r="C301">
        <v>1</v>
      </c>
      <c r="D301">
        <v>10</v>
      </c>
      <c r="E301">
        <v>0</v>
      </c>
      <c r="F301" t="s">
        <v>7476</v>
      </c>
      <c r="G301" t="s">
        <v>7697</v>
      </c>
      <c r="H301" t="s">
        <v>7697</v>
      </c>
    </row>
    <row r="302" spans="1:8" x14ac:dyDescent="0.25">
      <c r="A302">
        <v>300</v>
      </c>
      <c r="B302">
        <v>999</v>
      </c>
      <c r="C302">
        <v>1</v>
      </c>
      <c r="D302">
        <v>10</v>
      </c>
      <c r="E302">
        <v>0</v>
      </c>
      <c r="F302" t="s">
        <v>7476</v>
      </c>
      <c r="G302" t="s">
        <v>7698</v>
      </c>
      <c r="H302" t="s">
        <v>7698</v>
      </c>
    </row>
    <row r="303" spans="1:8" x14ac:dyDescent="0.25">
      <c r="A303">
        <v>301</v>
      </c>
      <c r="B303">
        <v>999</v>
      </c>
      <c r="C303">
        <v>1</v>
      </c>
      <c r="D303">
        <v>10</v>
      </c>
      <c r="E303">
        <v>1</v>
      </c>
      <c r="F303" t="s">
        <v>3321</v>
      </c>
      <c r="G303" t="s">
        <v>7699</v>
      </c>
      <c r="H303" t="s">
        <v>7699</v>
      </c>
    </row>
    <row r="304" spans="1:8" x14ac:dyDescent="0.25">
      <c r="A304">
        <v>302</v>
      </c>
      <c r="B304">
        <v>999</v>
      </c>
      <c r="C304">
        <v>1</v>
      </c>
      <c r="D304">
        <v>10</v>
      </c>
      <c r="E304">
        <v>1</v>
      </c>
      <c r="F304" t="s">
        <v>3321</v>
      </c>
      <c r="G304" t="s">
        <v>7700</v>
      </c>
      <c r="H304" t="s">
        <v>7700</v>
      </c>
    </row>
    <row r="305" spans="1:8" x14ac:dyDescent="0.25">
      <c r="A305">
        <v>303</v>
      </c>
      <c r="B305">
        <v>999</v>
      </c>
      <c r="C305">
        <v>1</v>
      </c>
      <c r="D305">
        <v>10</v>
      </c>
      <c r="E305">
        <v>0</v>
      </c>
      <c r="F305" t="s">
        <v>7701</v>
      </c>
      <c r="G305" t="s">
        <v>7702</v>
      </c>
      <c r="H305" t="s">
        <v>7702</v>
      </c>
    </row>
    <row r="306" spans="1:8" x14ac:dyDescent="0.25">
      <c r="A306">
        <v>304</v>
      </c>
      <c r="B306">
        <v>999</v>
      </c>
      <c r="C306">
        <v>1</v>
      </c>
      <c r="D306">
        <v>10</v>
      </c>
      <c r="E306">
        <v>1</v>
      </c>
      <c r="F306" t="s">
        <v>3321</v>
      </c>
      <c r="G306" t="s">
        <v>7703</v>
      </c>
      <c r="H306" t="s">
        <v>7703</v>
      </c>
    </row>
    <row r="307" spans="1:8" x14ac:dyDescent="0.25">
      <c r="A307">
        <v>305</v>
      </c>
      <c r="B307">
        <v>999</v>
      </c>
      <c r="C307">
        <v>1</v>
      </c>
      <c r="D307">
        <v>10</v>
      </c>
      <c r="E307">
        <v>0</v>
      </c>
      <c r="F307" t="s">
        <v>7476</v>
      </c>
      <c r="G307" t="s">
        <v>7704</v>
      </c>
      <c r="H307" t="s">
        <v>7704</v>
      </c>
    </row>
    <row r="308" spans="1:8" x14ac:dyDescent="0.25">
      <c r="A308">
        <v>306</v>
      </c>
      <c r="B308">
        <v>999</v>
      </c>
      <c r="C308">
        <v>1</v>
      </c>
      <c r="D308">
        <v>10</v>
      </c>
      <c r="E308">
        <v>0</v>
      </c>
      <c r="F308" t="s">
        <v>7476</v>
      </c>
      <c r="G308" t="s">
        <v>7705</v>
      </c>
      <c r="H308" t="s">
        <v>7705</v>
      </c>
    </row>
    <row r="309" spans="1:8" x14ac:dyDescent="0.25">
      <c r="A309">
        <v>307</v>
      </c>
      <c r="B309">
        <v>999</v>
      </c>
      <c r="C309">
        <v>2</v>
      </c>
      <c r="D309">
        <v>6</v>
      </c>
      <c r="E309">
        <v>1</v>
      </c>
      <c r="G309" t="s">
        <v>7706</v>
      </c>
    </row>
    <row r="310" spans="1:8" x14ac:dyDescent="0.25">
      <c r="A310">
        <v>308</v>
      </c>
      <c r="B310">
        <v>999</v>
      </c>
      <c r="C310">
        <v>1</v>
      </c>
      <c r="D310">
        <v>10</v>
      </c>
      <c r="E310">
        <v>0</v>
      </c>
      <c r="F310" t="s">
        <v>7474</v>
      </c>
      <c r="G310" t="s">
        <v>7707</v>
      </c>
      <c r="H310" t="s">
        <v>7707</v>
      </c>
    </row>
    <row r="311" spans="1:8" x14ac:dyDescent="0.25">
      <c r="A311">
        <v>309</v>
      </c>
      <c r="B311">
        <v>999</v>
      </c>
      <c r="C311">
        <v>1</v>
      </c>
      <c r="D311">
        <v>10</v>
      </c>
      <c r="E311">
        <v>0</v>
      </c>
      <c r="F311" t="s">
        <v>7476</v>
      </c>
      <c r="G311" t="s">
        <v>7708</v>
      </c>
      <c r="H311" t="s">
        <v>7708</v>
      </c>
    </row>
    <row r="312" spans="1:8" x14ac:dyDescent="0.25">
      <c r="A312">
        <v>310</v>
      </c>
      <c r="B312">
        <v>999</v>
      </c>
      <c r="C312">
        <v>1</v>
      </c>
      <c r="D312">
        <v>10</v>
      </c>
      <c r="E312">
        <v>0</v>
      </c>
      <c r="F312" t="s">
        <v>7494</v>
      </c>
      <c r="G312" t="s">
        <v>7709</v>
      </c>
      <c r="H312" t="s">
        <v>7709</v>
      </c>
    </row>
    <row r="313" spans="1:8" x14ac:dyDescent="0.25">
      <c r="A313">
        <v>311</v>
      </c>
      <c r="B313">
        <v>999</v>
      </c>
      <c r="C313">
        <v>2</v>
      </c>
      <c r="D313">
        <v>6</v>
      </c>
      <c r="E313">
        <v>1</v>
      </c>
      <c r="G313" t="s">
        <v>7710</v>
      </c>
    </row>
    <row r="314" spans="1:8" x14ac:dyDescent="0.25">
      <c r="A314">
        <v>312</v>
      </c>
      <c r="B314">
        <v>999</v>
      </c>
      <c r="C314">
        <v>1</v>
      </c>
      <c r="D314">
        <v>10</v>
      </c>
      <c r="E314">
        <v>0</v>
      </c>
      <c r="F314" t="s">
        <v>7474</v>
      </c>
      <c r="G314" t="s">
        <v>7711</v>
      </c>
      <c r="H314" t="s">
        <v>7711</v>
      </c>
    </row>
    <row r="315" spans="1:8" x14ac:dyDescent="0.25">
      <c r="A315">
        <v>313</v>
      </c>
      <c r="B315">
        <v>999</v>
      </c>
      <c r="C315">
        <v>1</v>
      </c>
      <c r="D315">
        <v>10</v>
      </c>
      <c r="E315">
        <v>0</v>
      </c>
      <c r="F315" t="s">
        <v>7476</v>
      </c>
      <c r="G315" t="s">
        <v>7712</v>
      </c>
      <c r="H315" t="s">
        <v>7712</v>
      </c>
    </row>
    <row r="316" spans="1:8" x14ac:dyDescent="0.25">
      <c r="A316">
        <v>314</v>
      </c>
      <c r="B316">
        <v>999</v>
      </c>
      <c r="C316">
        <v>1</v>
      </c>
      <c r="D316">
        <v>10</v>
      </c>
      <c r="E316">
        <v>1</v>
      </c>
      <c r="F316" t="s">
        <v>7474</v>
      </c>
      <c r="G316" t="s">
        <v>7713</v>
      </c>
      <c r="H316" t="s">
        <v>7713</v>
      </c>
    </row>
    <row r="317" spans="1:8" x14ac:dyDescent="0.25">
      <c r="A317">
        <v>315</v>
      </c>
      <c r="B317">
        <v>999</v>
      </c>
      <c r="C317">
        <v>1</v>
      </c>
      <c r="D317">
        <v>10</v>
      </c>
      <c r="E317">
        <v>0</v>
      </c>
      <c r="F317" t="s">
        <v>7474</v>
      </c>
      <c r="G317" t="s">
        <v>7714</v>
      </c>
      <c r="H317" t="s">
        <v>7714</v>
      </c>
    </row>
    <row r="318" spans="1:8" x14ac:dyDescent="0.25">
      <c r="A318">
        <v>316</v>
      </c>
      <c r="B318">
        <v>999</v>
      </c>
      <c r="C318">
        <v>1</v>
      </c>
      <c r="D318">
        <v>10</v>
      </c>
      <c r="E318">
        <v>0</v>
      </c>
      <c r="F318" t="s">
        <v>7715</v>
      </c>
      <c r="G318" t="s">
        <v>7716</v>
      </c>
      <c r="H318" t="s">
        <v>7716</v>
      </c>
    </row>
    <row r="319" spans="1:8" x14ac:dyDescent="0.25">
      <c r="A319">
        <v>317</v>
      </c>
      <c r="B319">
        <v>999</v>
      </c>
      <c r="C319">
        <v>1</v>
      </c>
      <c r="D319">
        <v>10</v>
      </c>
      <c r="E319">
        <v>0</v>
      </c>
      <c r="F319" t="s">
        <v>7494</v>
      </c>
      <c r="G319" t="s">
        <v>7717</v>
      </c>
      <c r="H319" t="s">
        <v>7717</v>
      </c>
    </row>
    <row r="320" spans="1:8" x14ac:dyDescent="0.25">
      <c r="A320">
        <v>318</v>
      </c>
      <c r="B320">
        <v>999</v>
      </c>
      <c r="C320">
        <v>2</v>
      </c>
      <c r="D320">
        <v>7</v>
      </c>
      <c r="E320">
        <v>1</v>
      </c>
      <c r="G320" t="s">
        <v>7718</v>
      </c>
      <c r="H320" t="s">
        <v>7718</v>
      </c>
    </row>
    <row r="321" spans="1:8" x14ac:dyDescent="0.25">
      <c r="A321">
        <v>319</v>
      </c>
      <c r="B321">
        <v>999</v>
      </c>
      <c r="C321">
        <v>1</v>
      </c>
      <c r="D321">
        <v>10</v>
      </c>
      <c r="E321">
        <v>1</v>
      </c>
      <c r="F321" t="s">
        <v>7474</v>
      </c>
      <c r="G321" t="s">
        <v>7719</v>
      </c>
      <c r="H321" t="s">
        <v>7719</v>
      </c>
    </row>
    <row r="322" spans="1:8" x14ac:dyDescent="0.25">
      <c r="A322">
        <v>320</v>
      </c>
      <c r="B322">
        <v>999</v>
      </c>
      <c r="C322">
        <v>2</v>
      </c>
      <c r="D322">
        <v>7</v>
      </c>
      <c r="E322">
        <v>1</v>
      </c>
      <c r="G322" t="s">
        <v>7720</v>
      </c>
    </row>
    <row r="323" spans="1:8" x14ac:dyDescent="0.25">
      <c r="A323">
        <v>321</v>
      </c>
      <c r="B323">
        <v>999</v>
      </c>
      <c r="C323">
        <v>1</v>
      </c>
      <c r="D323">
        <v>10</v>
      </c>
      <c r="E323">
        <v>0</v>
      </c>
      <c r="F323" t="s">
        <v>7715</v>
      </c>
      <c r="G323" t="s">
        <v>7721</v>
      </c>
      <c r="H323" t="s">
        <v>7721</v>
      </c>
    </row>
    <row r="324" spans="1:8" x14ac:dyDescent="0.25">
      <c r="A324">
        <v>322</v>
      </c>
      <c r="B324">
        <v>999</v>
      </c>
      <c r="C324">
        <v>1</v>
      </c>
      <c r="D324">
        <v>10</v>
      </c>
      <c r="E324">
        <v>0</v>
      </c>
      <c r="F324" t="s">
        <v>7476</v>
      </c>
      <c r="G324" t="s">
        <v>7722</v>
      </c>
      <c r="H324" t="s">
        <v>7722</v>
      </c>
    </row>
    <row r="325" spans="1:8" x14ac:dyDescent="0.25">
      <c r="A325">
        <v>323</v>
      </c>
      <c r="B325">
        <v>999</v>
      </c>
      <c r="C325">
        <v>1</v>
      </c>
      <c r="D325">
        <v>10</v>
      </c>
      <c r="E325">
        <v>0</v>
      </c>
      <c r="F325" t="s">
        <v>7476</v>
      </c>
      <c r="G325" t="s">
        <v>7723</v>
      </c>
      <c r="H325" t="s">
        <v>7723</v>
      </c>
    </row>
    <row r="326" spans="1:8" x14ac:dyDescent="0.25">
      <c r="A326">
        <v>324</v>
      </c>
      <c r="B326">
        <v>999</v>
      </c>
      <c r="C326">
        <v>1</v>
      </c>
      <c r="D326">
        <v>10</v>
      </c>
      <c r="E326">
        <v>0</v>
      </c>
      <c r="F326" t="s">
        <v>7474</v>
      </c>
      <c r="G326" t="s">
        <v>7724</v>
      </c>
      <c r="H326" t="s">
        <v>7724</v>
      </c>
    </row>
    <row r="327" spans="1:8" x14ac:dyDescent="0.25">
      <c r="A327">
        <v>325</v>
      </c>
      <c r="B327">
        <v>999</v>
      </c>
      <c r="C327">
        <v>1</v>
      </c>
      <c r="D327">
        <v>10</v>
      </c>
      <c r="E327">
        <v>1</v>
      </c>
      <c r="F327" t="s">
        <v>3321</v>
      </c>
      <c r="G327" t="s">
        <v>7725</v>
      </c>
      <c r="H327" t="s">
        <v>7725</v>
      </c>
    </row>
    <row r="328" spans="1:8" x14ac:dyDescent="0.25">
      <c r="A328">
        <v>326</v>
      </c>
      <c r="B328">
        <v>999</v>
      </c>
      <c r="C328">
        <v>1</v>
      </c>
      <c r="D328">
        <v>10</v>
      </c>
      <c r="E328">
        <v>1</v>
      </c>
      <c r="F328" t="s">
        <v>3321</v>
      </c>
      <c r="G328" t="s">
        <v>7726</v>
      </c>
      <c r="H328" t="s">
        <v>7726</v>
      </c>
    </row>
    <row r="329" spans="1:8" x14ac:dyDescent="0.25">
      <c r="A329">
        <v>327</v>
      </c>
      <c r="B329">
        <v>999</v>
      </c>
      <c r="C329">
        <v>1</v>
      </c>
      <c r="D329">
        <v>10</v>
      </c>
      <c r="E329">
        <v>0</v>
      </c>
      <c r="F329" t="s">
        <v>7494</v>
      </c>
      <c r="G329" t="s">
        <v>7727</v>
      </c>
      <c r="H329" t="s">
        <v>7727</v>
      </c>
    </row>
    <row r="330" spans="1:8" x14ac:dyDescent="0.25">
      <c r="A330">
        <v>328</v>
      </c>
      <c r="B330">
        <v>999</v>
      </c>
      <c r="C330">
        <v>1</v>
      </c>
      <c r="D330">
        <v>10</v>
      </c>
      <c r="E330">
        <v>1</v>
      </c>
      <c r="F330" t="s">
        <v>3321</v>
      </c>
      <c r="G330" t="s">
        <v>7728</v>
      </c>
      <c r="H330" t="s">
        <v>7728</v>
      </c>
    </row>
    <row r="331" spans="1:8" x14ac:dyDescent="0.25">
      <c r="A331">
        <v>329</v>
      </c>
      <c r="B331">
        <v>999</v>
      </c>
      <c r="C331">
        <v>1</v>
      </c>
      <c r="D331">
        <v>10</v>
      </c>
      <c r="E331">
        <v>1</v>
      </c>
      <c r="F331" t="s">
        <v>3321</v>
      </c>
      <c r="G331" t="s">
        <v>7729</v>
      </c>
      <c r="H331" t="s">
        <v>7729</v>
      </c>
    </row>
    <row r="332" spans="1:8" x14ac:dyDescent="0.25">
      <c r="A332">
        <v>330</v>
      </c>
      <c r="B332">
        <v>999</v>
      </c>
      <c r="C332">
        <v>1</v>
      </c>
      <c r="D332">
        <v>10</v>
      </c>
      <c r="E332">
        <v>1</v>
      </c>
      <c r="F332" t="s">
        <v>3321</v>
      </c>
      <c r="G332" t="s">
        <v>7730</v>
      </c>
      <c r="H332" t="s">
        <v>7730</v>
      </c>
    </row>
    <row r="333" spans="1:8" x14ac:dyDescent="0.25">
      <c r="A333">
        <v>331</v>
      </c>
      <c r="B333">
        <v>999</v>
      </c>
      <c r="C333">
        <v>1</v>
      </c>
      <c r="D333">
        <v>10</v>
      </c>
      <c r="E333">
        <v>0</v>
      </c>
      <c r="F333" t="s">
        <v>7607</v>
      </c>
      <c r="G333" t="s">
        <v>7731</v>
      </c>
      <c r="H333" t="s">
        <v>7731</v>
      </c>
    </row>
    <row r="334" spans="1:8" x14ac:dyDescent="0.25">
      <c r="A334">
        <v>332</v>
      </c>
      <c r="B334">
        <v>999</v>
      </c>
      <c r="C334">
        <v>1</v>
      </c>
      <c r="D334">
        <v>10</v>
      </c>
      <c r="E334">
        <v>1</v>
      </c>
      <c r="F334" t="s">
        <v>3321</v>
      </c>
      <c r="G334" t="s">
        <v>7732</v>
      </c>
      <c r="H334" t="s">
        <v>7732</v>
      </c>
    </row>
    <row r="335" spans="1:8" x14ac:dyDescent="0.25">
      <c r="A335">
        <v>333</v>
      </c>
      <c r="B335">
        <v>999</v>
      </c>
      <c r="C335">
        <v>1</v>
      </c>
      <c r="D335">
        <v>10</v>
      </c>
      <c r="E335">
        <v>1</v>
      </c>
      <c r="F335" t="s">
        <v>3321</v>
      </c>
      <c r="G335" t="s">
        <v>7733</v>
      </c>
      <c r="H335" t="s">
        <v>7733</v>
      </c>
    </row>
    <row r="336" spans="1:8" x14ac:dyDescent="0.25">
      <c r="A336">
        <v>334</v>
      </c>
      <c r="B336">
        <v>999</v>
      </c>
      <c r="C336">
        <v>1</v>
      </c>
      <c r="D336">
        <v>10</v>
      </c>
      <c r="E336">
        <v>1</v>
      </c>
      <c r="F336" t="s">
        <v>3321</v>
      </c>
      <c r="G336" t="s">
        <v>7734</v>
      </c>
      <c r="H336" t="s">
        <v>7734</v>
      </c>
    </row>
    <row r="337" spans="1:8" x14ac:dyDescent="0.25">
      <c r="A337">
        <v>335</v>
      </c>
      <c r="B337">
        <v>999</v>
      </c>
      <c r="C337">
        <v>2</v>
      </c>
      <c r="D337">
        <v>7</v>
      </c>
      <c r="E337">
        <v>1</v>
      </c>
      <c r="G337" t="s">
        <v>7735</v>
      </c>
    </row>
    <row r="338" spans="1:8" x14ac:dyDescent="0.25">
      <c r="A338">
        <v>336</v>
      </c>
      <c r="B338">
        <v>999</v>
      </c>
      <c r="C338">
        <v>1</v>
      </c>
      <c r="D338">
        <v>10</v>
      </c>
      <c r="E338">
        <v>1</v>
      </c>
      <c r="F338" t="s">
        <v>3321</v>
      </c>
      <c r="G338" t="s">
        <v>7736</v>
      </c>
      <c r="H338" t="s">
        <v>7736</v>
      </c>
    </row>
    <row r="339" spans="1:8" x14ac:dyDescent="0.25">
      <c r="A339">
        <v>337</v>
      </c>
      <c r="B339">
        <v>238</v>
      </c>
      <c r="C339">
        <v>1</v>
      </c>
      <c r="D339">
        <v>5</v>
      </c>
      <c r="E339">
        <v>1</v>
      </c>
      <c r="G339" t="s">
        <v>7737</v>
      </c>
      <c r="H339" t="s">
        <v>7737</v>
      </c>
    </row>
    <row r="340" spans="1:8" x14ac:dyDescent="0.25">
      <c r="A340">
        <v>338</v>
      </c>
      <c r="B340">
        <v>999</v>
      </c>
      <c r="C340">
        <v>1</v>
      </c>
      <c r="D340">
        <v>10</v>
      </c>
      <c r="E340">
        <v>1</v>
      </c>
      <c r="F340" t="s">
        <v>3321</v>
      </c>
      <c r="G340" t="s">
        <v>7738</v>
      </c>
      <c r="H340" t="s">
        <v>7738</v>
      </c>
    </row>
    <row r="341" spans="1:8" x14ac:dyDescent="0.25">
      <c r="A341">
        <v>339</v>
      </c>
      <c r="B341">
        <v>999</v>
      </c>
      <c r="C341">
        <v>1</v>
      </c>
      <c r="D341">
        <v>10</v>
      </c>
      <c r="E341">
        <v>1</v>
      </c>
      <c r="F341" t="s">
        <v>3321</v>
      </c>
      <c r="G341" t="s">
        <v>7739</v>
      </c>
      <c r="H341" t="s">
        <v>7739</v>
      </c>
    </row>
    <row r="342" spans="1:8" x14ac:dyDescent="0.25">
      <c r="A342">
        <v>340</v>
      </c>
      <c r="B342">
        <v>999</v>
      </c>
      <c r="C342">
        <v>1</v>
      </c>
      <c r="D342">
        <v>10</v>
      </c>
      <c r="E342">
        <v>1</v>
      </c>
      <c r="F342" t="s">
        <v>3321</v>
      </c>
      <c r="G342" t="s">
        <v>7740</v>
      </c>
      <c r="H342" t="s">
        <v>7740</v>
      </c>
    </row>
    <row r="343" spans="1:8" x14ac:dyDescent="0.25">
      <c r="A343">
        <v>341</v>
      </c>
      <c r="B343">
        <v>200</v>
      </c>
      <c r="C343">
        <v>2</v>
      </c>
      <c r="D343">
        <v>6</v>
      </c>
      <c r="E343">
        <v>1</v>
      </c>
      <c r="F343" t="s">
        <v>7413</v>
      </c>
      <c r="G343" t="s">
        <v>7741</v>
      </c>
    </row>
    <row r="344" spans="1:8" x14ac:dyDescent="0.25">
      <c r="A344">
        <v>342</v>
      </c>
      <c r="B344">
        <v>999</v>
      </c>
      <c r="C344">
        <v>2</v>
      </c>
      <c r="D344">
        <v>6</v>
      </c>
      <c r="E344">
        <v>1</v>
      </c>
      <c r="F344" t="s">
        <v>3321</v>
      </c>
      <c r="G344" t="s">
        <v>7742</v>
      </c>
      <c r="H344" t="s">
        <v>7742</v>
      </c>
    </row>
    <row r="345" spans="1:8" x14ac:dyDescent="0.25">
      <c r="A345">
        <v>343</v>
      </c>
      <c r="B345">
        <v>255</v>
      </c>
      <c r="C345">
        <v>2</v>
      </c>
      <c r="D345">
        <v>3</v>
      </c>
      <c r="E345">
        <v>1</v>
      </c>
      <c r="G345" t="s">
        <v>7743</v>
      </c>
    </row>
    <row r="346" spans="1:8" x14ac:dyDescent="0.25">
      <c r="A346">
        <v>344</v>
      </c>
      <c r="B346">
        <v>999</v>
      </c>
      <c r="C346">
        <v>1</v>
      </c>
      <c r="D346">
        <v>10</v>
      </c>
      <c r="E346">
        <v>1</v>
      </c>
      <c r="F346" t="s">
        <v>3321</v>
      </c>
      <c r="G346" t="s">
        <v>7744</v>
      </c>
      <c r="H346" t="s">
        <v>7744</v>
      </c>
    </row>
    <row r="347" spans="1:8" x14ac:dyDescent="0.25">
      <c r="A347">
        <v>345</v>
      </c>
      <c r="B347">
        <v>999</v>
      </c>
      <c r="C347">
        <v>1</v>
      </c>
      <c r="D347">
        <v>10</v>
      </c>
      <c r="E347">
        <v>1</v>
      </c>
      <c r="F347" t="s">
        <v>3321</v>
      </c>
      <c r="G347" t="s">
        <v>7745</v>
      </c>
      <c r="H347" t="s">
        <v>7745</v>
      </c>
    </row>
    <row r="348" spans="1:8" x14ac:dyDescent="0.25">
      <c r="A348">
        <v>346</v>
      </c>
      <c r="B348">
        <v>999</v>
      </c>
      <c r="C348">
        <v>2</v>
      </c>
      <c r="D348">
        <v>7</v>
      </c>
      <c r="E348">
        <v>1</v>
      </c>
      <c r="G348" t="s">
        <v>7746</v>
      </c>
    </row>
    <row r="349" spans="1:8" x14ac:dyDescent="0.25">
      <c r="A349">
        <v>347</v>
      </c>
      <c r="B349">
        <v>999</v>
      </c>
      <c r="C349">
        <v>1</v>
      </c>
      <c r="D349">
        <v>10</v>
      </c>
      <c r="E349">
        <v>1</v>
      </c>
      <c r="F349" t="s">
        <v>3321</v>
      </c>
      <c r="G349" t="s">
        <v>7747</v>
      </c>
      <c r="H349" t="s">
        <v>7747</v>
      </c>
    </row>
    <row r="350" spans="1:8" x14ac:dyDescent="0.25">
      <c r="A350">
        <v>348</v>
      </c>
      <c r="B350">
        <v>115</v>
      </c>
      <c r="C350">
        <v>100</v>
      </c>
      <c r="D350">
        <v>5</v>
      </c>
      <c r="E350">
        <v>1</v>
      </c>
      <c r="G350" t="s">
        <v>7748</v>
      </c>
    </row>
    <row r="351" spans="1:8" x14ac:dyDescent="0.25">
      <c r="A351">
        <v>349</v>
      </c>
      <c r="B351">
        <v>238</v>
      </c>
      <c r="C351">
        <v>2</v>
      </c>
      <c r="D351">
        <v>5</v>
      </c>
      <c r="E351">
        <v>1</v>
      </c>
      <c r="G351" t="s">
        <v>7749</v>
      </c>
    </row>
    <row r="352" spans="1:8" x14ac:dyDescent="0.25">
      <c r="A352">
        <v>350</v>
      </c>
      <c r="B352">
        <v>999</v>
      </c>
      <c r="C352">
        <v>1</v>
      </c>
      <c r="D352">
        <v>10</v>
      </c>
      <c r="E352">
        <v>1</v>
      </c>
      <c r="F352" t="s">
        <v>3321</v>
      </c>
      <c r="G352" t="s">
        <v>7750</v>
      </c>
      <c r="H352" t="s">
        <v>7750</v>
      </c>
    </row>
    <row r="353" spans="1:8" x14ac:dyDescent="0.25">
      <c r="A353">
        <v>351</v>
      </c>
      <c r="B353">
        <v>999</v>
      </c>
      <c r="C353">
        <v>1</v>
      </c>
      <c r="D353">
        <v>10</v>
      </c>
      <c r="E353">
        <v>1</v>
      </c>
      <c r="F353" t="s">
        <v>3321</v>
      </c>
      <c r="G353" t="s">
        <v>7751</v>
      </c>
      <c r="H353" t="s">
        <v>7751</v>
      </c>
    </row>
    <row r="354" spans="1:8" x14ac:dyDescent="0.25">
      <c r="A354">
        <v>352</v>
      </c>
      <c r="B354">
        <v>255</v>
      </c>
      <c r="C354">
        <v>2</v>
      </c>
      <c r="D354">
        <v>7</v>
      </c>
      <c r="E354">
        <v>1</v>
      </c>
      <c r="G354" t="s">
        <v>7752</v>
      </c>
    </row>
    <row r="355" spans="1:8" x14ac:dyDescent="0.25">
      <c r="A355">
        <v>353</v>
      </c>
      <c r="B355">
        <v>302</v>
      </c>
      <c r="C355">
        <v>1</v>
      </c>
      <c r="D355">
        <v>10</v>
      </c>
      <c r="E355">
        <v>1</v>
      </c>
      <c r="F355" t="s">
        <v>3321</v>
      </c>
      <c r="G355" t="s">
        <v>7753</v>
      </c>
      <c r="H355" t="s">
        <v>7753</v>
      </c>
    </row>
    <row r="356" spans="1:8" x14ac:dyDescent="0.25">
      <c r="A356">
        <v>354</v>
      </c>
      <c r="B356">
        <v>999</v>
      </c>
      <c r="C356">
        <v>1</v>
      </c>
      <c r="D356">
        <v>10</v>
      </c>
      <c r="E356">
        <v>1</v>
      </c>
      <c r="F356" t="s">
        <v>3321</v>
      </c>
      <c r="G356" t="s">
        <v>7754</v>
      </c>
      <c r="H356" t="s">
        <v>7754</v>
      </c>
    </row>
    <row r="357" spans="1:8" x14ac:dyDescent="0.25">
      <c r="A357">
        <v>355</v>
      </c>
      <c r="B357">
        <v>200</v>
      </c>
      <c r="C357">
        <v>2</v>
      </c>
      <c r="D357">
        <v>7</v>
      </c>
      <c r="E357">
        <v>1</v>
      </c>
      <c r="G357" t="s">
        <v>7755</v>
      </c>
    </row>
    <row r="358" spans="1:8" x14ac:dyDescent="0.25">
      <c r="A358">
        <v>356</v>
      </c>
      <c r="B358">
        <v>999</v>
      </c>
      <c r="C358">
        <v>2</v>
      </c>
      <c r="D358">
        <v>3</v>
      </c>
      <c r="E358">
        <v>0</v>
      </c>
      <c r="F358" t="s">
        <v>7756</v>
      </c>
      <c r="G358" t="s">
        <v>7757</v>
      </c>
    </row>
    <row r="359" spans="1:8" x14ac:dyDescent="0.25">
      <c r="A359">
        <v>357</v>
      </c>
      <c r="B359">
        <v>999</v>
      </c>
      <c r="C359">
        <v>1</v>
      </c>
      <c r="D359">
        <v>10</v>
      </c>
      <c r="E359">
        <v>1</v>
      </c>
      <c r="F359" t="s">
        <v>3321</v>
      </c>
      <c r="G359" t="s">
        <v>7758</v>
      </c>
      <c r="H359" t="s">
        <v>7758</v>
      </c>
    </row>
    <row r="360" spans="1:8" x14ac:dyDescent="0.25">
      <c r="A360">
        <v>358</v>
      </c>
      <c r="B360">
        <v>999</v>
      </c>
      <c r="C360">
        <v>1</v>
      </c>
      <c r="D360">
        <v>10</v>
      </c>
      <c r="E360">
        <v>1</v>
      </c>
      <c r="F360" t="s">
        <v>3321</v>
      </c>
      <c r="G360" t="s">
        <v>7759</v>
      </c>
      <c r="H360" t="s">
        <v>7759</v>
      </c>
    </row>
    <row r="361" spans="1:8" x14ac:dyDescent="0.25">
      <c r="A361">
        <v>359</v>
      </c>
      <c r="B361">
        <v>999</v>
      </c>
      <c r="C361">
        <v>1</v>
      </c>
      <c r="D361">
        <v>10</v>
      </c>
      <c r="E361">
        <v>1</v>
      </c>
      <c r="F361" t="s">
        <v>3321</v>
      </c>
      <c r="G361" t="s">
        <v>7760</v>
      </c>
      <c r="H361" t="s">
        <v>7760</v>
      </c>
    </row>
    <row r="362" spans="1:8" x14ac:dyDescent="0.25">
      <c r="A362">
        <v>360</v>
      </c>
      <c r="B362">
        <v>999</v>
      </c>
      <c r="C362">
        <v>1</v>
      </c>
      <c r="D362">
        <v>10</v>
      </c>
      <c r="E362">
        <v>1</v>
      </c>
      <c r="F362" t="s">
        <v>3321</v>
      </c>
      <c r="G362" t="s">
        <v>7761</v>
      </c>
      <c r="H362" t="s">
        <v>7761</v>
      </c>
    </row>
    <row r="363" spans="1:8" x14ac:dyDescent="0.25">
      <c r="A363">
        <v>361</v>
      </c>
      <c r="B363">
        <v>999</v>
      </c>
      <c r="C363">
        <v>100</v>
      </c>
      <c r="D363">
        <v>10</v>
      </c>
      <c r="E363">
        <v>1</v>
      </c>
      <c r="F363" t="s">
        <v>3321</v>
      </c>
      <c r="G363" t="s">
        <v>7762</v>
      </c>
      <c r="H363" t="s">
        <v>7762</v>
      </c>
    </row>
    <row r="364" spans="1:8" x14ac:dyDescent="0.25">
      <c r="A364">
        <v>362</v>
      </c>
      <c r="B364">
        <v>100</v>
      </c>
      <c r="C364">
        <v>2</v>
      </c>
      <c r="D364">
        <v>7</v>
      </c>
      <c r="E364">
        <v>1</v>
      </c>
      <c r="G364" t="s">
        <v>7763</v>
      </c>
    </row>
    <row r="365" spans="1:8" x14ac:dyDescent="0.25">
      <c r="A365">
        <v>363</v>
      </c>
      <c r="B365">
        <v>999</v>
      </c>
      <c r="C365">
        <v>2</v>
      </c>
      <c r="D365">
        <v>7</v>
      </c>
      <c r="E365">
        <v>1</v>
      </c>
      <c r="G365" t="s">
        <v>7764</v>
      </c>
    </row>
    <row r="366" spans="1:8" x14ac:dyDescent="0.25">
      <c r="A366">
        <v>364</v>
      </c>
      <c r="B366">
        <v>999</v>
      </c>
      <c r="C366">
        <v>2</v>
      </c>
      <c r="D366">
        <v>6</v>
      </c>
      <c r="E366">
        <v>1</v>
      </c>
      <c r="F366" t="s">
        <v>3321</v>
      </c>
      <c r="G366" t="s">
        <v>7765</v>
      </c>
      <c r="H366" t="s">
        <v>7765</v>
      </c>
    </row>
    <row r="367" spans="1:8" x14ac:dyDescent="0.25">
      <c r="A367">
        <v>365</v>
      </c>
      <c r="B367">
        <v>999</v>
      </c>
      <c r="C367">
        <v>2</v>
      </c>
      <c r="D367">
        <v>3</v>
      </c>
      <c r="E367">
        <v>1</v>
      </c>
      <c r="G367" t="s">
        <v>7766</v>
      </c>
    </row>
    <row r="368" spans="1:8" x14ac:dyDescent="0.25">
      <c r="A368">
        <v>366</v>
      </c>
      <c r="B368">
        <v>999</v>
      </c>
      <c r="C368">
        <v>2</v>
      </c>
      <c r="D368">
        <v>6</v>
      </c>
      <c r="E368">
        <v>1</v>
      </c>
      <c r="F368" t="s">
        <v>3321</v>
      </c>
      <c r="G368" t="s">
        <v>7767</v>
      </c>
      <c r="H368" t="s">
        <v>7768</v>
      </c>
    </row>
    <row r="369" spans="1:8" x14ac:dyDescent="0.25">
      <c r="A369">
        <v>367</v>
      </c>
      <c r="B369">
        <v>228</v>
      </c>
      <c r="C369">
        <v>1</v>
      </c>
      <c r="D369">
        <v>10</v>
      </c>
      <c r="E369">
        <v>1</v>
      </c>
      <c r="F369" t="s">
        <v>3321</v>
      </c>
      <c r="G369" t="s">
        <v>7769</v>
      </c>
      <c r="H369" t="s">
        <v>7769</v>
      </c>
    </row>
    <row r="370" spans="1:8" x14ac:dyDescent="0.25">
      <c r="A370">
        <v>368</v>
      </c>
      <c r="B370">
        <v>999</v>
      </c>
      <c r="C370">
        <v>2</v>
      </c>
      <c r="D370">
        <v>6</v>
      </c>
      <c r="E370">
        <v>1</v>
      </c>
      <c r="F370" t="s">
        <v>3321</v>
      </c>
      <c r="G370" t="s">
        <v>7770</v>
      </c>
      <c r="H370" t="s">
        <v>7770</v>
      </c>
    </row>
    <row r="371" spans="1:8" x14ac:dyDescent="0.25">
      <c r="A371">
        <v>369</v>
      </c>
      <c r="B371">
        <v>999</v>
      </c>
      <c r="C371">
        <v>2</v>
      </c>
      <c r="D371">
        <v>6</v>
      </c>
      <c r="E371">
        <v>0</v>
      </c>
      <c r="F371" t="s">
        <v>7386</v>
      </c>
      <c r="G371" t="s">
        <v>7771</v>
      </c>
      <c r="H371" t="s">
        <v>7771</v>
      </c>
    </row>
    <row r="372" spans="1:8" x14ac:dyDescent="0.25">
      <c r="A372">
        <v>370</v>
      </c>
      <c r="B372">
        <v>999</v>
      </c>
      <c r="C372">
        <v>2</v>
      </c>
      <c r="D372">
        <v>6</v>
      </c>
      <c r="E372">
        <v>1</v>
      </c>
      <c r="F372" t="s">
        <v>3321</v>
      </c>
      <c r="G372" t="s">
        <v>7772</v>
      </c>
      <c r="H372" t="s">
        <v>7772</v>
      </c>
    </row>
    <row r="373" spans="1:8" x14ac:dyDescent="0.25">
      <c r="A373">
        <v>371</v>
      </c>
      <c r="B373">
        <v>999</v>
      </c>
      <c r="C373">
        <v>2</v>
      </c>
      <c r="D373">
        <v>6</v>
      </c>
      <c r="E373">
        <v>1</v>
      </c>
      <c r="F373" t="s">
        <v>3321</v>
      </c>
      <c r="G373" t="s">
        <v>7773</v>
      </c>
      <c r="H373" t="s">
        <v>7773</v>
      </c>
    </row>
    <row r="374" spans="1:8" x14ac:dyDescent="0.25">
      <c r="A374">
        <v>372</v>
      </c>
      <c r="B374">
        <v>999</v>
      </c>
      <c r="C374">
        <v>2</v>
      </c>
      <c r="D374">
        <v>6</v>
      </c>
      <c r="E374">
        <v>1</v>
      </c>
      <c r="F374" t="s">
        <v>7774</v>
      </c>
      <c r="G374" t="s">
        <v>7775</v>
      </c>
      <c r="H374" t="s">
        <v>7775</v>
      </c>
    </row>
    <row r="375" spans="1:8" x14ac:dyDescent="0.25">
      <c r="A375">
        <v>373</v>
      </c>
      <c r="B375">
        <v>999</v>
      </c>
      <c r="C375">
        <v>2</v>
      </c>
      <c r="D375">
        <v>7</v>
      </c>
      <c r="E375">
        <v>1</v>
      </c>
      <c r="G375" t="s">
        <v>7776</v>
      </c>
    </row>
    <row r="376" spans="1:8" x14ac:dyDescent="0.25">
      <c r="A376">
        <v>374</v>
      </c>
      <c r="B376">
        <v>999</v>
      </c>
      <c r="C376">
        <v>2</v>
      </c>
      <c r="D376">
        <v>6</v>
      </c>
      <c r="E376">
        <v>1</v>
      </c>
      <c r="F376" t="s">
        <v>7777</v>
      </c>
      <c r="G376" t="s">
        <v>7778</v>
      </c>
      <c r="H376" t="s">
        <v>7778</v>
      </c>
    </row>
    <row r="377" spans="1:8" x14ac:dyDescent="0.25">
      <c r="A377">
        <v>375</v>
      </c>
      <c r="B377">
        <v>999</v>
      </c>
      <c r="C377">
        <v>2</v>
      </c>
      <c r="D377">
        <v>6</v>
      </c>
      <c r="E377">
        <v>1</v>
      </c>
      <c r="F377" t="s">
        <v>3321</v>
      </c>
      <c r="G377" t="s">
        <v>7336</v>
      </c>
      <c r="H377" t="s">
        <v>7336</v>
      </c>
    </row>
    <row r="378" spans="1:8" x14ac:dyDescent="0.25">
      <c r="A378">
        <v>376</v>
      </c>
      <c r="B378">
        <v>999</v>
      </c>
      <c r="C378">
        <v>2</v>
      </c>
      <c r="D378">
        <v>7</v>
      </c>
      <c r="E378">
        <v>1</v>
      </c>
      <c r="G378" t="s">
        <v>7779</v>
      </c>
    </row>
    <row r="379" spans="1:8" x14ac:dyDescent="0.25">
      <c r="A379">
        <v>377</v>
      </c>
      <c r="B379">
        <v>999</v>
      </c>
      <c r="C379">
        <v>2</v>
      </c>
      <c r="D379">
        <v>6</v>
      </c>
      <c r="E379">
        <v>1</v>
      </c>
      <c r="F379" t="s">
        <v>3321</v>
      </c>
      <c r="G379" t="s">
        <v>7780</v>
      </c>
      <c r="H379" t="s">
        <v>7780</v>
      </c>
    </row>
    <row r="380" spans="1:8" x14ac:dyDescent="0.25">
      <c r="A380">
        <v>378</v>
      </c>
      <c r="B380">
        <v>999</v>
      </c>
      <c r="C380">
        <v>2</v>
      </c>
      <c r="D380">
        <v>6</v>
      </c>
      <c r="E380">
        <v>1</v>
      </c>
      <c r="F380" t="s">
        <v>7774</v>
      </c>
      <c r="G380" t="s">
        <v>7781</v>
      </c>
      <c r="H380" t="s">
        <v>7781</v>
      </c>
    </row>
    <row r="381" spans="1:8" x14ac:dyDescent="0.25">
      <c r="A381">
        <v>379</v>
      </c>
      <c r="B381">
        <v>999</v>
      </c>
      <c r="C381">
        <v>2</v>
      </c>
      <c r="D381">
        <v>10</v>
      </c>
      <c r="E381">
        <v>1</v>
      </c>
      <c r="F381" t="s">
        <v>7782</v>
      </c>
      <c r="G381" t="s">
        <v>7783</v>
      </c>
      <c r="H381" t="s">
        <v>7783</v>
      </c>
    </row>
    <row r="382" spans="1:8" x14ac:dyDescent="0.25">
      <c r="A382">
        <v>380</v>
      </c>
      <c r="B382">
        <v>999</v>
      </c>
      <c r="C382">
        <v>2</v>
      </c>
      <c r="D382">
        <v>6</v>
      </c>
      <c r="E382">
        <v>1</v>
      </c>
      <c r="F382" t="s">
        <v>3321</v>
      </c>
      <c r="G382" t="s">
        <v>7784</v>
      </c>
      <c r="H382" t="s">
        <v>7784</v>
      </c>
    </row>
    <row r="383" spans="1:8" x14ac:dyDescent="0.25">
      <c r="A383">
        <v>381</v>
      </c>
      <c r="B383">
        <v>999</v>
      </c>
      <c r="C383">
        <v>2</v>
      </c>
      <c r="D383">
        <v>6</v>
      </c>
      <c r="E383">
        <v>1</v>
      </c>
      <c r="F383" t="s">
        <v>3321</v>
      </c>
      <c r="G383" t="s">
        <v>7785</v>
      </c>
      <c r="H383" t="s">
        <v>7785</v>
      </c>
    </row>
    <row r="384" spans="1:8" x14ac:dyDescent="0.25">
      <c r="A384">
        <v>382</v>
      </c>
      <c r="B384">
        <v>999</v>
      </c>
      <c r="C384">
        <v>1</v>
      </c>
      <c r="D384">
        <v>10</v>
      </c>
      <c r="E384">
        <v>1</v>
      </c>
      <c r="F384" t="s">
        <v>3321</v>
      </c>
      <c r="G384" t="s">
        <v>7786</v>
      </c>
      <c r="H384" t="s">
        <v>7786</v>
      </c>
    </row>
    <row r="385" spans="1:8" x14ac:dyDescent="0.25">
      <c r="A385">
        <v>383</v>
      </c>
      <c r="B385">
        <v>999</v>
      </c>
      <c r="C385">
        <v>1</v>
      </c>
      <c r="D385">
        <v>10</v>
      </c>
      <c r="E385">
        <v>1</v>
      </c>
      <c r="F385" t="s">
        <v>3321</v>
      </c>
      <c r="G385" t="s">
        <v>7787</v>
      </c>
      <c r="H385" t="s">
        <v>7787</v>
      </c>
    </row>
    <row r="386" spans="1:8" x14ac:dyDescent="0.25">
      <c r="A386">
        <v>384</v>
      </c>
      <c r="B386">
        <v>255</v>
      </c>
      <c r="C386">
        <v>2</v>
      </c>
      <c r="D386">
        <v>6</v>
      </c>
      <c r="E386">
        <v>1</v>
      </c>
      <c r="G386" t="s">
        <v>7788</v>
      </c>
    </row>
    <row r="387" spans="1:8" x14ac:dyDescent="0.25">
      <c r="A387">
        <v>385</v>
      </c>
      <c r="B387">
        <v>999</v>
      </c>
      <c r="C387">
        <v>2</v>
      </c>
      <c r="D387">
        <v>6</v>
      </c>
      <c r="E387">
        <v>1</v>
      </c>
      <c r="F387" t="s">
        <v>3321</v>
      </c>
      <c r="G387" t="s">
        <v>7789</v>
      </c>
      <c r="H387" t="s">
        <v>7789</v>
      </c>
    </row>
    <row r="388" spans="1:8" x14ac:dyDescent="0.25">
      <c r="A388">
        <v>386</v>
      </c>
      <c r="B388">
        <v>999</v>
      </c>
      <c r="C388">
        <v>2</v>
      </c>
      <c r="D388">
        <v>6</v>
      </c>
      <c r="E388">
        <v>1</v>
      </c>
      <c r="F388" t="s">
        <v>3321</v>
      </c>
      <c r="G388" t="s">
        <v>7790</v>
      </c>
      <c r="H388" t="s">
        <v>7790</v>
      </c>
    </row>
    <row r="389" spans="1:8" x14ac:dyDescent="0.25">
      <c r="A389">
        <v>387</v>
      </c>
      <c r="B389">
        <v>999</v>
      </c>
      <c r="C389">
        <v>2</v>
      </c>
      <c r="D389">
        <v>7</v>
      </c>
      <c r="E389">
        <v>1</v>
      </c>
      <c r="F389" t="s">
        <v>3321</v>
      </c>
      <c r="G389" t="s">
        <v>7791</v>
      </c>
      <c r="H389" t="s">
        <v>7792</v>
      </c>
    </row>
    <row r="390" spans="1:8" x14ac:dyDescent="0.25">
      <c r="A390">
        <v>388</v>
      </c>
      <c r="B390">
        <v>999</v>
      </c>
      <c r="C390">
        <v>1</v>
      </c>
      <c r="D390">
        <v>10</v>
      </c>
      <c r="E390">
        <v>1</v>
      </c>
      <c r="F390" t="s">
        <v>3321</v>
      </c>
      <c r="G390" t="s">
        <v>7793</v>
      </c>
      <c r="H390" t="s">
        <v>7793</v>
      </c>
    </row>
    <row r="391" spans="1:8" x14ac:dyDescent="0.25">
      <c r="A391">
        <v>389</v>
      </c>
      <c r="B391">
        <v>999</v>
      </c>
      <c r="C391">
        <v>2</v>
      </c>
      <c r="D391">
        <v>6</v>
      </c>
      <c r="E391">
        <v>1</v>
      </c>
      <c r="G391" t="s">
        <v>7794</v>
      </c>
      <c r="H391" t="s">
        <v>7794</v>
      </c>
    </row>
    <row r="392" spans="1:8" x14ac:dyDescent="0.25">
      <c r="A392">
        <v>390</v>
      </c>
      <c r="B392">
        <v>110</v>
      </c>
      <c r="C392">
        <v>100</v>
      </c>
      <c r="D392">
        <v>5</v>
      </c>
      <c r="E392">
        <v>1</v>
      </c>
      <c r="G392" t="s">
        <v>7795</v>
      </c>
    </row>
    <row r="393" spans="1:8" x14ac:dyDescent="0.25">
      <c r="A393">
        <v>391</v>
      </c>
      <c r="B393">
        <v>115</v>
      </c>
      <c r="C393">
        <v>100</v>
      </c>
      <c r="D393">
        <v>5</v>
      </c>
      <c r="E393">
        <v>0</v>
      </c>
      <c r="F393" t="s">
        <v>7796</v>
      </c>
      <c r="G393" t="s">
        <v>7797</v>
      </c>
    </row>
    <row r="394" spans="1:8" x14ac:dyDescent="0.25">
      <c r="A394">
        <v>392</v>
      </c>
      <c r="B394">
        <v>100</v>
      </c>
      <c r="C394">
        <v>2</v>
      </c>
      <c r="D394">
        <v>7</v>
      </c>
      <c r="E394">
        <v>1</v>
      </c>
      <c r="G394" t="s">
        <v>7798</v>
      </c>
    </row>
    <row r="395" spans="1:8" x14ac:dyDescent="0.25">
      <c r="A395">
        <v>393</v>
      </c>
      <c r="B395">
        <v>999</v>
      </c>
      <c r="C395">
        <v>1</v>
      </c>
      <c r="D395">
        <v>10</v>
      </c>
      <c r="E395">
        <v>0</v>
      </c>
      <c r="F395" t="s">
        <v>7474</v>
      </c>
      <c r="G395" t="s">
        <v>7799</v>
      </c>
      <c r="H395" t="s">
        <v>7799</v>
      </c>
    </row>
    <row r="396" spans="1:8" x14ac:dyDescent="0.25">
      <c r="A396">
        <v>394</v>
      </c>
      <c r="B396">
        <v>999</v>
      </c>
      <c r="C396">
        <v>2</v>
      </c>
      <c r="D396">
        <v>7</v>
      </c>
      <c r="E396">
        <v>1</v>
      </c>
      <c r="G396" t="s">
        <v>7800</v>
      </c>
    </row>
    <row r="397" spans="1:8" x14ac:dyDescent="0.25">
      <c r="A397">
        <v>395</v>
      </c>
      <c r="B397">
        <v>999</v>
      </c>
      <c r="C397">
        <v>2</v>
      </c>
      <c r="D397">
        <v>6</v>
      </c>
      <c r="E397">
        <v>0</v>
      </c>
      <c r="F397" t="s">
        <v>7474</v>
      </c>
      <c r="G397" t="s">
        <v>1059</v>
      </c>
      <c r="H397" t="s">
        <v>1059</v>
      </c>
    </row>
    <row r="398" spans="1:8" x14ac:dyDescent="0.25">
      <c r="A398">
        <v>396</v>
      </c>
      <c r="B398">
        <v>999</v>
      </c>
      <c r="C398">
        <v>2</v>
      </c>
      <c r="D398">
        <v>6</v>
      </c>
      <c r="E398">
        <v>1</v>
      </c>
      <c r="F398" t="s">
        <v>3321</v>
      </c>
      <c r="G398" t="s">
        <v>7801</v>
      </c>
      <c r="H398" t="s">
        <v>7801</v>
      </c>
    </row>
    <row r="399" spans="1:8" x14ac:dyDescent="0.25">
      <c r="A399">
        <v>397</v>
      </c>
      <c r="B399">
        <v>999</v>
      </c>
      <c r="C399">
        <v>100</v>
      </c>
      <c r="D399">
        <v>9</v>
      </c>
      <c r="E399">
        <v>1</v>
      </c>
      <c r="G399" t="s">
        <v>7802</v>
      </c>
      <c r="H399" t="s">
        <v>7802</v>
      </c>
    </row>
    <row r="400" spans="1:8" x14ac:dyDescent="0.25">
      <c r="A400">
        <v>398</v>
      </c>
      <c r="B400">
        <v>999</v>
      </c>
      <c r="C400">
        <v>2</v>
      </c>
      <c r="D400">
        <v>6</v>
      </c>
      <c r="E400">
        <v>0</v>
      </c>
      <c r="F400" t="s">
        <v>7803</v>
      </c>
      <c r="G400" t="s">
        <v>1063</v>
      </c>
      <c r="H400" t="s">
        <v>1063</v>
      </c>
    </row>
    <row r="401" spans="1:8" x14ac:dyDescent="0.25">
      <c r="A401">
        <v>399</v>
      </c>
      <c r="B401">
        <v>999</v>
      </c>
      <c r="C401">
        <v>2</v>
      </c>
      <c r="D401">
        <v>6</v>
      </c>
      <c r="E401">
        <v>0</v>
      </c>
      <c r="F401" t="s">
        <v>7803</v>
      </c>
      <c r="G401" t="s">
        <v>1531</v>
      </c>
      <c r="H401" t="s">
        <v>1531</v>
      </c>
    </row>
    <row r="402" spans="1:8" x14ac:dyDescent="0.25">
      <c r="A402">
        <v>400</v>
      </c>
      <c r="B402">
        <v>999</v>
      </c>
      <c r="C402">
        <v>2</v>
      </c>
      <c r="D402">
        <v>6</v>
      </c>
      <c r="E402">
        <v>0</v>
      </c>
      <c r="F402" t="s">
        <v>7804</v>
      </c>
      <c r="G402" t="s">
        <v>572</v>
      </c>
      <c r="H402" t="s">
        <v>7805</v>
      </c>
    </row>
    <row r="403" spans="1:8" x14ac:dyDescent="0.25">
      <c r="A403">
        <v>401</v>
      </c>
      <c r="B403">
        <v>999</v>
      </c>
      <c r="C403">
        <v>2</v>
      </c>
      <c r="D403">
        <v>6</v>
      </c>
      <c r="E403">
        <v>1</v>
      </c>
      <c r="F403" t="s">
        <v>3321</v>
      </c>
      <c r="G403" t="s">
        <v>7806</v>
      </c>
      <c r="H403" t="s">
        <v>7806</v>
      </c>
    </row>
    <row r="404" spans="1:8" x14ac:dyDescent="0.25">
      <c r="A404">
        <v>402</v>
      </c>
      <c r="B404">
        <v>999</v>
      </c>
      <c r="C404">
        <v>2</v>
      </c>
      <c r="D404">
        <v>6</v>
      </c>
      <c r="E404">
        <v>0</v>
      </c>
      <c r="F404" t="s">
        <v>7807</v>
      </c>
      <c r="G404" t="s">
        <v>26</v>
      </c>
      <c r="H404" t="s">
        <v>26</v>
      </c>
    </row>
    <row r="405" spans="1:8" x14ac:dyDescent="0.25">
      <c r="A405">
        <v>403</v>
      </c>
      <c r="B405">
        <v>999</v>
      </c>
      <c r="C405">
        <v>2</v>
      </c>
      <c r="D405">
        <v>6</v>
      </c>
      <c r="E405">
        <v>0</v>
      </c>
      <c r="F405" t="s">
        <v>7808</v>
      </c>
      <c r="G405" t="s">
        <v>79</v>
      </c>
      <c r="H405" t="s">
        <v>79</v>
      </c>
    </row>
    <row r="406" spans="1:8" x14ac:dyDescent="0.25">
      <c r="A406">
        <v>404</v>
      </c>
      <c r="B406">
        <v>999</v>
      </c>
      <c r="C406">
        <v>2</v>
      </c>
      <c r="D406">
        <v>6</v>
      </c>
      <c r="E406">
        <v>0</v>
      </c>
      <c r="F406" t="s">
        <v>7474</v>
      </c>
      <c r="G406" t="s">
        <v>1124</v>
      </c>
      <c r="H406" t="s">
        <v>1124</v>
      </c>
    </row>
    <row r="407" spans="1:8" x14ac:dyDescent="0.25">
      <c r="A407">
        <v>405</v>
      </c>
      <c r="B407">
        <v>999</v>
      </c>
      <c r="C407">
        <v>2</v>
      </c>
      <c r="D407">
        <v>6</v>
      </c>
      <c r="E407">
        <v>0</v>
      </c>
      <c r="F407" t="s">
        <v>7809</v>
      </c>
      <c r="G407" t="s">
        <v>185</v>
      </c>
      <c r="H407" t="s">
        <v>185</v>
      </c>
    </row>
    <row r="408" spans="1:8" x14ac:dyDescent="0.25">
      <c r="A408">
        <v>406</v>
      </c>
      <c r="B408">
        <v>999</v>
      </c>
      <c r="C408">
        <v>2</v>
      </c>
      <c r="D408">
        <v>6</v>
      </c>
      <c r="E408">
        <v>0</v>
      </c>
      <c r="F408" t="s">
        <v>7474</v>
      </c>
      <c r="G408" t="s">
        <v>7810</v>
      </c>
      <c r="H408" t="s">
        <v>7810</v>
      </c>
    </row>
    <row r="409" spans="1:8" x14ac:dyDescent="0.25">
      <c r="A409">
        <v>407</v>
      </c>
      <c r="B409">
        <v>999</v>
      </c>
      <c r="C409">
        <v>2</v>
      </c>
      <c r="D409">
        <v>6</v>
      </c>
      <c r="E409">
        <v>0</v>
      </c>
      <c r="F409" t="s">
        <v>7474</v>
      </c>
      <c r="G409" t="s">
        <v>1626</v>
      </c>
      <c r="H409" t="s">
        <v>1626</v>
      </c>
    </row>
    <row r="410" spans="1:8" x14ac:dyDescent="0.25">
      <c r="A410">
        <v>408</v>
      </c>
      <c r="B410">
        <v>999</v>
      </c>
      <c r="C410">
        <v>2</v>
      </c>
      <c r="D410">
        <v>6</v>
      </c>
      <c r="E410">
        <v>0</v>
      </c>
      <c r="F410" t="s">
        <v>7809</v>
      </c>
      <c r="G410" t="s">
        <v>1126</v>
      </c>
      <c r="H410" t="s">
        <v>1126</v>
      </c>
    </row>
    <row r="411" spans="1:8" x14ac:dyDescent="0.25">
      <c r="A411">
        <v>409</v>
      </c>
      <c r="B411">
        <v>999</v>
      </c>
      <c r="C411">
        <v>2</v>
      </c>
      <c r="D411">
        <v>6</v>
      </c>
      <c r="E411">
        <v>0</v>
      </c>
      <c r="F411" t="s">
        <v>7809</v>
      </c>
      <c r="G411" t="s">
        <v>7811</v>
      </c>
      <c r="H411" t="s">
        <v>7811</v>
      </c>
    </row>
    <row r="412" spans="1:8" x14ac:dyDescent="0.25">
      <c r="A412">
        <v>410</v>
      </c>
      <c r="B412">
        <v>999</v>
      </c>
      <c r="C412">
        <v>2</v>
      </c>
      <c r="D412">
        <v>6</v>
      </c>
      <c r="E412">
        <v>0</v>
      </c>
      <c r="F412" t="s">
        <v>7474</v>
      </c>
      <c r="G412" t="s">
        <v>1133</v>
      </c>
      <c r="H412" t="s">
        <v>1133</v>
      </c>
    </row>
    <row r="413" spans="1:8" x14ac:dyDescent="0.25">
      <c r="A413">
        <v>411</v>
      </c>
      <c r="B413">
        <v>999</v>
      </c>
      <c r="C413">
        <v>2</v>
      </c>
      <c r="D413">
        <v>6</v>
      </c>
      <c r="E413">
        <v>0</v>
      </c>
      <c r="F413" t="s">
        <v>7809</v>
      </c>
      <c r="G413" t="s">
        <v>186</v>
      </c>
      <c r="H413" t="s">
        <v>186</v>
      </c>
    </row>
    <row r="414" spans="1:8" x14ac:dyDescent="0.25">
      <c r="A414">
        <v>412</v>
      </c>
      <c r="B414">
        <v>999</v>
      </c>
      <c r="C414">
        <v>2</v>
      </c>
      <c r="D414">
        <v>6</v>
      </c>
      <c r="E414">
        <v>0</v>
      </c>
      <c r="F414" t="s">
        <v>7812</v>
      </c>
      <c r="G414" t="s">
        <v>50</v>
      </c>
      <c r="H414" t="s">
        <v>50</v>
      </c>
    </row>
    <row r="415" spans="1:8" x14ac:dyDescent="0.25">
      <c r="A415">
        <v>413</v>
      </c>
      <c r="B415">
        <v>999</v>
      </c>
      <c r="C415">
        <v>2</v>
      </c>
      <c r="D415">
        <v>6</v>
      </c>
      <c r="E415">
        <v>0</v>
      </c>
      <c r="F415" t="s">
        <v>7809</v>
      </c>
      <c r="G415" t="s">
        <v>7813</v>
      </c>
      <c r="H415" t="s">
        <v>7813</v>
      </c>
    </row>
    <row r="416" spans="1:8" x14ac:dyDescent="0.25">
      <c r="A416">
        <v>414</v>
      </c>
      <c r="B416">
        <v>999</v>
      </c>
      <c r="C416">
        <v>2</v>
      </c>
      <c r="D416">
        <v>6</v>
      </c>
      <c r="E416">
        <v>0</v>
      </c>
      <c r="F416" t="s">
        <v>7804</v>
      </c>
      <c r="G416" t="s">
        <v>41</v>
      </c>
      <c r="H416" t="s">
        <v>41</v>
      </c>
    </row>
    <row r="417" spans="1:8" x14ac:dyDescent="0.25">
      <c r="A417">
        <v>415</v>
      </c>
      <c r="B417">
        <v>999</v>
      </c>
      <c r="C417">
        <v>2</v>
      </c>
      <c r="D417">
        <v>6</v>
      </c>
      <c r="E417">
        <v>0</v>
      </c>
      <c r="F417" t="s">
        <v>7804</v>
      </c>
      <c r="G417" t="s">
        <v>1543</v>
      </c>
      <c r="H417" t="s">
        <v>1543</v>
      </c>
    </row>
    <row r="418" spans="1:8" x14ac:dyDescent="0.25">
      <c r="A418">
        <v>416</v>
      </c>
      <c r="B418">
        <v>999</v>
      </c>
      <c r="C418">
        <v>2</v>
      </c>
      <c r="D418">
        <v>6</v>
      </c>
      <c r="E418">
        <v>0</v>
      </c>
      <c r="F418" t="s">
        <v>7809</v>
      </c>
      <c r="G418" t="s">
        <v>7814</v>
      </c>
      <c r="H418" t="s">
        <v>7814</v>
      </c>
    </row>
    <row r="419" spans="1:8" x14ac:dyDescent="0.25">
      <c r="A419">
        <v>417</v>
      </c>
      <c r="B419">
        <v>999</v>
      </c>
      <c r="C419">
        <v>3</v>
      </c>
      <c r="D419">
        <v>6</v>
      </c>
      <c r="E419">
        <v>1</v>
      </c>
      <c r="F419" t="s">
        <v>7815</v>
      </c>
      <c r="G419" t="s">
        <v>7816</v>
      </c>
      <c r="H419" t="s">
        <v>7816</v>
      </c>
    </row>
    <row r="420" spans="1:8" x14ac:dyDescent="0.25">
      <c r="A420">
        <v>418</v>
      </c>
      <c r="B420">
        <v>999</v>
      </c>
      <c r="C420">
        <v>2</v>
      </c>
      <c r="D420">
        <v>6</v>
      </c>
      <c r="E420">
        <v>0</v>
      </c>
      <c r="F420" t="s">
        <v>7809</v>
      </c>
      <c r="G420" t="s">
        <v>7817</v>
      </c>
      <c r="H420" t="s">
        <v>7817</v>
      </c>
    </row>
    <row r="421" spans="1:8" x14ac:dyDescent="0.25">
      <c r="A421">
        <v>419</v>
      </c>
      <c r="B421">
        <v>999</v>
      </c>
      <c r="C421">
        <v>2</v>
      </c>
      <c r="D421">
        <v>6</v>
      </c>
      <c r="E421">
        <v>0</v>
      </c>
      <c r="F421" t="s">
        <v>7809</v>
      </c>
      <c r="G421" t="s">
        <v>954</v>
      </c>
      <c r="H421" t="s">
        <v>954</v>
      </c>
    </row>
    <row r="422" spans="1:8" x14ac:dyDescent="0.25">
      <c r="A422">
        <v>420</v>
      </c>
      <c r="B422">
        <v>999</v>
      </c>
      <c r="C422">
        <v>2</v>
      </c>
      <c r="D422">
        <v>6</v>
      </c>
      <c r="E422">
        <v>0</v>
      </c>
      <c r="F422" t="s">
        <v>7809</v>
      </c>
      <c r="G422" t="s">
        <v>3322</v>
      </c>
      <c r="H422" t="s">
        <v>7818</v>
      </c>
    </row>
    <row r="423" spans="1:8" x14ac:dyDescent="0.25">
      <c r="A423">
        <v>421</v>
      </c>
      <c r="B423">
        <v>999</v>
      </c>
      <c r="C423">
        <v>2</v>
      </c>
      <c r="D423">
        <v>7</v>
      </c>
      <c r="E423">
        <v>1</v>
      </c>
      <c r="F423" t="s">
        <v>7819</v>
      </c>
      <c r="G423" t="s">
        <v>7820</v>
      </c>
      <c r="H423" t="s">
        <v>7820</v>
      </c>
    </row>
    <row r="424" spans="1:8" x14ac:dyDescent="0.25">
      <c r="A424">
        <v>422</v>
      </c>
      <c r="B424">
        <v>999</v>
      </c>
      <c r="C424">
        <v>2</v>
      </c>
      <c r="D424">
        <v>6</v>
      </c>
      <c r="E424">
        <v>0</v>
      </c>
      <c r="F424" t="s">
        <v>7809</v>
      </c>
      <c r="G424" t="s">
        <v>1792</v>
      </c>
      <c r="H424" t="s">
        <v>1792</v>
      </c>
    </row>
    <row r="425" spans="1:8" x14ac:dyDescent="0.25">
      <c r="A425">
        <v>423</v>
      </c>
      <c r="B425">
        <v>999</v>
      </c>
      <c r="C425">
        <v>2</v>
      </c>
      <c r="D425">
        <v>6</v>
      </c>
      <c r="E425">
        <v>0</v>
      </c>
      <c r="F425" t="s">
        <v>7809</v>
      </c>
      <c r="G425" t="s">
        <v>1281</v>
      </c>
      <c r="H425" t="s">
        <v>1281</v>
      </c>
    </row>
    <row r="426" spans="1:8" x14ac:dyDescent="0.25">
      <c r="A426">
        <v>424</v>
      </c>
      <c r="B426">
        <v>999</v>
      </c>
      <c r="C426">
        <v>2</v>
      </c>
      <c r="D426">
        <v>7</v>
      </c>
      <c r="E426">
        <v>0</v>
      </c>
      <c r="F426" t="s">
        <v>7821</v>
      </c>
      <c r="G426" t="s">
        <v>269</v>
      </c>
      <c r="H426" t="s">
        <v>269</v>
      </c>
    </row>
    <row r="427" spans="1:8" x14ac:dyDescent="0.25">
      <c r="A427">
        <v>425</v>
      </c>
      <c r="B427">
        <v>999</v>
      </c>
      <c r="C427">
        <v>2</v>
      </c>
      <c r="D427">
        <v>6</v>
      </c>
      <c r="E427">
        <v>0</v>
      </c>
      <c r="F427" t="s">
        <v>7809</v>
      </c>
      <c r="G427" t="s">
        <v>7822</v>
      </c>
      <c r="H427" t="s">
        <v>7822</v>
      </c>
    </row>
    <row r="428" spans="1:8" x14ac:dyDescent="0.25">
      <c r="A428">
        <v>426</v>
      </c>
      <c r="B428">
        <v>999</v>
      </c>
      <c r="C428">
        <v>2</v>
      </c>
      <c r="D428">
        <v>3</v>
      </c>
      <c r="E428">
        <v>1</v>
      </c>
      <c r="G428" t="s">
        <v>7823</v>
      </c>
    </row>
    <row r="429" spans="1:8" x14ac:dyDescent="0.25">
      <c r="A429">
        <v>427</v>
      </c>
      <c r="B429">
        <v>999</v>
      </c>
      <c r="C429">
        <v>2</v>
      </c>
      <c r="D429">
        <v>6</v>
      </c>
      <c r="E429">
        <v>0</v>
      </c>
      <c r="F429" t="s">
        <v>7809</v>
      </c>
      <c r="G429" t="s">
        <v>328</v>
      </c>
      <c r="H429" t="s">
        <v>328</v>
      </c>
    </row>
    <row r="430" spans="1:8" x14ac:dyDescent="0.25">
      <c r="A430">
        <v>428</v>
      </c>
      <c r="B430">
        <v>999</v>
      </c>
      <c r="C430">
        <v>2</v>
      </c>
      <c r="D430">
        <v>6</v>
      </c>
      <c r="E430">
        <v>0</v>
      </c>
      <c r="F430" t="s">
        <v>7803</v>
      </c>
      <c r="G430" t="s">
        <v>331</v>
      </c>
      <c r="H430" t="s">
        <v>331</v>
      </c>
    </row>
    <row r="431" spans="1:8" x14ac:dyDescent="0.25">
      <c r="A431">
        <v>429</v>
      </c>
      <c r="B431">
        <v>999</v>
      </c>
      <c r="C431">
        <v>2</v>
      </c>
      <c r="D431">
        <v>6</v>
      </c>
      <c r="E431">
        <v>0</v>
      </c>
      <c r="F431" t="s">
        <v>7809</v>
      </c>
      <c r="G431" t="s">
        <v>7824</v>
      </c>
      <c r="H431" t="s">
        <v>7824</v>
      </c>
    </row>
    <row r="432" spans="1:8" x14ac:dyDescent="0.25">
      <c r="A432">
        <v>430</v>
      </c>
      <c r="B432">
        <v>999</v>
      </c>
      <c r="C432">
        <v>2</v>
      </c>
      <c r="D432">
        <v>6</v>
      </c>
      <c r="E432">
        <v>0</v>
      </c>
      <c r="F432" t="s">
        <v>7809</v>
      </c>
      <c r="G432" t="s">
        <v>7825</v>
      </c>
      <c r="H432" t="s">
        <v>7825</v>
      </c>
    </row>
    <row r="433" spans="1:8" x14ac:dyDescent="0.25">
      <c r="A433">
        <v>431</v>
      </c>
      <c r="B433">
        <v>999</v>
      </c>
      <c r="C433">
        <v>2</v>
      </c>
      <c r="D433">
        <v>6</v>
      </c>
      <c r="E433">
        <v>0</v>
      </c>
      <c r="F433" t="s">
        <v>7803</v>
      </c>
      <c r="G433" t="s">
        <v>358</v>
      </c>
      <c r="H433" t="s">
        <v>358</v>
      </c>
    </row>
    <row r="434" spans="1:8" x14ac:dyDescent="0.25">
      <c r="A434">
        <v>432</v>
      </c>
      <c r="B434">
        <v>999</v>
      </c>
      <c r="C434">
        <v>2</v>
      </c>
      <c r="D434">
        <v>6</v>
      </c>
      <c r="E434">
        <v>0</v>
      </c>
      <c r="F434" t="s">
        <v>7809</v>
      </c>
      <c r="G434" t="s">
        <v>1167</v>
      </c>
      <c r="H434" t="s">
        <v>1167</v>
      </c>
    </row>
    <row r="435" spans="1:8" x14ac:dyDescent="0.25">
      <c r="A435">
        <v>433</v>
      </c>
      <c r="B435">
        <v>999</v>
      </c>
      <c r="C435">
        <v>2</v>
      </c>
      <c r="D435">
        <v>7</v>
      </c>
      <c r="E435">
        <v>1</v>
      </c>
      <c r="G435" t="s">
        <v>7826</v>
      </c>
    </row>
    <row r="436" spans="1:8" x14ac:dyDescent="0.25">
      <c r="A436">
        <v>434</v>
      </c>
      <c r="B436">
        <v>999</v>
      </c>
      <c r="C436">
        <v>2</v>
      </c>
      <c r="D436">
        <v>6</v>
      </c>
      <c r="E436">
        <v>0</v>
      </c>
      <c r="F436" t="s">
        <v>7809</v>
      </c>
      <c r="G436" t="s">
        <v>1783</v>
      </c>
      <c r="H436" t="s">
        <v>1783</v>
      </c>
    </row>
    <row r="437" spans="1:8" x14ac:dyDescent="0.25">
      <c r="A437">
        <v>435</v>
      </c>
      <c r="B437">
        <v>999</v>
      </c>
      <c r="C437">
        <v>2</v>
      </c>
      <c r="D437">
        <v>6</v>
      </c>
      <c r="E437">
        <v>0</v>
      </c>
      <c r="F437" t="s">
        <v>7827</v>
      </c>
      <c r="G437" t="s">
        <v>377</v>
      </c>
      <c r="H437" t="s">
        <v>377</v>
      </c>
    </row>
    <row r="438" spans="1:8" x14ac:dyDescent="0.25">
      <c r="A438">
        <v>436</v>
      </c>
      <c r="B438">
        <v>999</v>
      </c>
      <c r="C438">
        <v>2</v>
      </c>
      <c r="D438">
        <v>6</v>
      </c>
      <c r="E438">
        <v>0</v>
      </c>
      <c r="F438" t="s">
        <v>7809</v>
      </c>
      <c r="G438" t="s">
        <v>7828</v>
      </c>
      <c r="H438" t="s">
        <v>7828</v>
      </c>
    </row>
    <row r="439" spans="1:8" x14ac:dyDescent="0.25">
      <c r="A439">
        <v>437</v>
      </c>
      <c r="B439">
        <v>999</v>
      </c>
      <c r="C439">
        <v>2</v>
      </c>
      <c r="D439">
        <v>6</v>
      </c>
      <c r="E439">
        <v>0</v>
      </c>
      <c r="F439" t="s">
        <v>7829</v>
      </c>
      <c r="G439" t="s">
        <v>1170</v>
      </c>
      <c r="H439" t="s">
        <v>1170</v>
      </c>
    </row>
    <row r="440" spans="1:8" x14ac:dyDescent="0.25">
      <c r="A440">
        <v>438</v>
      </c>
      <c r="B440">
        <v>999</v>
      </c>
      <c r="C440">
        <v>2</v>
      </c>
      <c r="D440">
        <v>6</v>
      </c>
      <c r="E440">
        <v>0</v>
      </c>
      <c r="F440" t="s">
        <v>7474</v>
      </c>
      <c r="G440" t="s">
        <v>1175</v>
      </c>
      <c r="H440" t="s">
        <v>1175</v>
      </c>
    </row>
    <row r="441" spans="1:8" x14ac:dyDescent="0.25">
      <c r="A441">
        <v>439</v>
      </c>
      <c r="B441">
        <v>999</v>
      </c>
      <c r="C441">
        <v>2</v>
      </c>
      <c r="D441">
        <v>6</v>
      </c>
      <c r="E441">
        <v>0</v>
      </c>
      <c r="F441" t="s">
        <v>7474</v>
      </c>
      <c r="G441" t="s">
        <v>1177</v>
      </c>
      <c r="H441" t="s">
        <v>7830</v>
      </c>
    </row>
    <row r="442" spans="1:8" x14ac:dyDescent="0.25">
      <c r="A442">
        <v>440</v>
      </c>
      <c r="B442">
        <v>999</v>
      </c>
      <c r="C442">
        <v>2</v>
      </c>
      <c r="D442">
        <v>6</v>
      </c>
      <c r="E442">
        <v>0</v>
      </c>
      <c r="F442" t="s">
        <v>7804</v>
      </c>
      <c r="G442" t="s">
        <v>1551</v>
      </c>
      <c r="H442" t="s">
        <v>1551</v>
      </c>
    </row>
    <row r="443" spans="1:8" x14ac:dyDescent="0.25">
      <c r="A443">
        <v>441</v>
      </c>
      <c r="B443">
        <v>999</v>
      </c>
      <c r="C443">
        <v>2</v>
      </c>
      <c r="D443">
        <v>6</v>
      </c>
      <c r="E443">
        <v>0</v>
      </c>
      <c r="F443" t="s">
        <v>7809</v>
      </c>
      <c r="G443" t="s">
        <v>389</v>
      </c>
      <c r="H443" t="s">
        <v>389</v>
      </c>
    </row>
    <row r="444" spans="1:8" x14ac:dyDescent="0.25">
      <c r="A444">
        <v>442</v>
      </c>
      <c r="B444">
        <v>999</v>
      </c>
      <c r="C444">
        <v>2</v>
      </c>
      <c r="D444">
        <v>6</v>
      </c>
      <c r="E444">
        <v>0</v>
      </c>
      <c r="F444" t="s">
        <v>7831</v>
      </c>
      <c r="G444" t="s">
        <v>1179</v>
      </c>
      <c r="H444" t="s">
        <v>1179</v>
      </c>
    </row>
    <row r="445" spans="1:8" x14ac:dyDescent="0.25">
      <c r="A445">
        <v>443</v>
      </c>
      <c r="B445">
        <v>999</v>
      </c>
      <c r="C445">
        <v>2</v>
      </c>
      <c r="D445">
        <v>6</v>
      </c>
      <c r="E445">
        <v>0</v>
      </c>
      <c r="F445" t="s">
        <v>7809</v>
      </c>
      <c r="G445" t="s">
        <v>1804</v>
      </c>
      <c r="H445" t="s">
        <v>1804</v>
      </c>
    </row>
    <row r="446" spans="1:8" x14ac:dyDescent="0.25">
      <c r="A446">
        <v>444</v>
      </c>
      <c r="B446">
        <v>999</v>
      </c>
      <c r="C446">
        <v>3</v>
      </c>
      <c r="D446">
        <v>6</v>
      </c>
      <c r="E446">
        <v>0</v>
      </c>
      <c r="F446" t="s">
        <v>7832</v>
      </c>
      <c r="G446" t="s">
        <v>7833</v>
      </c>
      <c r="H446" t="s">
        <v>7834</v>
      </c>
    </row>
    <row r="447" spans="1:8" x14ac:dyDescent="0.25">
      <c r="A447">
        <v>445</v>
      </c>
      <c r="B447">
        <v>999</v>
      </c>
      <c r="C447">
        <v>2</v>
      </c>
      <c r="D447">
        <v>7</v>
      </c>
      <c r="E447">
        <v>1</v>
      </c>
      <c r="G447" t="s">
        <v>7835</v>
      </c>
      <c r="H447" t="s">
        <v>7835</v>
      </c>
    </row>
    <row r="448" spans="1:8" x14ac:dyDescent="0.25">
      <c r="A448">
        <v>446</v>
      </c>
      <c r="B448">
        <v>999</v>
      </c>
      <c r="C448">
        <v>2</v>
      </c>
      <c r="D448">
        <v>7</v>
      </c>
      <c r="E448">
        <v>1</v>
      </c>
      <c r="G448" t="s">
        <v>7836</v>
      </c>
      <c r="H448" t="s">
        <v>7836</v>
      </c>
    </row>
    <row r="449" spans="1:8" x14ac:dyDescent="0.25">
      <c r="A449">
        <v>447</v>
      </c>
      <c r="B449">
        <v>999</v>
      </c>
      <c r="C449">
        <v>2</v>
      </c>
      <c r="D449">
        <v>3</v>
      </c>
      <c r="E449">
        <v>1</v>
      </c>
      <c r="G449" t="s">
        <v>7837</v>
      </c>
    </row>
    <row r="450" spans="1:8" x14ac:dyDescent="0.25">
      <c r="A450">
        <v>448</v>
      </c>
      <c r="B450">
        <v>999</v>
      </c>
      <c r="C450">
        <v>2</v>
      </c>
      <c r="D450">
        <v>7</v>
      </c>
      <c r="E450">
        <v>1</v>
      </c>
      <c r="G450" t="s">
        <v>7838</v>
      </c>
      <c r="H450" t="s">
        <v>7838</v>
      </c>
    </row>
    <row r="451" spans="1:8" x14ac:dyDescent="0.25">
      <c r="A451">
        <v>449</v>
      </c>
      <c r="B451">
        <v>999</v>
      </c>
      <c r="C451">
        <v>100</v>
      </c>
      <c r="D451">
        <v>5</v>
      </c>
      <c r="E451">
        <v>1</v>
      </c>
      <c r="F451" t="s">
        <v>7413</v>
      </c>
      <c r="G451" t="s">
        <v>7839</v>
      </c>
      <c r="H451" t="s">
        <v>7839</v>
      </c>
    </row>
    <row r="452" spans="1:8" x14ac:dyDescent="0.25">
      <c r="A452">
        <v>450</v>
      </c>
      <c r="B452">
        <v>999</v>
      </c>
      <c r="C452">
        <v>100</v>
      </c>
      <c r="D452">
        <v>10</v>
      </c>
      <c r="E452">
        <v>0</v>
      </c>
      <c r="F452" t="s">
        <v>7445</v>
      </c>
      <c r="G452" t="s">
        <v>7840</v>
      </c>
      <c r="H452" t="s">
        <v>7840</v>
      </c>
    </row>
    <row r="453" spans="1:8" x14ac:dyDescent="0.25">
      <c r="A453">
        <v>451</v>
      </c>
      <c r="B453">
        <v>999</v>
      </c>
      <c r="C453">
        <v>2</v>
      </c>
      <c r="D453">
        <v>3</v>
      </c>
      <c r="E453">
        <v>1</v>
      </c>
      <c r="G453" t="s">
        <v>7841</v>
      </c>
      <c r="H453" t="s">
        <v>7841</v>
      </c>
    </row>
    <row r="454" spans="1:8" x14ac:dyDescent="0.25">
      <c r="A454">
        <v>452</v>
      </c>
      <c r="B454">
        <v>999</v>
      </c>
      <c r="C454">
        <v>2</v>
      </c>
      <c r="D454">
        <v>6</v>
      </c>
      <c r="E454">
        <v>0</v>
      </c>
      <c r="F454" t="s">
        <v>7474</v>
      </c>
      <c r="G454" t="s">
        <v>598</v>
      </c>
      <c r="H454" t="s">
        <v>598</v>
      </c>
    </row>
    <row r="455" spans="1:8" x14ac:dyDescent="0.25">
      <c r="A455">
        <v>453</v>
      </c>
      <c r="B455">
        <v>999</v>
      </c>
      <c r="C455">
        <v>2</v>
      </c>
      <c r="D455">
        <v>7</v>
      </c>
      <c r="E455">
        <v>1</v>
      </c>
      <c r="G455" t="s">
        <v>7842</v>
      </c>
      <c r="H455" t="s">
        <v>7842</v>
      </c>
    </row>
    <row r="456" spans="1:8" x14ac:dyDescent="0.25">
      <c r="A456">
        <v>454</v>
      </c>
      <c r="B456">
        <v>999</v>
      </c>
      <c r="C456">
        <v>2</v>
      </c>
      <c r="D456">
        <v>3</v>
      </c>
      <c r="E456">
        <v>1</v>
      </c>
      <c r="G456" t="s">
        <v>7843</v>
      </c>
      <c r="H456" t="s">
        <v>7844</v>
      </c>
    </row>
    <row r="457" spans="1:8" x14ac:dyDescent="0.25">
      <c r="A457">
        <v>455</v>
      </c>
      <c r="B457">
        <v>999</v>
      </c>
      <c r="C457">
        <v>2</v>
      </c>
      <c r="D457">
        <v>3</v>
      </c>
      <c r="E457">
        <v>1</v>
      </c>
      <c r="G457" t="s">
        <v>7845</v>
      </c>
      <c r="H457" t="s">
        <v>7845</v>
      </c>
    </row>
    <row r="458" spans="1:8" x14ac:dyDescent="0.25">
      <c r="A458">
        <v>456</v>
      </c>
      <c r="B458">
        <v>999</v>
      </c>
      <c r="C458">
        <v>100</v>
      </c>
      <c r="D458">
        <v>5</v>
      </c>
      <c r="E458">
        <v>1</v>
      </c>
      <c r="G458" t="s">
        <v>7846</v>
      </c>
      <c r="H458" t="s">
        <v>7847</v>
      </c>
    </row>
    <row r="459" spans="1:8" x14ac:dyDescent="0.25">
      <c r="A459">
        <v>457</v>
      </c>
      <c r="B459">
        <v>999</v>
      </c>
      <c r="C459">
        <v>2</v>
      </c>
      <c r="D459">
        <v>6</v>
      </c>
      <c r="E459">
        <v>0</v>
      </c>
      <c r="F459" t="s">
        <v>7809</v>
      </c>
      <c r="G459" t="s">
        <v>1638</v>
      </c>
      <c r="H459" t="s">
        <v>1638</v>
      </c>
    </row>
    <row r="460" spans="1:8" x14ac:dyDescent="0.25">
      <c r="A460">
        <v>458</v>
      </c>
      <c r="B460">
        <v>999</v>
      </c>
      <c r="C460">
        <v>100</v>
      </c>
      <c r="D460">
        <v>7</v>
      </c>
      <c r="E460">
        <v>1</v>
      </c>
      <c r="G460" t="s">
        <v>7848</v>
      </c>
      <c r="H460" t="s">
        <v>7848</v>
      </c>
    </row>
    <row r="461" spans="1:8" x14ac:dyDescent="0.25">
      <c r="A461">
        <v>459</v>
      </c>
      <c r="B461">
        <v>999</v>
      </c>
      <c r="C461">
        <v>2</v>
      </c>
      <c r="D461">
        <v>4</v>
      </c>
      <c r="E461">
        <v>1</v>
      </c>
      <c r="G461" t="s">
        <v>7849</v>
      </c>
      <c r="H461" t="s">
        <v>7849</v>
      </c>
    </row>
    <row r="462" spans="1:8" x14ac:dyDescent="0.25">
      <c r="A462">
        <v>460</v>
      </c>
      <c r="B462">
        <v>999</v>
      </c>
      <c r="C462">
        <v>2</v>
      </c>
      <c r="D462">
        <v>4</v>
      </c>
      <c r="E462">
        <v>1</v>
      </c>
      <c r="G462" t="s">
        <v>7850</v>
      </c>
      <c r="H462" t="s">
        <v>7850</v>
      </c>
    </row>
    <row r="463" spans="1:8" x14ac:dyDescent="0.25">
      <c r="A463">
        <v>461</v>
      </c>
      <c r="B463">
        <v>999</v>
      </c>
      <c r="C463">
        <v>2</v>
      </c>
      <c r="D463">
        <v>7</v>
      </c>
      <c r="E463">
        <v>1</v>
      </c>
      <c r="G463" t="s">
        <v>7851</v>
      </c>
      <c r="H463" t="s">
        <v>7851</v>
      </c>
    </row>
    <row r="464" spans="1:8" x14ac:dyDescent="0.25">
      <c r="A464">
        <v>462</v>
      </c>
      <c r="B464">
        <v>999</v>
      </c>
      <c r="C464">
        <v>2</v>
      </c>
      <c r="D464">
        <v>8</v>
      </c>
      <c r="E464">
        <v>1</v>
      </c>
      <c r="G464" t="s">
        <v>7852</v>
      </c>
      <c r="H464" t="s">
        <v>7852</v>
      </c>
    </row>
    <row r="465" spans="1:8" x14ac:dyDescent="0.25">
      <c r="A465">
        <v>463</v>
      </c>
      <c r="B465">
        <v>999</v>
      </c>
      <c r="C465">
        <v>2</v>
      </c>
      <c r="D465">
        <v>8</v>
      </c>
      <c r="E465">
        <v>1</v>
      </c>
      <c r="G465" t="s">
        <v>7853</v>
      </c>
      <c r="H465" t="s">
        <v>7853</v>
      </c>
    </row>
    <row r="466" spans="1:8" x14ac:dyDescent="0.25">
      <c r="A466">
        <v>464</v>
      </c>
      <c r="B466">
        <v>228</v>
      </c>
      <c r="C466">
        <v>1</v>
      </c>
      <c r="D466">
        <v>10</v>
      </c>
      <c r="E466">
        <v>1</v>
      </c>
      <c r="G466" t="s">
        <v>7854</v>
      </c>
      <c r="H466" t="s">
        <v>7854</v>
      </c>
    </row>
    <row r="467" spans="1:8" x14ac:dyDescent="0.25">
      <c r="A467">
        <v>465</v>
      </c>
      <c r="B467">
        <v>255</v>
      </c>
      <c r="C467">
        <v>2</v>
      </c>
      <c r="D467">
        <v>4</v>
      </c>
      <c r="E467">
        <v>1</v>
      </c>
      <c r="G467" t="s">
        <v>7855</v>
      </c>
      <c r="H467" t="s">
        <v>7855</v>
      </c>
    </row>
    <row r="468" spans="1:8" x14ac:dyDescent="0.25">
      <c r="A468">
        <v>466</v>
      </c>
      <c r="B468">
        <v>115</v>
      </c>
      <c r="C468">
        <v>100</v>
      </c>
      <c r="D468">
        <v>5</v>
      </c>
      <c r="E468">
        <v>0</v>
      </c>
      <c r="F468" t="s">
        <v>7445</v>
      </c>
      <c r="G468" t="s">
        <v>7856</v>
      </c>
      <c r="H468" t="s">
        <v>7856</v>
      </c>
    </row>
    <row r="469" spans="1:8" x14ac:dyDescent="0.25">
      <c r="A469">
        <v>467</v>
      </c>
      <c r="B469">
        <v>999</v>
      </c>
      <c r="C469">
        <v>2</v>
      </c>
      <c r="D469">
        <v>6</v>
      </c>
      <c r="E469">
        <v>0</v>
      </c>
      <c r="F469" t="s">
        <v>7809</v>
      </c>
      <c r="G469" t="s">
        <v>3320</v>
      </c>
      <c r="H469" t="s">
        <v>3320</v>
      </c>
    </row>
    <row r="470" spans="1:8" x14ac:dyDescent="0.25">
      <c r="A470">
        <v>468</v>
      </c>
      <c r="B470">
        <v>999</v>
      </c>
      <c r="C470">
        <v>2</v>
      </c>
      <c r="D470">
        <v>6</v>
      </c>
      <c r="E470">
        <v>0</v>
      </c>
      <c r="F470" t="s">
        <v>7474</v>
      </c>
      <c r="G470" t="s">
        <v>7857</v>
      </c>
      <c r="H470" t="s">
        <v>7857</v>
      </c>
    </row>
    <row r="471" spans="1:8" x14ac:dyDescent="0.25">
      <c r="A471">
        <v>469</v>
      </c>
      <c r="B471">
        <v>999</v>
      </c>
      <c r="C471">
        <v>2</v>
      </c>
      <c r="D471">
        <v>6</v>
      </c>
      <c r="E471">
        <v>0</v>
      </c>
      <c r="F471" t="s">
        <v>7809</v>
      </c>
      <c r="G471" t="s">
        <v>790</v>
      </c>
      <c r="H471" t="s">
        <v>790</v>
      </c>
    </row>
    <row r="472" spans="1:8" x14ac:dyDescent="0.25">
      <c r="A472">
        <v>470</v>
      </c>
      <c r="B472">
        <v>999</v>
      </c>
      <c r="C472">
        <v>2</v>
      </c>
      <c r="D472">
        <v>6</v>
      </c>
      <c r="E472">
        <v>0</v>
      </c>
      <c r="F472" t="s">
        <v>7804</v>
      </c>
      <c r="G472" t="s">
        <v>7858</v>
      </c>
      <c r="H472" t="s">
        <v>7858</v>
      </c>
    </row>
    <row r="473" spans="1:8" x14ac:dyDescent="0.25">
      <c r="A473">
        <v>471</v>
      </c>
      <c r="B473">
        <v>999</v>
      </c>
      <c r="C473">
        <v>2</v>
      </c>
      <c r="D473">
        <v>6</v>
      </c>
      <c r="E473">
        <v>0</v>
      </c>
      <c r="F473" t="s">
        <v>7474</v>
      </c>
      <c r="G473" t="s">
        <v>960</v>
      </c>
      <c r="H473" t="s">
        <v>960</v>
      </c>
    </row>
    <row r="474" spans="1:8" x14ac:dyDescent="0.25">
      <c r="A474">
        <v>472</v>
      </c>
      <c r="B474">
        <v>999</v>
      </c>
      <c r="C474">
        <v>2</v>
      </c>
      <c r="D474">
        <v>6</v>
      </c>
      <c r="E474">
        <v>0</v>
      </c>
      <c r="F474" t="s">
        <v>7474</v>
      </c>
      <c r="G474" t="s">
        <v>7859</v>
      </c>
      <c r="H474" t="s">
        <v>7859</v>
      </c>
    </row>
    <row r="475" spans="1:8" x14ac:dyDescent="0.25">
      <c r="A475">
        <v>473</v>
      </c>
      <c r="B475">
        <v>999</v>
      </c>
      <c r="C475">
        <v>2</v>
      </c>
      <c r="D475">
        <v>6</v>
      </c>
      <c r="E475">
        <v>0</v>
      </c>
      <c r="F475" t="s">
        <v>7809</v>
      </c>
      <c r="G475" t="s">
        <v>7860</v>
      </c>
      <c r="H475" t="s">
        <v>7860</v>
      </c>
    </row>
    <row r="476" spans="1:8" x14ac:dyDescent="0.25">
      <c r="A476">
        <v>474</v>
      </c>
      <c r="B476">
        <v>999</v>
      </c>
      <c r="C476">
        <v>2</v>
      </c>
      <c r="D476">
        <v>7</v>
      </c>
      <c r="E476">
        <v>1</v>
      </c>
      <c r="G476" t="s">
        <v>7861</v>
      </c>
    </row>
    <row r="477" spans="1:8" x14ac:dyDescent="0.25">
      <c r="A477">
        <v>475</v>
      </c>
      <c r="B477">
        <v>999</v>
      </c>
      <c r="C477">
        <v>2</v>
      </c>
      <c r="D477">
        <v>6</v>
      </c>
      <c r="E477">
        <v>0</v>
      </c>
      <c r="F477" t="s">
        <v>7474</v>
      </c>
      <c r="G477" t="s">
        <v>1649</v>
      </c>
      <c r="H477" t="s">
        <v>1649</v>
      </c>
    </row>
    <row r="478" spans="1:8" x14ac:dyDescent="0.25">
      <c r="A478">
        <v>476</v>
      </c>
      <c r="B478">
        <v>999</v>
      </c>
      <c r="C478">
        <v>2</v>
      </c>
      <c r="D478">
        <v>6</v>
      </c>
      <c r="E478">
        <v>0</v>
      </c>
      <c r="F478" t="s">
        <v>7809</v>
      </c>
      <c r="G478" t="s">
        <v>603</v>
      </c>
      <c r="H478" t="s">
        <v>603</v>
      </c>
    </row>
    <row r="479" spans="1:8" x14ac:dyDescent="0.25">
      <c r="A479">
        <v>477</v>
      </c>
      <c r="B479">
        <v>999</v>
      </c>
      <c r="C479">
        <v>2</v>
      </c>
      <c r="D479">
        <v>6</v>
      </c>
      <c r="E479">
        <v>0</v>
      </c>
      <c r="F479" t="s">
        <v>7809</v>
      </c>
      <c r="G479" t="s">
        <v>7862</v>
      </c>
      <c r="H479" t="s">
        <v>7862</v>
      </c>
    </row>
    <row r="480" spans="1:8" x14ac:dyDescent="0.25">
      <c r="A480">
        <v>478</v>
      </c>
      <c r="B480">
        <v>999</v>
      </c>
      <c r="C480">
        <v>2</v>
      </c>
      <c r="D480">
        <v>7</v>
      </c>
      <c r="E480">
        <v>1</v>
      </c>
      <c r="F480" t="s">
        <v>7863</v>
      </c>
      <c r="G480" t="s">
        <v>7864</v>
      </c>
    </row>
    <row r="481" spans="1:8" x14ac:dyDescent="0.25">
      <c r="A481">
        <v>479</v>
      </c>
      <c r="B481">
        <v>255</v>
      </c>
      <c r="C481">
        <v>100</v>
      </c>
      <c r="D481">
        <v>5</v>
      </c>
      <c r="E481">
        <v>1</v>
      </c>
      <c r="F481" t="s">
        <v>7865</v>
      </c>
      <c r="G481" t="s">
        <v>7866</v>
      </c>
      <c r="H481" t="s">
        <v>7866</v>
      </c>
    </row>
    <row r="482" spans="1:8" x14ac:dyDescent="0.25">
      <c r="A482">
        <v>480</v>
      </c>
      <c r="B482">
        <v>238</v>
      </c>
      <c r="C482">
        <v>1</v>
      </c>
      <c r="D482">
        <v>5</v>
      </c>
      <c r="E482">
        <v>1</v>
      </c>
      <c r="G482" t="s">
        <v>7867</v>
      </c>
      <c r="H482" t="s">
        <v>7867</v>
      </c>
    </row>
    <row r="483" spans="1:8" x14ac:dyDescent="0.25">
      <c r="A483">
        <v>481</v>
      </c>
      <c r="B483">
        <v>999</v>
      </c>
      <c r="C483">
        <v>2</v>
      </c>
      <c r="D483">
        <v>6</v>
      </c>
      <c r="E483">
        <v>0</v>
      </c>
      <c r="F483" t="s">
        <v>7809</v>
      </c>
      <c r="G483" t="s">
        <v>1557</v>
      </c>
      <c r="H483" t="s">
        <v>1557</v>
      </c>
    </row>
    <row r="484" spans="1:8" x14ac:dyDescent="0.25">
      <c r="A484">
        <v>482</v>
      </c>
      <c r="B484">
        <v>999</v>
      </c>
      <c r="C484">
        <v>100</v>
      </c>
      <c r="D484">
        <v>10</v>
      </c>
      <c r="E484">
        <v>1</v>
      </c>
      <c r="F484" t="s">
        <v>3321</v>
      </c>
      <c r="G484" t="s">
        <v>7868</v>
      </c>
      <c r="H484" t="s">
        <v>7868</v>
      </c>
    </row>
    <row r="485" spans="1:8" x14ac:dyDescent="0.25">
      <c r="A485">
        <v>483</v>
      </c>
      <c r="B485">
        <v>999</v>
      </c>
      <c r="C485">
        <v>2</v>
      </c>
      <c r="D485">
        <v>7</v>
      </c>
      <c r="E485">
        <v>1</v>
      </c>
      <c r="G485" t="s">
        <v>7869</v>
      </c>
    </row>
    <row r="486" spans="1:8" x14ac:dyDescent="0.25">
      <c r="A486">
        <v>484</v>
      </c>
      <c r="B486">
        <v>999</v>
      </c>
      <c r="C486">
        <v>2</v>
      </c>
      <c r="D486">
        <v>6</v>
      </c>
      <c r="E486">
        <v>0</v>
      </c>
      <c r="F486" t="s">
        <v>7474</v>
      </c>
      <c r="G486" t="s">
        <v>7870</v>
      </c>
      <c r="H486" t="s">
        <v>7870</v>
      </c>
    </row>
    <row r="487" spans="1:8" x14ac:dyDescent="0.25">
      <c r="A487">
        <v>485</v>
      </c>
      <c r="B487">
        <v>999</v>
      </c>
      <c r="C487">
        <v>2</v>
      </c>
      <c r="D487">
        <v>6</v>
      </c>
      <c r="E487">
        <v>1</v>
      </c>
      <c r="F487" t="s">
        <v>3321</v>
      </c>
      <c r="G487" t="s">
        <v>7871</v>
      </c>
      <c r="H487" t="s">
        <v>7871</v>
      </c>
    </row>
    <row r="488" spans="1:8" x14ac:dyDescent="0.25">
      <c r="A488">
        <v>486</v>
      </c>
      <c r="B488">
        <v>999</v>
      </c>
      <c r="C488">
        <v>2</v>
      </c>
      <c r="D488">
        <v>4</v>
      </c>
      <c r="E488">
        <v>0</v>
      </c>
      <c r="F488" t="s">
        <v>7872</v>
      </c>
      <c r="G488" t="s">
        <v>7873</v>
      </c>
      <c r="H488" t="s">
        <v>7874</v>
      </c>
    </row>
    <row r="489" spans="1:8" x14ac:dyDescent="0.25">
      <c r="A489">
        <v>487</v>
      </c>
      <c r="B489">
        <v>999</v>
      </c>
      <c r="C489">
        <v>2</v>
      </c>
      <c r="D489">
        <v>3</v>
      </c>
      <c r="E489">
        <v>1</v>
      </c>
      <c r="G489" t="s">
        <v>7875</v>
      </c>
      <c r="H489" t="s">
        <v>7875</v>
      </c>
    </row>
    <row r="490" spans="1:8" x14ac:dyDescent="0.25">
      <c r="A490">
        <v>488</v>
      </c>
      <c r="B490">
        <v>999</v>
      </c>
      <c r="C490">
        <v>2</v>
      </c>
      <c r="D490">
        <v>3</v>
      </c>
      <c r="E490">
        <v>0</v>
      </c>
      <c r="F490" t="s">
        <v>7804</v>
      </c>
      <c r="G490" t="s">
        <v>392</v>
      </c>
      <c r="H490" t="s">
        <v>392</v>
      </c>
    </row>
    <row r="491" spans="1:8" x14ac:dyDescent="0.25">
      <c r="A491">
        <v>489</v>
      </c>
      <c r="B491">
        <v>228</v>
      </c>
      <c r="C491">
        <v>1</v>
      </c>
      <c r="D491">
        <v>5</v>
      </c>
      <c r="E491">
        <v>1</v>
      </c>
      <c r="G491" t="s">
        <v>7876</v>
      </c>
      <c r="H491" t="s">
        <v>7876</v>
      </c>
    </row>
    <row r="492" spans="1:8" x14ac:dyDescent="0.25">
      <c r="A492">
        <v>490</v>
      </c>
      <c r="B492">
        <v>115</v>
      </c>
      <c r="C492">
        <v>1</v>
      </c>
      <c r="D492">
        <v>5</v>
      </c>
      <c r="E492">
        <v>1</v>
      </c>
      <c r="G492" t="s">
        <v>7877</v>
      </c>
      <c r="H492" t="s">
        <v>7877</v>
      </c>
    </row>
    <row r="493" spans="1:8" x14ac:dyDescent="0.25">
      <c r="A493">
        <v>491</v>
      </c>
      <c r="B493">
        <v>289</v>
      </c>
      <c r="C493">
        <v>1</v>
      </c>
      <c r="D493">
        <v>5</v>
      </c>
      <c r="E493">
        <v>1</v>
      </c>
      <c r="G493" t="s">
        <v>7878</v>
      </c>
      <c r="H493" t="s">
        <v>7878</v>
      </c>
    </row>
    <row r="494" spans="1:8" x14ac:dyDescent="0.25">
      <c r="A494">
        <v>492</v>
      </c>
      <c r="B494">
        <v>115</v>
      </c>
      <c r="C494">
        <v>2</v>
      </c>
      <c r="D494">
        <v>3</v>
      </c>
      <c r="E494">
        <v>1</v>
      </c>
      <c r="G494" t="s">
        <v>7879</v>
      </c>
      <c r="H494" t="s">
        <v>7879</v>
      </c>
    </row>
    <row r="495" spans="1:8" x14ac:dyDescent="0.25">
      <c r="A495">
        <v>493</v>
      </c>
      <c r="B495">
        <v>115</v>
      </c>
      <c r="C495">
        <v>2</v>
      </c>
      <c r="D495">
        <v>3</v>
      </c>
      <c r="E495">
        <v>1</v>
      </c>
      <c r="G495" t="s">
        <v>7880</v>
      </c>
      <c r="H495" t="s">
        <v>7880</v>
      </c>
    </row>
    <row r="496" spans="1:8" x14ac:dyDescent="0.25">
      <c r="A496">
        <v>494</v>
      </c>
      <c r="B496">
        <v>255</v>
      </c>
      <c r="C496">
        <v>2</v>
      </c>
      <c r="D496">
        <v>10</v>
      </c>
      <c r="E496">
        <v>1</v>
      </c>
      <c r="G496" t="s">
        <v>7881</v>
      </c>
    </row>
    <row r="497" spans="1:8" x14ac:dyDescent="0.25">
      <c r="A497">
        <v>495</v>
      </c>
      <c r="B497">
        <v>999</v>
      </c>
      <c r="C497">
        <v>2</v>
      </c>
      <c r="D497">
        <v>7</v>
      </c>
      <c r="E497">
        <v>1</v>
      </c>
      <c r="G497" t="s">
        <v>7882</v>
      </c>
    </row>
    <row r="498" spans="1:8" x14ac:dyDescent="0.25">
      <c r="A498">
        <v>496</v>
      </c>
      <c r="B498">
        <v>999</v>
      </c>
      <c r="C498">
        <v>2</v>
      </c>
      <c r="D498">
        <v>6</v>
      </c>
      <c r="E498">
        <v>0</v>
      </c>
      <c r="F498" t="s">
        <v>7386</v>
      </c>
      <c r="G498" t="s">
        <v>7883</v>
      </c>
      <c r="H498" t="s">
        <v>7883</v>
      </c>
    </row>
    <row r="499" spans="1:8" x14ac:dyDescent="0.25">
      <c r="A499">
        <v>497</v>
      </c>
      <c r="B499">
        <v>999</v>
      </c>
      <c r="C499">
        <v>2</v>
      </c>
      <c r="D499">
        <v>6</v>
      </c>
      <c r="E499">
        <v>1</v>
      </c>
      <c r="F499" t="s">
        <v>3321</v>
      </c>
      <c r="G499" t="s">
        <v>7339</v>
      </c>
      <c r="H499" t="s">
        <v>7339</v>
      </c>
    </row>
    <row r="500" spans="1:8" x14ac:dyDescent="0.25">
      <c r="A500">
        <v>498</v>
      </c>
      <c r="B500">
        <v>228</v>
      </c>
      <c r="C500">
        <v>1</v>
      </c>
      <c r="D500">
        <v>5</v>
      </c>
      <c r="E500">
        <v>1</v>
      </c>
      <c r="G500" t="s">
        <v>7884</v>
      </c>
    </row>
    <row r="501" spans="1:8" x14ac:dyDescent="0.25">
      <c r="A501">
        <v>499</v>
      </c>
      <c r="B501">
        <v>999</v>
      </c>
      <c r="C501">
        <v>2</v>
      </c>
      <c r="D501">
        <v>6</v>
      </c>
      <c r="E501">
        <v>0</v>
      </c>
      <c r="F501" t="s">
        <v>7474</v>
      </c>
      <c r="G501" t="s">
        <v>7885</v>
      </c>
      <c r="H501" t="s">
        <v>7885</v>
      </c>
    </row>
    <row r="502" spans="1:8" x14ac:dyDescent="0.25">
      <c r="A502">
        <v>500</v>
      </c>
      <c r="B502">
        <v>999</v>
      </c>
      <c r="C502">
        <v>2</v>
      </c>
      <c r="D502">
        <v>6</v>
      </c>
      <c r="E502">
        <v>0</v>
      </c>
      <c r="F502" t="s">
        <v>7386</v>
      </c>
      <c r="G502" t="s">
        <v>7886</v>
      </c>
      <c r="H502" t="s">
        <v>7886</v>
      </c>
    </row>
    <row r="503" spans="1:8" x14ac:dyDescent="0.25">
      <c r="A503">
        <v>501</v>
      </c>
      <c r="B503">
        <v>999</v>
      </c>
      <c r="C503">
        <v>2</v>
      </c>
      <c r="D503">
        <v>6</v>
      </c>
      <c r="E503">
        <v>1</v>
      </c>
      <c r="F503" t="s">
        <v>3321</v>
      </c>
      <c r="G503" t="s">
        <v>7887</v>
      </c>
      <c r="H503" t="s">
        <v>7887</v>
      </c>
    </row>
    <row r="504" spans="1:8" x14ac:dyDescent="0.25">
      <c r="A504">
        <v>502</v>
      </c>
      <c r="B504">
        <v>999</v>
      </c>
      <c r="C504">
        <v>2</v>
      </c>
      <c r="D504">
        <v>6</v>
      </c>
      <c r="E504">
        <v>0</v>
      </c>
      <c r="F504" t="s">
        <v>7386</v>
      </c>
      <c r="G504" t="s">
        <v>7888</v>
      </c>
      <c r="H504" t="s">
        <v>7888</v>
      </c>
    </row>
    <row r="505" spans="1:8" x14ac:dyDescent="0.25">
      <c r="A505">
        <v>503</v>
      </c>
      <c r="B505">
        <v>999</v>
      </c>
      <c r="C505">
        <v>2</v>
      </c>
      <c r="D505">
        <v>6</v>
      </c>
      <c r="E505">
        <v>1</v>
      </c>
      <c r="F505" t="s">
        <v>3321</v>
      </c>
      <c r="G505" t="s">
        <v>7889</v>
      </c>
      <c r="H505" t="s">
        <v>7889</v>
      </c>
    </row>
    <row r="506" spans="1:8" x14ac:dyDescent="0.25">
      <c r="A506">
        <v>504</v>
      </c>
      <c r="B506">
        <v>999</v>
      </c>
      <c r="C506">
        <v>2</v>
      </c>
      <c r="D506">
        <v>6</v>
      </c>
      <c r="E506">
        <v>0</v>
      </c>
      <c r="F506" t="s">
        <v>7386</v>
      </c>
      <c r="G506" t="s">
        <v>7890</v>
      </c>
      <c r="H506" t="s">
        <v>7890</v>
      </c>
    </row>
    <row r="507" spans="1:8" x14ac:dyDescent="0.25">
      <c r="A507">
        <v>505</v>
      </c>
      <c r="B507">
        <v>999</v>
      </c>
      <c r="C507">
        <v>2</v>
      </c>
      <c r="D507">
        <v>6</v>
      </c>
      <c r="E507">
        <v>1</v>
      </c>
      <c r="F507" t="s">
        <v>3321</v>
      </c>
      <c r="G507" t="s">
        <v>7891</v>
      </c>
      <c r="H507" t="s">
        <v>7891</v>
      </c>
    </row>
    <row r="508" spans="1:8" x14ac:dyDescent="0.25">
      <c r="A508">
        <v>506</v>
      </c>
      <c r="B508">
        <v>999</v>
      </c>
      <c r="C508">
        <v>2</v>
      </c>
      <c r="D508">
        <v>6</v>
      </c>
      <c r="E508">
        <v>0</v>
      </c>
      <c r="F508" t="s">
        <v>7386</v>
      </c>
      <c r="G508" t="s">
        <v>7892</v>
      </c>
      <c r="H508" t="s">
        <v>7892</v>
      </c>
    </row>
    <row r="509" spans="1:8" x14ac:dyDescent="0.25">
      <c r="A509">
        <v>507</v>
      </c>
      <c r="B509">
        <v>999</v>
      </c>
      <c r="C509">
        <v>2</v>
      </c>
      <c r="D509">
        <v>6</v>
      </c>
      <c r="E509">
        <v>1</v>
      </c>
      <c r="F509" t="s">
        <v>3321</v>
      </c>
      <c r="G509" t="s">
        <v>7893</v>
      </c>
      <c r="H509" t="s">
        <v>7893</v>
      </c>
    </row>
    <row r="510" spans="1:8" x14ac:dyDescent="0.25">
      <c r="A510">
        <v>508</v>
      </c>
      <c r="B510">
        <v>999</v>
      </c>
      <c r="C510">
        <v>2</v>
      </c>
      <c r="D510">
        <v>6</v>
      </c>
      <c r="E510">
        <v>1</v>
      </c>
      <c r="F510" t="s">
        <v>3321</v>
      </c>
      <c r="G510" t="s">
        <v>7894</v>
      </c>
      <c r="H510" t="s">
        <v>7894</v>
      </c>
    </row>
    <row r="511" spans="1:8" x14ac:dyDescent="0.25">
      <c r="A511">
        <v>509</v>
      </c>
      <c r="B511">
        <v>999</v>
      </c>
      <c r="C511">
        <v>2</v>
      </c>
      <c r="D511">
        <v>6</v>
      </c>
      <c r="E511">
        <v>1</v>
      </c>
      <c r="F511" t="s">
        <v>3321</v>
      </c>
      <c r="G511" t="s">
        <v>7895</v>
      </c>
      <c r="H511" t="s">
        <v>7895</v>
      </c>
    </row>
    <row r="512" spans="1:8" x14ac:dyDescent="0.25">
      <c r="A512">
        <v>510</v>
      </c>
      <c r="B512">
        <v>999</v>
      </c>
      <c r="C512">
        <v>2</v>
      </c>
      <c r="D512">
        <v>6</v>
      </c>
      <c r="E512">
        <v>1</v>
      </c>
      <c r="F512" t="s">
        <v>3321</v>
      </c>
      <c r="G512" t="s">
        <v>7896</v>
      </c>
      <c r="H512" t="s">
        <v>7896</v>
      </c>
    </row>
    <row r="513" spans="1:8" x14ac:dyDescent="0.25">
      <c r="A513">
        <v>511</v>
      </c>
      <c r="B513">
        <v>999</v>
      </c>
      <c r="C513">
        <v>2</v>
      </c>
      <c r="D513">
        <v>6</v>
      </c>
      <c r="E513">
        <v>1</v>
      </c>
      <c r="F513" t="s">
        <v>3321</v>
      </c>
      <c r="G513" t="s">
        <v>7897</v>
      </c>
      <c r="H513" t="s">
        <v>7897</v>
      </c>
    </row>
    <row r="514" spans="1:8" x14ac:dyDescent="0.25">
      <c r="A514">
        <v>512</v>
      </c>
      <c r="B514">
        <v>999</v>
      </c>
      <c r="C514">
        <v>2</v>
      </c>
      <c r="D514">
        <v>6</v>
      </c>
      <c r="E514">
        <v>0</v>
      </c>
      <c r="F514" t="s">
        <v>7898</v>
      </c>
      <c r="G514" t="s">
        <v>7899</v>
      </c>
      <c r="H514" t="s">
        <v>7899</v>
      </c>
    </row>
    <row r="515" spans="1:8" x14ac:dyDescent="0.25">
      <c r="A515">
        <v>513</v>
      </c>
      <c r="B515">
        <v>999</v>
      </c>
      <c r="C515">
        <v>2</v>
      </c>
      <c r="D515">
        <v>6</v>
      </c>
      <c r="E515">
        <v>1</v>
      </c>
      <c r="F515" t="s">
        <v>3321</v>
      </c>
      <c r="G515" t="s">
        <v>7900</v>
      </c>
      <c r="H515" t="s">
        <v>7900</v>
      </c>
    </row>
    <row r="516" spans="1:8" x14ac:dyDescent="0.25">
      <c r="A516">
        <v>514</v>
      </c>
      <c r="B516">
        <v>999</v>
      </c>
      <c r="C516">
        <v>2</v>
      </c>
      <c r="D516">
        <v>4</v>
      </c>
      <c r="E516">
        <v>1</v>
      </c>
      <c r="G516" t="s">
        <v>7901</v>
      </c>
    </row>
    <row r="517" spans="1:8" x14ac:dyDescent="0.25">
      <c r="A517">
        <v>515</v>
      </c>
      <c r="B517">
        <v>999</v>
      </c>
      <c r="C517">
        <v>2</v>
      </c>
      <c r="D517">
        <v>6</v>
      </c>
      <c r="E517">
        <v>1</v>
      </c>
      <c r="F517" t="s">
        <v>3321</v>
      </c>
      <c r="G517" t="s">
        <v>7902</v>
      </c>
      <c r="H517" t="s">
        <v>7902</v>
      </c>
    </row>
    <row r="518" spans="1:8" x14ac:dyDescent="0.25">
      <c r="A518">
        <v>516</v>
      </c>
      <c r="B518">
        <v>999</v>
      </c>
      <c r="C518">
        <v>2</v>
      </c>
      <c r="D518">
        <v>3</v>
      </c>
      <c r="E518">
        <v>1</v>
      </c>
      <c r="G518" t="s">
        <v>7903</v>
      </c>
    </row>
    <row r="519" spans="1:8" x14ac:dyDescent="0.25">
      <c r="A519">
        <v>517</v>
      </c>
      <c r="B519">
        <v>999</v>
      </c>
      <c r="C519">
        <v>2</v>
      </c>
      <c r="D519">
        <v>6</v>
      </c>
      <c r="E519">
        <v>1</v>
      </c>
      <c r="F519" t="s">
        <v>3321</v>
      </c>
      <c r="G519" t="s">
        <v>7904</v>
      </c>
      <c r="H519" t="s">
        <v>7904</v>
      </c>
    </row>
    <row r="520" spans="1:8" x14ac:dyDescent="0.25">
      <c r="A520">
        <v>518</v>
      </c>
      <c r="B520">
        <v>999</v>
      </c>
      <c r="C520">
        <v>2</v>
      </c>
      <c r="D520">
        <v>6</v>
      </c>
      <c r="E520">
        <v>1</v>
      </c>
      <c r="F520" t="s">
        <v>3321</v>
      </c>
      <c r="G520" t="s">
        <v>7905</v>
      </c>
      <c r="H520" t="s">
        <v>7905</v>
      </c>
    </row>
    <row r="521" spans="1:8" x14ac:dyDescent="0.25">
      <c r="A521">
        <v>519</v>
      </c>
      <c r="B521">
        <v>999</v>
      </c>
      <c r="C521">
        <v>2</v>
      </c>
      <c r="D521">
        <v>3</v>
      </c>
      <c r="E521">
        <v>1</v>
      </c>
      <c r="G521" t="s">
        <v>7906</v>
      </c>
      <c r="H521" t="s">
        <v>7906</v>
      </c>
    </row>
    <row r="522" spans="1:8" x14ac:dyDescent="0.25">
      <c r="A522">
        <v>520</v>
      </c>
      <c r="B522">
        <v>228</v>
      </c>
      <c r="C522">
        <v>2</v>
      </c>
      <c r="D522">
        <v>7</v>
      </c>
      <c r="E522">
        <v>1</v>
      </c>
      <c r="G522" t="s">
        <v>7907</v>
      </c>
      <c r="H522" t="s">
        <v>7907</v>
      </c>
    </row>
    <row r="523" spans="1:8" x14ac:dyDescent="0.25">
      <c r="A523">
        <v>521</v>
      </c>
      <c r="B523">
        <v>999</v>
      </c>
      <c r="C523">
        <v>2</v>
      </c>
      <c r="D523">
        <v>6</v>
      </c>
      <c r="E523">
        <v>1</v>
      </c>
      <c r="F523" t="s">
        <v>3321</v>
      </c>
      <c r="G523" t="s">
        <v>7908</v>
      </c>
      <c r="H523" t="s">
        <v>7908</v>
      </c>
    </row>
    <row r="524" spans="1:8" x14ac:dyDescent="0.25">
      <c r="A524">
        <v>522</v>
      </c>
      <c r="B524">
        <v>999</v>
      </c>
      <c r="C524">
        <v>2</v>
      </c>
      <c r="D524">
        <v>6</v>
      </c>
      <c r="E524">
        <v>1</v>
      </c>
      <c r="F524" t="s">
        <v>3321</v>
      </c>
      <c r="G524" t="s">
        <v>7909</v>
      </c>
      <c r="H524" t="s">
        <v>7909</v>
      </c>
    </row>
    <row r="525" spans="1:8" x14ac:dyDescent="0.25">
      <c r="A525">
        <v>523</v>
      </c>
      <c r="B525">
        <v>999</v>
      </c>
      <c r="C525">
        <v>2</v>
      </c>
      <c r="D525">
        <v>6</v>
      </c>
      <c r="E525">
        <v>0</v>
      </c>
      <c r="F525" t="s">
        <v>7910</v>
      </c>
      <c r="G525" t="s">
        <v>7911</v>
      </c>
      <c r="H525" t="s">
        <v>7911</v>
      </c>
    </row>
    <row r="526" spans="1:8" x14ac:dyDescent="0.25">
      <c r="A526">
        <v>524</v>
      </c>
      <c r="B526">
        <v>999</v>
      </c>
      <c r="C526">
        <v>2</v>
      </c>
      <c r="D526">
        <v>6</v>
      </c>
      <c r="E526">
        <v>1</v>
      </c>
      <c r="F526" t="s">
        <v>3321</v>
      </c>
      <c r="G526" t="s">
        <v>7912</v>
      </c>
      <c r="H526" t="s">
        <v>7912</v>
      </c>
    </row>
    <row r="527" spans="1:8" x14ac:dyDescent="0.25">
      <c r="A527">
        <v>525</v>
      </c>
      <c r="B527">
        <v>999</v>
      </c>
      <c r="C527">
        <v>2</v>
      </c>
      <c r="D527">
        <v>7</v>
      </c>
      <c r="E527">
        <v>1</v>
      </c>
      <c r="G527" t="s">
        <v>7913</v>
      </c>
    </row>
    <row r="528" spans="1:8" x14ac:dyDescent="0.25">
      <c r="A528">
        <v>526</v>
      </c>
      <c r="B528">
        <v>999</v>
      </c>
      <c r="C528">
        <v>2</v>
      </c>
      <c r="D528">
        <v>6</v>
      </c>
      <c r="E528">
        <v>1</v>
      </c>
      <c r="F528" t="s">
        <v>3321</v>
      </c>
      <c r="G528" t="s">
        <v>7914</v>
      </c>
      <c r="H528" t="s">
        <v>7914</v>
      </c>
    </row>
    <row r="529" spans="1:8" x14ac:dyDescent="0.25">
      <c r="A529">
        <v>527</v>
      </c>
      <c r="B529">
        <v>999</v>
      </c>
      <c r="C529">
        <v>2</v>
      </c>
      <c r="D529">
        <v>6</v>
      </c>
      <c r="E529">
        <v>1</v>
      </c>
      <c r="F529" t="s">
        <v>3321</v>
      </c>
      <c r="G529" t="s">
        <v>7915</v>
      </c>
      <c r="H529" t="s">
        <v>7915</v>
      </c>
    </row>
    <row r="530" spans="1:8" x14ac:dyDescent="0.25">
      <c r="A530">
        <v>528</v>
      </c>
      <c r="B530">
        <v>999</v>
      </c>
      <c r="C530">
        <v>2</v>
      </c>
      <c r="D530">
        <v>6</v>
      </c>
      <c r="E530">
        <v>1</v>
      </c>
      <c r="F530" t="s">
        <v>3321</v>
      </c>
      <c r="G530" t="s">
        <v>7916</v>
      </c>
      <c r="H530" t="s">
        <v>7916</v>
      </c>
    </row>
    <row r="531" spans="1:8" x14ac:dyDescent="0.25">
      <c r="A531">
        <v>529</v>
      </c>
      <c r="B531">
        <v>254</v>
      </c>
      <c r="C531">
        <v>100</v>
      </c>
      <c r="D531">
        <v>5</v>
      </c>
      <c r="E531">
        <v>0</v>
      </c>
      <c r="F531" t="s">
        <v>7917</v>
      </c>
      <c r="G531" t="s">
        <v>7792</v>
      </c>
    </row>
    <row r="532" spans="1:8" x14ac:dyDescent="0.25">
      <c r="A532">
        <v>530</v>
      </c>
      <c r="B532">
        <v>999</v>
      </c>
      <c r="C532">
        <v>2</v>
      </c>
      <c r="D532">
        <v>6</v>
      </c>
      <c r="E532">
        <v>1</v>
      </c>
      <c r="F532" t="s">
        <v>3321</v>
      </c>
      <c r="G532" t="s">
        <v>7918</v>
      </c>
      <c r="H532" t="s">
        <v>7918</v>
      </c>
    </row>
    <row r="533" spans="1:8" x14ac:dyDescent="0.25">
      <c r="A533">
        <v>531</v>
      </c>
      <c r="B533">
        <v>999</v>
      </c>
      <c r="C533">
        <v>2</v>
      </c>
      <c r="D533">
        <v>6</v>
      </c>
      <c r="E533">
        <v>0</v>
      </c>
      <c r="F533" t="s">
        <v>7421</v>
      </c>
      <c r="G533" t="s">
        <v>7919</v>
      </c>
      <c r="H533" t="s">
        <v>7919</v>
      </c>
    </row>
    <row r="534" spans="1:8" x14ac:dyDescent="0.25">
      <c r="A534">
        <v>532</v>
      </c>
      <c r="B534">
        <v>999</v>
      </c>
      <c r="C534">
        <v>2</v>
      </c>
      <c r="D534">
        <v>6</v>
      </c>
      <c r="E534">
        <v>1</v>
      </c>
      <c r="F534" t="s">
        <v>3321</v>
      </c>
      <c r="G534" t="s">
        <v>7920</v>
      </c>
      <c r="H534" t="s">
        <v>7920</v>
      </c>
    </row>
    <row r="535" spans="1:8" x14ac:dyDescent="0.25">
      <c r="A535">
        <v>533</v>
      </c>
      <c r="B535">
        <v>999</v>
      </c>
      <c r="C535">
        <v>2</v>
      </c>
      <c r="D535">
        <v>6</v>
      </c>
      <c r="E535">
        <v>1</v>
      </c>
      <c r="F535" t="s">
        <v>3321</v>
      </c>
      <c r="G535" t="s">
        <v>7921</v>
      </c>
      <c r="H535" t="s">
        <v>7921</v>
      </c>
    </row>
    <row r="536" spans="1:8" x14ac:dyDescent="0.25">
      <c r="A536">
        <v>534</v>
      </c>
      <c r="B536">
        <v>255</v>
      </c>
      <c r="C536">
        <v>100</v>
      </c>
      <c r="D536">
        <v>5</v>
      </c>
      <c r="E536">
        <v>1</v>
      </c>
      <c r="G536" t="s">
        <v>7922</v>
      </c>
    </row>
    <row r="537" spans="1:8" x14ac:dyDescent="0.25">
      <c r="A537">
        <v>535</v>
      </c>
      <c r="B537">
        <v>999</v>
      </c>
      <c r="C537">
        <v>2</v>
      </c>
      <c r="D537">
        <v>6</v>
      </c>
      <c r="E537">
        <v>1</v>
      </c>
      <c r="F537" t="s">
        <v>3321</v>
      </c>
      <c r="G537" t="s">
        <v>7923</v>
      </c>
      <c r="H537" t="s">
        <v>7923</v>
      </c>
    </row>
    <row r="538" spans="1:8" x14ac:dyDescent="0.25">
      <c r="A538">
        <v>536</v>
      </c>
      <c r="B538">
        <v>999</v>
      </c>
      <c r="C538">
        <v>2</v>
      </c>
      <c r="D538">
        <v>6</v>
      </c>
      <c r="E538">
        <v>1</v>
      </c>
      <c r="F538" t="s">
        <v>3321</v>
      </c>
      <c r="G538" t="s">
        <v>7924</v>
      </c>
      <c r="H538" t="s">
        <v>7924</v>
      </c>
    </row>
    <row r="539" spans="1:8" x14ac:dyDescent="0.25">
      <c r="A539">
        <v>537</v>
      </c>
      <c r="B539">
        <v>999</v>
      </c>
      <c r="C539">
        <v>2</v>
      </c>
      <c r="D539">
        <v>6</v>
      </c>
      <c r="E539">
        <v>1</v>
      </c>
      <c r="F539" t="s">
        <v>3321</v>
      </c>
      <c r="G539" t="s">
        <v>7925</v>
      </c>
      <c r="H539" t="s">
        <v>7925</v>
      </c>
    </row>
    <row r="540" spans="1:8" x14ac:dyDescent="0.25">
      <c r="A540">
        <v>538</v>
      </c>
      <c r="B540">
        <v>999</v>
      </c>
      <c r="C540">
        <v>2</v>
      </c>
      <c r="D540">
        <v>6</v>
      </c>
      <c r="E540">
        <v>1</v>
      </c>
      <c r="F540" t="s">
        <v>3321</v>
      </c>
      <c r="G540" t="s">
        <v>7338</v>
      </c>
      <c r="H540" t="s">
        <v>7338</v>
      </c>
    </row>
    <row r="541" spans="1:8" x14ac:dyDescent="0.25">
      <c r="A541">
        <v>539</v>
      </c>
      <c r="B541">
        <v>999</v>
      </c>
      <c r="C541">
        <v>2</v>
      </c>
      <c r="D541">
        <v>6</v>
      </c>
      <c r="E541">
        <v>1</v>
      </c>
      <c r="F541" t="s">
        <v>3321</v>
      </c>
      <c r="G541" t="s">
        <v>7926</v>
      </c>
      <c r="H541" t="s">
        <v>7926</v>
      </c>
    </row>
    <row r="542" spans="1:8" x14ac:dyDescent="0.25">
      <c r="A542">
        <v>540</v>
      </c>
      <c r="B542">
        <v>999</v>
      </c>
      <c r="C542">
        <v>2</v>
      </c>
      <c r="D542">
        <v>6</v>
      </c>
      <c r="E542">
        <v>1</v>
      </c>
      <c r="G542" t="s">
        <v>7927</v>
      </c>
    </row>
    <row r="543" spans="1:8" x14ac:dyDescent="0.25">
      <c r="A543">
        <v>541</v>
      </c>
      <c r="B543">
        <v>999</v>
      </c>
      <c r="C543">
        <v>2</v>
      </c>
      <c r="D543">
        <v>6</v>
      </c>
      <c r="E543">
        <v>0</v>
      </c>
      <c r="F543" t="s">
        <v>7898</v>
      </c>
      <c r="G543" t="s">
        <v>7928</v>
      </c>
      <c r="H543" t="s">
        <v>7928</v>
      </c>
    </row>
    <row r="544" spans="1:8" x14ac:dyDescent="0.25">
      <c r="A544">
        <v>542</v>
      </c>
      <c r="B544">
        <v>999</v>
      </c>
      <c r="C544">
        <v>2</v>
      </c>
      <c r="D544">
        <v>6</v>
      </c>
      <c r="E544">
        <v>1</v>
      </c>
      <c r="F544" t="s">
        <v>3321</v>
      </c>
      <c r="G544" t="s">
        <v>7929</v>
      </c>
      <c r="H544" t="s">
        <v>7929</v>
      </c>
    </row>
    <row r="545" spans="1:8" x14ac:dyDescent="0.25">
      <c r="A545">
        <v>543</v>
      </c>
      <c r="B545">
        <v>999</v>
      </c>
      <c r="C545">
        <v>2</v>
      </c>
      <c r="D545">
        <v>6</v>
      </c>
      <c r="E545">
        <v>1</v>
      </c>
      <c r="F545" t="s">
        <v>3321</v>
      </c>
      <c r="G545" t="s">
        <v>7930</v>
      </c>
      <c r="H545" t="s">
        <v>7930</v>
      </c>
    </row>
    <row r="546" spans="1:8" x14ac:dyDescent="0.25">
      <c r="A546">
        <v>544</v>
      </c>
      <c r="B546">
        <v>999</v>
      </c>
      <c r="C546">
        <v>2</v>
      </c>
      <c r="D546">
        <v>6</v>
      </c>
      <c r="E546">
        <v>1</v>
      </c>
      <c r="F546" t="s">
        <v>3321</v>
      </c>
      <c r="G546" t="s">
        <v>7931</v>
      </c>
      <c r="H546" t="s">
        <v>7931</v>
      </c>
    </row>
    <row r="547" spans="1:8" x14ac:dyDescent="0.25">
      <c r="A547">
        <v>545</v>
      </c>
      <c r="B547">
        <v>999</v>
      </c>
      <c r="C547">
        <v>2</v>
      </c>
      <c r="D547">
        <v>6</v>
      </c>
      <c r="E547">
        <v>0</v>
      </c>
      <c r="F547" t="s">
        <v>7474</v>
      </c>
      <c r="G547" t="s">
        <v>7932</v>
      </c>
      <c r="H547" t="s">
        <v>7932</v>
      </c>
    </row>
    <row r="548" spans="1:8" x14ac:dyDescent="0.25">
      <c r="A548">
        <v>546</v>
      </c>
      <c r="B548">
        <v>999</v>
      </c>
      <c r="C548">
        <v>2</v>
      </c>
      <c r="D548">
        <v>4</v>
      </c>
      <c r="E548">
        <v>1</v>
      </c>
      <c r="G548" t="s">
        <v>7933</v>
      </c>
      <c r="H548" t="s">
        <v>7933</v>
      </c>
    </row>
    <row r="549" spans="1:8" x14ac:dyDescent="0.25">
      <c r="A549">
        <v>547</v>
      </c>
      <c r="B549">
        <v>999</v>
      </c>
      <c r="C549">
        <v>2</v>
      </c>
      <c r="D549">
        <v>6</v>
      </c>
      <c r="E549">
        <v>1</v>
      </c>
      <c r="F549" t="s">
        <v>3321</v>
      </c>
      <c r="G549" t="s">
        <v>7934</v>
      </c>
      <c r="H549" t="s">
        <v>7934</v>
      </c>
    </row>
    <row r="550" spans="1:8" x14ac:dyDescent="0.25">
      <c r="A550">
        <v>548</v>
      </c>
      <c r="B550">
        <v>999</v>
      </c>
      <c r="C550">
        <v>2</v>
      </c>
      <c r="D550">
        <v>6</v>
      </c>
      <c r="E550">
        <v>1</v>
      </c>
      <c r="F550" t="s">
        <v>3321</v>
      </c>
      <c r="G550" t="s">
        <v>7935</v>
      </c>
      <c r="H550" t="s">
        <v>7935</v>
      </c>
    </row>
    <row r="551" spans="1:8" x14ac:dyDescent="0.25">
      <c r="A551">
        <v>549</v>
      </c>
      <c r="B551">
        <v>999</v>
      </c>
      <c r="C551">
        <v>2</v>
      </c>
      <c r="D551">
        <v>6</v>
      </c>
      <c r="E551">
        <v>1</v>
      </c>
      <c r="F551" t="s">
        <v>3321</v>
      </c>
      <c r="G551" t="s">
        <v>7936</v>
      </c>
      <c r="H551" t="s">
        <v>7936</v>
      </c>
    </row>
    <row r="552" spans="1:8" x14ac:dyDescent="0.25">
      <c r="A552">
        <v>550</v>
      </c>
      <c r="B552">
        <v>999</v>
      </c>
      <c r="C552">
        <v>2</v>
      </c>
      <c r="D552">
        <v>6</v>
      </c>
      <c r="E552">
        <v>0</v>
      </c>
      <c r="F552" t="s">
        <v>7474</v>
      </c>
      <c r="G552" t="s">
        <v>7937</v>
      </c>
      <c r="H552" t="s">
        <v>7937</v>
      </c>
    </row>
    <row r="553" spans="1:8" x14ac:dyDescent="0.25">
      <c r="A553">
        <v>551</v>
      </c>
      <c r="B553">
        <v>999</v>
      </c>
      <c r="C553">
        <v>2</v>
      </c>
      <c r="D553">
        <v>6</v>
      </c>
      <c r="E553">
        <v>0</v>
      </c>
      <c r="F553" t="s">
        <v>7474</v>
      </c>
      <c r="G553" t="s">
        <v>7938</v>
      </c>
      <c r="H553" t="s">
        <v>7938</v>
      </c>
    </row>
    <row r="554" spans="1:8" x14ac:dyDescent="0.25">
      <c r="A554">
        <v>552</v>
      </c>
      <c r="B554">
        <v>999</v>
      </c>
      <c r="C554">
        <v>2</v>
      </c>
      <c r="D554">
        <v>6</v>
      </c>
      <c r="E554">
        <v>1</v>
      </c>
      <c r="F554" t="s">
        <v>3321</v>
      </c>
      <c r="G554" t="s">
        <v>7939</v>
      </c>
      <c r="H554" t="s">
        <v>7939</v>
      </c>
    </row>
    <row r="555" spans="1:8" x14ac:dyDescent="0.25">
      <c r="A555">
        <v>553</v>
      </c>
      <c r="B555">
        <v>999</v>
      </c>
      <c r="C555">
        <v>2</v>
      </c>
      <c r="D555">
        <v>6</v>
      </c>
      <c r="E555">
        <v>0</v>
      </c>
      <c r="F555" t="s">
        <v>7898</v>
      </c>
      <c r="G555" t="s">
        <v>7940</v>
      </c>
      <c r="H555" t="s">
        <v>7940</v>
      </c>
    </row>
    <row r="556" spans="1:8" x14ac:dyDescent="0.25">
      <c r="A556">
        <v>554</v>
      </c>
      <c r="B556">
        <v>999</v>
      </c>
      <c r="C556">
        <v>2</v>
      </c>
      <c r="D556">
        <v>6</v>
      </c>
      <c r="E556">
        <v>0</v>
      </c>
      <c r="F556" t="s">
        <v>7474</v>
      </c>
      <c r="G556" t="s">
        <v>7941</v>
      </c>
      <c r="H556" t="s">
        <v>7941</v>
      </c>
    </row>
    <row r="557" spans="1:8" x14ac:dyDescent="0.25">
      <c r="A557">
        <v>555</v>
      </c>
      <c r="B557">
        <v>999</v>
      </c>
      <c r="C557">
        <v>2</v>
      </c>
      <c r="D557">
        <v>6</v>
      </c>
      <c r="E557">
        <v>0</v>
      </c>
      <c r="F557" t="s">
        <v>7474</v>
      </c>
      <c r="G557" t="s">
        <v>7942</v>
      </c>
      <c r="H557" t="s">
        <v>7942</v>
      </c>
    </row>
    <row r="558" spans="1:8" x14ac:dyDescent="0.25">
      <c r="A558">
        <v>556</v>
      </c>
      <c r="B558">
        <v>999</v>
      </c>
      <c r="C558">
        <v>2</v>
      </c>
      <c r="D558">
        <v>6</v>
      </c>
      <c r="E558">
        <v>1</v>
      </c>
      <c r="F558" t="s">
        <v>3321</v>
      </c>
      <c r="G558" t="s">
        <v>7943</v>
      </c>
      <c r="H558" t="s">
        <v>7943</v>
      </c>
    </row>
    <row r="559" spans="1:8" x14ac:dyDescent="0.25">
      <c r="A559">
        <v>557</v>
      </c>
      <c r="B559">
        <v>999</v>
      </c>
      <c r="C559">
        <v>2</v>
      </c>
      <c r="D559">
        <v>6</v>
      </c>
      <c r="E559">
        <v>1</v>
      </c>
      <c r="F559" t="s">
        <v>3321</v>
      </c>
      <c r="G559" t="s">
        <v>7944</v>
      </c>
      <c r="H559" t="s">
        <v>7944</v>
      </c>
    </row>
    <row r="560" spans="1:8" x14ac:dyDescent="0.25">
      <c r="A560">
        <v>558</v>
      </c>
      <c r="B560">
        <v>999</v>
      </c>
      <c r="C560">
        <v>2</v>
      </c>
      <c r="D560">
        <v>6</v>
      </c>
      <c r="E560">
        <v>1</v>
      </c>
      <c r="F560" t="s">
        <v>3321</v>
      </c>
      <c r="G560" t="s">
        <v>7945</v>
      </c>
      <c r="H560" t="s">
        <v>7945</v>
      </c>
    </row>
    <row r="561" spans="1:8" x14ac:dyDescent="0.25">
      <c r="A561">
        <v>559</v>
      </c>
      <c r="B561">
        <v>999</v>
      </c>
      <c r="C561">
        <v>2</v>
      </c>
      <c r="D561">
        <v>6</v>
      </c>
      <c r="E561">
        <v>0</v>
      </c>
      <c r="F561" t="s">
        <v>7898</v>
      </c>
      <c r="G561" t="s">
        <v>7946</v>
      </c>
      <c r="H561" t="s">
        <v>7946</v>
      </c>
    </row>
    <row r="562" spans="1:8" x14ac:dyDescent="0.25">
      <c r="A562">
        <v>560</v>
      </c>
      <c r="B562">
        <v>999</v>
      </c>
      <c r="C562">
        <v>2</v>
      </c>
      <c r="D562">
        <v>6</v>
      </c>
      <c r="E562">
        <v>1</v>
      </c>
      <c r="F562" t="s">
        <v>3321</v>
      </c>
      <c r="G562" t="s">
        <v>7947</v>
      </c>
      <c r="H562" t="s">
        <v>7947</v>
      </c>
    </row>
    <row r="563" spans="1:8" x14ac:dyDescent="0.25">
      <c r="A563">
        <v>561</v>
      </c>
      <c r="B563">
        <v>999</v>
      </c>
      <c r="C563">
        <v>2</v>
      </c>
      <c r="D563">
        <v>6</v>
      </c>
      <c r="E563">
        <v>1</v>
      </c>
      <c r="F563" t="s">
        <v>3321</v>
      </c>
      <c r="G563" t="s">
        <v>7948</v>
      </c>
      <c r="H563" t="s">
        <v>7948</v>
      </c>
    </row>
    <row r="564" spans="1:8" x14ac:dyDescent="0.25">
      <c r="A564">
        <v>562</v>
      </c>
      <c r="B564">
        <v>999</v>
      </c>
      <c r="C564">
        <v>2</v>
      </c>
      <c r="D564">
        <v>6</v>
      </c>
      <c r="E564">
        <v>1</v>
      </c>
      <c r="F564" t="s">
        <v>3321</v>
      </c>
      <c r="G564" t="s">
        <v>7949</v>
      </c>
      <c r="H564" t="s">
        <v>7949</v>
      </c>
    </row>
    <row r="565" spans="1:8" x14ac:dyDescent="0.25">
      <c r="A565">
        <v>563</v>
      </c>
      <c r="B565">
        <v>999</v>
      </c>
      <c r="C565">
        <v>2</v>
      </c>
      <c r="D565">
        <v>6</v>
      </c>
      <c r="E565">
        <v>0</v>
      </c>
      <c r="F565" t="s">
        <v>7898</v>
      </c>
      <c r="G565" t="s">
        <v>7950</v>
      </c>
      <c r="H565" t="s">
        <v>7950</v>
      </c>
    </row>
    <row r="566" spans="1:8" x14ac:dyDescent="0.25">
      <c r="A566">
        <v>564</v>
      </c>
      <c r="B566">
        <v>999</v>
      </c>
      <c r="C566">
        <v>2</v>
      </c>
      <c r="D566">
        <v>6</v>
      </c>
      <c r="E566">
        <v>1</v>
      </c>
      <c r="F566" t="s">
        <v>3321</v>
      </c>
      <c r="G566" t="s">
        <v>7951</v>
      </c>
      <c r="H566" t="s">
        <v>7951</v>
      </c>
    </row>
    <row r="567" spans="1:8" x14ac:dyDescent="0.25">
      <c r="A567">
        <v>565</v>
      </c>
      <c r="B567">
        <v>999</v>
      </c>
      <c r="C567">
        <v>2</v>
      </c>
      <c r="D567">
        <v>6</v>
      </c>
      <c r="E567">
        <v>1</v>
      </c>
      <c r="F567" t="s">
        <v>3321</v>
      </c>
      <c r="G567" t="s">
        <v>7952</v>
      </c>
      <c r="H567" t="s">
        <v>7952</v>
      </c>
    </row>
    <row r="568" spans="1:8" x14ac:dyDescent="0.25">
      <c r="A568">
        <v>566</v>
      </c>
      <c r="B568">
        <v>999</v>
      </c>
      <c r="C568">
        <v>2</v>
      </c>
      <c r="D568">
        <v>6</v>
      </c>
      <c r="E568">
        <v>1</v>
      </c>
      <c r="F568" t="s">
        <v>3321</v>
      </c>
      <c r="G568" t="s">
        <v>7953</v>
      </c>
      <c r="H568" t="s">
        <v>7953</v>
      </c>
    </row>
    <row r="569" spans="1:8" x14ac:dyDescent="0.25">
      <c r="A569">
        <v>567</v>
      </c>
      <c r="B569">
        <v>999</v>
      </c>
      <c r="C569">
        <v>2</v>
      </c>
      <c r="D569">
        <v>6</v>
      </c>
      <c r="E569">
        <v>1</v>
      </c>
      <c r="F569" t="s">
        <v>3321</v>
      </c>
      <c r="G569" t="s">
        <v>7954</v>
      </c>
      <c r="H569" t="s">
        <v>7954</v>
      </c>
    </row>
    <row r="570" spans="1:8" x14ac:dyDescent="0.25">
      <c r="A570">
        <v>568</v>
      </c>
      <c r="B570">
        <v>999</v>
      </c>
      <c r="C570">
        <v>2</v>
      </c>
      <c r="D570">
        <v>6</v>
      </c>
      <c r="E570">
        <v>0</v>
      </c>
      <c r="F570" t="s">
        <v>7955</v>
      </c>
      <c r="G570" t="s">
        <v>7956</v>
      </c>
    </row>
    <row r="571" spans="1:8" x14ac:dyDescent="0.25">
      <c r="A571">
        <v>569</v>
      </c>
      <c r="B571">
        <v>999</v>
      </c>
      <c r="C571">
        <v>2</v>
      </c>
      <c r="D571">
        <v>6</v>
      </c>
      <c r="E571">
        <v>1</v>
      </c>
      <c r="F571" t="s">
        <v>3321</v>
      </c>
      <c r="G571" t="s">
        <v>7957</v>
      </c>
      <c r="H571" t="s">
        <v>7957</v>
      </c>
    </row>
    <row r="572" spans="1:8" x14ac:dyDescent="0.25">
      <c r="A572">
        <v>570</v>
      </c>
      <c r="B572">
        <v>999</v>
      </c>
      <c r="C572">
        <v>2</v>
      </c>
      <c r="D572">
        <v>6</v>
      </c>
      <c r="E572">
        <v>1</v>
      </c>
      <c r="F572" t="s">
        <v>3321</v>
      </c>
      <c r="G572" t="s">
        <v>7958</v>
      </c>
      <c r="H572" t="s">
        <v>7958</v>
      </c>
    </row>
    <row r="573" spans="1:8" x14ac:dyDescent="0.25">
      <c r="A573">
        <v>571</v>
      </c>
      <c r="B573">
        <v>999</v>
      </c>
      <c r="C573">
        <v>2</v>
      </c>
      <c r="D573">
        <v>6</v>
      </c>
      <c r="E573">
        <v>0</v>
      </c>
      <c r="F573" t="s">
        <v>7959</v>
      </c>
      <c r="G573" t="s">
        <v>7960</v>
      </c>
      <c r="H573" t="s">
        <v>7960</v>
      </c>
    </row>
    <row r="574" spans="1:8" x14ac:dyDescent="0.25">
      <c r="A574">
        <v>572</v>
      </c>
      <c r="B574">
        <v>999</v>
      </c>
      <c r="C574">
        <v>2</v>
      </c>
      <c r="D574">
        <v>6</v>
      </c>
      <c r="E574">
        <v>0</v>
      </c>
      <c r="F574" t="s">
        <v>7955</v>
      </c>
      <c r="G574" t="s">
        <v>7961</v>
      </c>
      <c r="H574" t="s">
        <v>7961</v>
      </c>
    </row>
    <row r="575" spans="1:8" x14ac:dyDescent="0.25">
      <c r="A575">
        <v>573</v>
      </c>
      <c r="B575">
        <v>999</v>
      </c>
      <c r="C575">
        <v>2</v>
      </c>
      <c r="D575">
        <v>6</v>
      </c>
      <c r="E575">
        <v>0</v>
      </c>
      <c r="F575" t="s">
        <v>7898</v>
      </c>
      <c r="G575" t="s">
        <v>7962</v>
      </c>
      <c r="H575" t="s">
        <v>7962</v>
      </c>
    </row>
    <row r="576" spans="1:8" x14ac:dyDescent="0.25">
      <c r="A576">
        <v>574</v>
      </c>
      <c r="B576">
        <v>999</v>
      </c>
      <c r="C576">
        <v>2</v>
      </c>
      <c r="D576">
        <v>6</v>
      </c>
      <c r="E576">
        <v>1</v>
      </c>
      <c r="F576" t="s">
        <v>3321</v>
      </c>
      <c r="G576" t="s">
        <v>7963</v>
      </c>
      <c r="H576" t="s">
        <v>7963</v>
      </c>
    </row>
    <row r="577" spans="1:8" x14ac:dyDescent="0.25">
      <c r="A577">
        <v>575</v>
      </c>
      <c r="B577">
        <v>999</v>
      </c>
      <c r="C577">
        <v>2</v>
      </c>
      <c r="D577">
        <v>6</v>
      </c>
      <c r="E577">
        <v>1</v>
      </c>
      <c r="F577" t="s">
        <v>7964</v>
      </c>
      <c r="G577" t="s">
        <v>7965</v>
      </c>
      <c r="H577" t="s">
        <v>7965</v>
      </c>
    </row>
    <row r="578" spans="1:8" x14ac:dyDescent="0.25">
      <c r="A578">
        <v>576</v>
      </c>
      <c r="B578">
        <v>999</v>
      </c>
      <c r="C578">
        <v>2</v>
      </c>
      <c r="D578">
        <v>6</v>
      </c>
      <c r="E578">
        <v>1</v>
      </c>
      <c r="F578" t="s">
        <v>3321</v>
      </c>
      <c r="G578" t="s">
        <v>7966</v>
      </c>
      <c r="H578" t="s">
        <v>7966</v>
      </c>
    </row>
    <row r="579" spans="1:8" x14ac:dyDescent="0.25">
      <c r="A579">
        <v>577</v>
      </c>
      <c r="B579">
        <v>999</v>
      </c>
      <c r="C579">
        <v>2</v>
      </c>
      <c r="D579">
        <v>6</v>
      </c>
      <c r="E579">
        <v>1</v>
      </c>
      <c r="F579" t="s">
        <v>3321</v>
      </c>
      <c r="G579" t="s">
        <v>7967</v>
      </c>
      <c r="H579" t="s">
        <v>7967</v>
      </c>
    </row>
    <row r="580" spans="1:8" x14ac:dyDescent="0.25">
      <c r="A580">
        <v>578</v>
      </c>
      <c r="B580">
        <v>999</v>
      </c>
      <c r="C580">
        <v>2</v>
      </c>
      <c r="D580">
        <v>6</v>
      </c>
      <c r="E580">
        <v>0</v>
      </c>
      <c r="F580" t="s">
        <v>7474</v>
      </c>
      <c r="G580" t="s">
        <v>1181</v>
      </c>
      <c r="H580" t="s">
        <v>1181</v>
      </c>
    </row>
    <row r="581" spans="1:8" x14ac:dyDescent="0.25">
      <c r="A581">
        <v>579</v>
      </c>
      <c r="B581">
        <v>999</v>
      </c>
      <c r="C581">
        <v>2</v>
      </c>
      <c r="D581">
        <v>6</v>
      </c>
      <c r="E581">
        <v>1</v>
      </c>
      <c r="G581" t="s">
        <v>7968</v>
      </c>
      <c r="H581" t="s">
        <v>7968</v>
      </c>
    </row>
    <row r="582" spans="1:8" x14ac:dyDescent="0.25">
      <c r="A582">
        <v>580</v>
      </c>
      <c r="B582">
        <v>999</v>
      </c>
      <c r="C582">
        <v>2</v>
      </c>
      <c r="D582">
        <v>6</v>
      </c>
      <c r="E582">
        <v>1</v>
      </c>
      <c r="F582" t="s">
        <v>3321</v>
      </c>
      <c r="G582" t="s">
        <v>7969</v>
      </c>
      <c r="H582" t="s">
        <v>7969</v>
      </c>
    </row>
    <row r="583" spans="1:8" x14ac:dyDescent="0.25">
      <c r="A583">
        <v>581</v>
      </c>
      <c r="B583">
        <v>999</v>
      </c>
      <c r="C583">
        <v>2</v>
      </c>
      <c r="D583">
        <v>6</v>
      </c>
      <c r="E583">
        <v>1</v>
      </c>
      <c r="F583" t="s">
        <v>3321</v>
      </c>
      <c r="G583" t="s">
        <v>7970</v>
      </c>
      <c r="H583" t="s">
        <v>7970</v>
      </c>
    </row>
    <row r="584" spans="1:8" x14ac:dyDescent="0.25">
      <c r="A584">
        <v>582</v>
      </c>
      <c r="B584">
        <v>999</v>
      </c>
      <c r="C584">
        <v>2</v>
      </c>
      <c r="D584">
        <v>6</v>
      </c>
      <c r="E584">
        <v>1</v>
      </c>
      <c r="F584" t="s">
        <v>3321</v>
      </c>
      <c r="G584" t="s">
        <v>7971</v>
      </c>
      <c r="H584" t="s">
        <v>7971</v>
      </c>
    </row>
    <row r="585" spans="1:8" x14ac:dyDescent="0.25">
      <c r="A585">
        <v>583</v>
      </c>
      <c r="B585">
        <v>999</v>
      </c>
      <c r="C585">
        <v>2</v>
      </c>
      <c r="D585">
        <v>6</v>
      </c>
      <c r="E585">
        <v>1</v>
      </c>
      <c r="F585" t="s">
        <v>7413</v>
      </c>
      <c r="G585" t="s">
        <v>7972</v>
      </c>
      <c r="H585" t="s">
        <v>7972</v>
      </c>
    </row>
    <row r="586" spans="1:8" x14ac:dyDescent="0.25">
      <c r="A586">
        <v>584</v>
      </c>
      <c r="B586">
        <v>999</v>
      </c>
      <c r="C586">
        <v>2</v>
      </c>
      <c r="D586">
        <v>6</v>
      </c>
      <c r="E586">
        <v>1</v>
      </c>
      <c r="F586" t="s">
        <v>3321</v>
      </c>
      <c r="G586" t="s">
        <v>7973</v>
      </c>
      <c r="H586" t="s">
        <v>7973</v>
      </c>
    </row>
    <row r="587" spans="1:8" x14ac:dyDescent="0.25">
      <c r="A587">
        <v>585</v>
      </c>
      <c r="B587">
        <v>999</v>
      </c>
      <c r="C587">
        <v>2</v>
      </c>
      <c r="D587">
        <v>6</v>
      </c>
      <c r="E587">
        <v>1</v>
      </c>
      <c r="F587" t="s">
        <v>3321</v>
      </c>
      <c r="G587" t="s">
        <v>7974</v>
      </c>
      <c r="H587" t="s">
        <v>7974</v>
      </c>
    </row>
    <row r="588" spans="1:8" x14ac:dyDescent="0.25">
      <c r="A588">
        <v>586</v>
      </c>
      <c r="B588">
        <v>999</v>
      </c>
      <c r="C588">
        <v>2</v>
      </c>
      <c r="D588">
        <v>6</v>
      </c>
      <c r="E588">
        <v>0</v>
      </c>
      <c r="F588" t="s">
        <v>7474</v>
      </c>
      <c r="G588" t="s">
        <v>7975</v>
      </c>
      <c r="H588" t="s">
        <v>7975</v>
      </c>
    </row>
    <row r="589" spans="1:8" x14ac:dyDescent="0.25">
      <c r="A589">
        <v>587</v>
      </c>
      <c r="B589">
        <v>999</v>
      </c>
      <c r="C589">
        <v>2</v>
      </c>
      <c r="D589">
        <v>6</v>
      </c>
      <c r="E589">
        <v>0</v>
      </c>
      <c r="F589" t="s">
        <v>7474</v>
      </c>
      <c r="G589" t="s">
        <v>7976</v>
      </c>
      <c r="H589" t="s">
        <v>7976</v>
      </c>
    </row>
    <row r="590" spans="1:8" x14ac:dyDescent="0.25">
      <c r="A590">
        <v>588</v>
      </c>
      <c r="B590">
        <v>999</v>
      </c>
      <c r="C590">
        <v>2</v>
      </c>
      <c r="D590">
        <v>4</v>
      </c>
      <c r="E590">
        <v>1</v>
      </c>
      <c r="G590" t="s">
        <v>7977</v>
      </c>
    </row>
    <row r="591" spans="1:8" x14ac:dyDescent="0.25">
      <c r="A591">
        <v>589</v>
      </c>
      <c r="B591">
        <v>999</v>
      </c>
      <c r="C591">
        <v>2</v>
      </c>
      <c r="D591">
        <v>6</v>
      </c>
      <c r="E591">
        <v>0</v>
      </c>
      <c r="F591" t="s">
        <v>7898</v>
      </c>
      <c r="G591" t="s">
        <v>7978</v>
      </c>
      <c r="H591" t="s">
        <v>7978</v>
      </c>
    </row>
    <row r="592" spans="1:8" x14ac:dyDescent="0.25">
      <c r="A592">
        <v>590</v>
      </c>
      <c r="B592">
        <v>999</v>
      </c>
      <c r="C592">
        <v>2</v>
      </c>
      <c r="D592">
        <v>6</v>
      </c>
      <c r="E592">
        <v>1</v>
      </c>
      <c r="F592" t="s">
        <v>3321</v>
      </c>
      <c r="G592" t="s">
        <v>7979</v>
      </c>
      <c r="H592" t="s">
        <v>7979</v>
      </c>
    </row>
    <row r="593" spans="1:8" x14ac:dyDescent="0.25">
      <c r="A593">
        <v>591</v>
      </c>
      <c r="B593">
        <v>999</v>
      </c>
      <c r="C593">
        <v>2</v>
      </c>
      <c r="D593">
        <v>6</v>
      </c>
      <c r="E593">
        <v>1</v>
      </c>
      <c r="F593" t="s">
        <v>3321</v>
      </c>
      <c r="G593" t="s">
        <v>7980</v>
      </c>
      <c r="H593" t="s">
        <v>7980</v>
      </c>
    </row>
    <row r="594" spans="1:8" x14ac:dyDescent="0.25">
      <c r="A594">
        <v>592</v>
      </c>
      <c r="B594">
        <v>999</v>
      </c>
      <c r="C594">
        <v>2</v>
      </c>
      <c r="D594">
        <v>6</v>
      </c>
      <c r="E594">
        <v>0</v>
      </c>
      <c r="F594" t="s">
        <v>7898</v>
      </c>
      <c r="G594" t="s">
        <v>7981</v>
      </c>
      <c r="H594" t="s">
        <v>7981</v>
      </c>
    </row>
    <row r="595" spans="1:8" x14ac:dyDescent="0.25">
      <c r="A595">
        <v>593</v>
      </c>
      <c r="B595">
        <v>999</v>
      </c>
      <c r="C595">
        <v>2</v>
      </c>
      <c r="D595">
        <v>6</v>
      </c>
      <c r="E595">
        <v>0</v>
      </c>
      <c r="F595" t="s">
        <v>7474</v>
      </c>
      <c r="G595" t="s">
        <v>7982</v>
      </c>
      <c r="H595" t="s">
        <v>7982</v>
      </c>
    </row>
    <row r="596" spans="1:8" x14ac:dyDescent="0.25">
      <c r="A596">
        <v>594</v>
      </c>
      <c r="B596">
        <v>999</v>
      </c>
      <c r="C596">
        <v>2</v>
      </c>
      <c r="D596">
        <v>6</v>
      </c>
      <c r="E596">
        <v>1</v>
      </c>
      <c r="F596" t="s">
        <v>3321</v>
      </c>
      <c r="G596" t="s">
        <v>7983</v>
      </c>
      <c r="H596" t="s">
        <v>7983</v>
      </c>
    </row>
    <row r="597" spans="1:8" x14ac:dyDescent="0.25">
      <c r="A597">
        <v>595</v>
      </c>
      <c r="B597">
        <v>999</v>
      </c>
      <c r="C597">
        <v>2</v>
      </c>
      <c r="D597">
        <v>6</v>
      </c>
      <c r="E597">
        <v>0</v>
      </c>
      <c r="F597" t="s">
        <v>7898</v>
      </c>
      <c r="G597" t="s">
        <v>7984</v>
      </c>
      <c r="H597" t="s">
        <v>7984</v>
      </c>
    </row>
    <row r="598" spans="1:8" x14ac:dyDescent="0.25">
      <c r="A598">
        <v>596</v>
      </c>
      <c r="B598">
        <v>999</v>
      </c>
      <c r="C598">
        <v>2</v>
      </c>
      <c r="D598">
        <v>6</v>
      </c>
      <c r="E598">
        <v>1</v>
      </c>
      <c r="F598" t="s">
        <v>3321</v>
      </c>
      <c r="G598" t="s">
        <v>7985</v>
      </c>
      <c r="H598" t="s">
        <v>7985</v>
      </c>
    </row>
    <row r="599" spans="1:8" x14ac:dyDescent="0.25">
      <c r="A599">
        <v>597</v>
      </c>
      <c r="B599">
        <v>999</v>
      </c>
      <c r="C599">
        <v>2</v>
      </c>
      <c r="D599">
        <v>6</v>
      </c>
      <c r="E599">
        <v>0</v>
      </c>
      <c r="F599" t="s">
        <v>7474</v>
      </c>
      <c r="G599" t="s">
        <v>7986</v>
      </c>
      <c r="H599" t="s">
        <v>7986</v>
      </c>
    </row>
    <row r="600" spans="1:8" x14ac:dyDescent="0.25">
      <c r="A600">
        <v>598</v>
      </c>
      <c r="B600">
        <v>999</v>
      </c>
      <c r="C600">
        <v>2</v>
      </c>
      <c r="D600">
        <v>6</v>
      </c>
      <c r="E600">
        <v>1</v>
      </c>
      <c r="F600" t="s">
        <v>3321</v>
      </c>
      <c r="G600" t="s">
        <v>7987</v>
      </c>
      <c r="H600" t="s">
        <v>7988</v>
      </c>
    </row>
    <row r="601" spans="1:8" x14ac:dyDescent="0.25">
      <c r="A601">
        <v>599</v>
      </c>
      <c r="B601">
        <v>999</v>
      </c>
      <c r="C601">
        <v>2</v>
      </c>
      <c r="D601">
        <v>6</v>
      </c>
      <c r="E601">
        <v>1</v>
      </c>
      <c r="F601" t="s">
        <v>3321</v>
      </c>
      <c r="G601" t="s">
        <v>7989</v>
      </c>
      <c r="H601" t="s">
        <v>7989</v>
      </c>
    </row>
    <row r="602" spans="1:8" x14ac:dyDescent="0.25">
      <c r="A602">
        <v>600</v>
      </c>
      <c r="B602">
        <v>999</v>
      </c>
      <c r="C602">
        <v>2</v>
      </c>
      <c r="D602">
        <v>6</v>
      </c>
      <c r="E602">
        <v>1</v>
      </c>
      <c r="F602" t="s">
        <v>3321</v>
      </c>
      <c r="G602" t="s">
        <v>7990</v>
      </c>
      <c r="H602" t="s">
        <v>7990</v>
      </c>
    </row>
    <row r="603" spans="1:8" x14ac:dyDescent="0.25">
      <c r="A603">
        <v>601</v>
      </c>
      <c r="B603">
        <v>999</v>
      </c>
      <c r="C603">
        <v>100</v>
      </c>
      <c r="D603">
        <v>10</v>
      </c>
      <c r="E603">
        <v>1</v>
      </c>
      <c r="F603" t="s">
        <v>3321</v>
      </c>
      <c r="G603" t="s">
        <v>7991</v>
      </c>
      <c r="H603" t="s">
        <v>7991</v>
      </c>
    </row>
    <row r="604" spans="1:8" x14ac:dyDescent="0.25">
      <c r="A604">
        <v>602</v>
      </c>
      <c r="B604">
        <v>999</v>
      </c>
      <c r="C604">
        <v>2</v>
      </c>
      <c r="D604">
        <v>6</v>
      </c>
      <c r="E604">
        <v>1</v>
      </c>
      <c r="F604" t="s">
        <v>3321</v>
      </c>
      <c r="G604" t="s">
        <v>7992</v>
      </c>
      <c r="H604" t="s">
        <v>7992</v>
      </c>
    </row>
    <row r="605" spans="1:8" x14ac:dyDescent="0.25">
      <c r="A605">
        <v>603</v>
      </c>
      <c r="B605">
        <v>999</v>
      </c>
      <c r="C605">
        <v>2</v>
      </c>
      <c r="D605">
        <v>6</v>
      </c>
      <c r="E605">
        <v>1</v>
      </c>
      <c r="F605" t="s">
        <v>3321</v>
      </c>
      <c r="G605" t="s">
        <v>7993</v>
      </c>
      <c r="H605" t="s">
        <v>7993</v>
      </c>
    </row>
    <row r="606" spans="1:8" x14ac:dyDescent="0.25">
      <c r="A606">
        <v>604</v>
      </c>
      <c r="B606">
        <v>999</v>
      </c>
      <c r="C606">
        <v>2</v>
      </c>
      <c r="D606">
        <v>6</v>
      </c>
      <c r="E606">
        <v>1</v>
      </c>
      <c r="F606" t="s">
        <v>3321</v>
      </c>
      <c r="G606" t="s">
        <v>7994</v>
      </c>
      <c r="H606" t="s">
        <v>7994</v>
      </c>
    </row>
    <row r="607" spans="1:8" x14ac:dyDescent="0.25">
      <c r="A607">
        <v>605</v>
      </c>
      <c r="B607">
        <v>999</v>
      </c>
      <c r="C607">
        <v>2</v>
      </c>
      <c r="D607">
        <v>6</v>
      </c>
      <c r="E607">
        <v>1</v>
      </c>
      <c r="F607" t="s">
        <v>3321</v>
      </c>
      <c r="G607" t="s">
        <v>7995</v>
      </c>
      <c r="H607" t="s">
        <v>7995</v>
      </c>
    </row>
    <row r="608" spans="1:8" x14ac:dyDescent="0.25">
      <c r="A608">
        <v>606</v>
      </c>
      <c r="B608">
        <v>999</v>
      </c>
      <c r="C608">
        <v>2</v>
      </c>
      <c r="D608">
        <v>6</v>
      </c>
      <c r="E608">
        <v>0</v>
      </c>
      <c r="F608" t="s">
        <v>7804</v>
      </c>
      <c r="G608" t="s">
        <v>1184</v>
      </c>
      <c r="H608" t="s">
        <v>1184</v>
      </c>
    </row>
    <row r="609" spans="1:8" x14ac:dyDescent="0.25">
      <c r="A609">
        <v>607</v>
      </c>
      <c r="B609">
        <v>999</v>
      </c>
      <c r="C609">
        <v>2</v>
      </c>
      <c r="D609">
        <v>6</v>
      </c>
      <c r="E609">
        <v>1</v>
      </c>
      <c r="F609" t="s">
        <v>3321</v>
      </c>
      <c r="G609" t="s">
        <v>7996</v>
      </c>
      <c r="H609" t="s">
        <v>7996</v>
      </c>
    </row>
    <row r="610" spans="1:8" x14ac:dyDescent="0.25">
      <c r="A610">
        <v>608</v>
      </c>
      <c r="B610">
        <v>999</v>
      </c>
      <c r="C610">
        <v>2</v>
      </c>
      <c r="D610">
        <v>6</v>
      </c>
      <c r="E610">
        <v>1</v>
      </c>
      <c r="F610" t="s">
        <v>3321</v>
      </c>
      <c r="G610" t="s">
        <v>7997</v>
      </c>
      <c r="H610" t="s">
        <v>7997</v>
      </c>
    </row>
    <row r="611" spans="1:8" x14ac:dyDescent="0.25">
      <c r="A611">
        <v>609</v>
      </c>
      <c r="B611">
        <v>999</v>
      </c>
      <c r="C611">
        <v>2</v>
      </c>
      <c r="D611">
        <v>6</v>
      </c>
      <c r="E611">
        <v>1</v>
      </c>
      <c r="F611" t="s">
        <v>3321</v>
      </c>
      <c r="G611" t="s">
        <v>7998</v>
      </c>
      <c r="H611" t="s">
        <v>7998</v>
      </c>
    </row>
    <row r="612" spans="1:8" x14ac:dyDescent="0.25">
      <c r="A612">
        <v>610</v>
      </c>
      <c r="B612">
        <v>999</v>
      </c>
      <c r="C612">
        <v>100</v>
      </c>
      <c r="D612">
        <v>10</v>
      </c>
      <c r="E612">
        <v>1</v>
      </c>
      <c r="F612" t="s">
        <v>3321</v>
      </c>
      <c r="G612" t="s">
        <v>7999</v>
      </c>
      <c r="H612" t="s">
        <v>7999</v>
      </c>
    </row>
    <row r="613" spans="1:8" x14ac:dyDescent="0.25">
      <c r="A613">
        <v>611</v>
      </c>
      <c r="B613">
        <v>999</v>
      </c>
      <c r="C613">
        <v>2</v>
      </c>
      <c r="D613">
        <v>6</v>
      </c>
      <c r="E613">
        <v>1</v>
      </c>
      <c r="F613" t="s">
        <v>3321</v>
      </c>
      <c r="G613" t="s">
        <v>8000</v>
      </c>
      <c r="H613" t="s">
        <v>8000</v>
      </c>
    </row>
    <row r="614" spans="1:8" x14ac:dyDescent="0.25">
      <c r="A614">
        <v>612</v>
      </c>
      <c r="B614">
        <v>999</v>
      </c>
      <c r="C614">
        <v>1</v>
      </c>
      <c r="D614">
        <v>10</v>
      </c>
      <c r="E614">
        <v>0</v>
      </c>
      <c r="F614" t="s">
        <v>7474</v>
      </c>
      <c r="G614" t="s">
        <v>8001</v>
      </c>
      <c r="H614" t="s">
        <v>8001</v>
      </c>
    </row>
    <row r="615" spans="1:8" x14ac:dyDescent="0.25">
      <c r="A615">
        <v>613</v>
      </c>
      <c r="B615">
        <v>999</v>
      </c>
      <c r="C615">
        <v>2</v>
      </c>
      <c r="D615">
        <v>6</v>
      </c>
      <c r="E615">
        <v>0</v>
      </c>
      <c r="F615" t="s">
        <v>7898</v>
      </c>
      <c r="G615" t="s">
        <v>8002</v>
      </c>
      <c r="H615" t="s">
        <v>8002</v>
      </c>
    </row>
    <row r="616" spans="1:8" x14ac:dyDescent="0.25">
      <c r="A616">
        <v>614</v>
      </c>
      <c r="B616">
        <v>999</v>
      </c>
      <c r="C616">
        <v>100</v>
      </c>
      <c r="D616">
        <v>10</v>
      </c>
      <c r="E616">
        <v>1</v>
      </c>
      <c r="F616" t="s">
        <v>3321</v>
      </c>
      <c r="G616" t="s">
        <v>8003</v>
      </c>
      <c r="H616" t="s">
        <v>8003</v>
      </c>
    </row>
    <row r="617" spans="1:8" x14ac:dyDescent="0.25">
      <c r="A617">
        <v>615</v>
      </c>
      <c r="B617">
        <v>999</v>
      </c>
      <c r="C617">
        <v>2</v>
      </c>
      <c r="D617">
        <v>3</v>
      </c>
      <c r="E617">
        <v>1</v>
      </c>
      <c r="G617" t="s">
        <v>8004</v>
      </c>
      <c r="H617" t="s">
        <v>8004</v>
      </c>
    </row>
    <row r="618" spans="1:8" x14ac:dyDescent="0.25">
      <c r="A618">
        <v>616</v>
      </c>
      <c r="B618">
        <v>999</v>
      </c>
      <c r="C618">
        <v>2</v>
      </c>
      <c r="D618">
        <v>6</v>
      </c>
      <c r="E618">
        <v>0</v>
      </c>
      <c r="F618" t="s">
        <v>7803</v>
      </c>
      <c r="G618" t="s">
        <v>1180</v>
      </c>
      <c r="H618" t="s">
        <v>1180</v>
      </c>
    </row>
    <row r="619" spans="1:8" x14ac:dyDescent="0.25">
      <c r="A619">
        <v>617</v>
      </c>
      <c r="B619">
        <v>999</v>
      </c>
      <c r="C619">
        <v>2</v>
      </c>
      <c r="D619">
        <v>7</v>
      </c>
      <c r="E619">
        <v>1</v>
      </c>
      <c r="G619" t="s">
        <v>8005</v>
      </c>
    </row>
    <row r="620" spans="1:8" x14ac:dyDescent="0.25">
      <c r="A620">
        <v>618</v>
      </c>
      <c r="B620">
        <v>999</v>
      </c>
      <c r="C620">
        <v>2</v>
      </c>
      <c r="D620">
        <v>6</v>
      </c>
      <c r="E620">
        <v>1</v>
      </c>
      <c r="F620" t="s">
        <v>3321</v>
      </c>
      <c r="G620" t="s">
        <v>8006</v>
      </c>
      <c r="H620" t="s">
        <v>8006</v>
      </c>
    </row>
    <row r="621" spans="1:8" x14ac:dyDescent="0.25">
      <c r="A621">
        <v>619</v>
      </c>
      <c r="B621">
        <v>999</v>
      </c>
      <c r="C621">
        <v>2</v>
      </c>
      <c r="D621">
        <v>7</v>
      </c>
      <c r="E621">
        <v>1</v>
      </c>
      <c r="G621" t="s">
        <v>8007</v>
      </c>
    </row>
    <row r="622" spans="1:8" x14ac:dyDescent="0.25">
      <c r="A622">
        <v>620</v>
      </c>
      <c r="B622">
        <v>999</v>
      </c>
      <c r="C622">
        <v>2</v>
      </c>
      <c r="D622">
        <v>6</v>
      </c>
      <c r="E622">
        <v>1</v>
      </c>
      <c r="F622" t="s">
        <v>3321</v>
      </c>
      <c r="G622" t="s">
        <v>8008</v>
      </c>
      <c r="H622" t="s">
        <v>8008</v>
      </c>
    </row>
    <row r="623" spans="1:8" x14ac:dyDescent="0.25">
      <c r="A623">
        <v>621</v>
      </c>
      <c r="B623">
        <v>999</v>
      </c>
      <c r="C623">
        <v>2</v>
      </c>
      <c r="D623">
        <v>6</v>
      </c>
      <c r="E623">
        <v>1</v>
      </c>
      <c r="F623" t="s">
        <v>3321</v>
      </c>
      <c r="G623" t="s">
        <v>8009</v>
      </c>
      <c r="H623" t="s">
        <v>8009</v>
      </c>
    </row>
    <row r="624" spans="1:8" x14ac:dyDescent="0.25">
      <c r="A624">
        <v>622</v>
      </c>
      <c r="B624">
        <v>999</v>
      </c>
      <c r="C624">
        <v>2</v>
      </c>
      <c r="D624">
        <v>6</v>
      </c>
      <c r="E624">
        <v>1</v>
      </c>
      <c r="F624" t="s">
        <v>3321</v>
      </c>
      <c r="G624" t="s">
        <v>8010</v>
      </c>
      <c r="H624" t="s">
        <v>8010</v>
      </c>
    </row>
    <row r="625" spans="1:8" x14ac:dyDescent="0.25">
      <c r="A625">
        <v>623</v>
      </c>
      <c r="B625">
        <v>999</v>
      </c>
      <c r="C625">
        <v>2</v>
      </c>
      <c r="D625">
        <v>7</v>
      </c>
      <c r="E625">
        <v>1</v>
      </c>
      <c r="F625" t="s">
        <v>8011</v>
      </c>
      <c r="G625" t="s">
        <v>8012</v>
      </c>
      <c r="H625" t="s">
        <v>8012</v>
      </c>
    </row>
    <row r="626" spans="1:8" x14ac:dyDescent="0.25">
      <c r="A626">
        <v>624</v>
      </c>
      <c r="B626">
        <v>999</v>
      </c>
      <c r="C626">
        <v>2</v>
      </c>
      <c r="D626">
        <v>6</v>
      </c>
      <c r="E626">
        <v>1</v>
      </c>
      <c r="F626" t="s">
        <v>7774</v>
      </c>
      <c r="G626" t="s">
        <v>8013</v>
      </c>
      <c r="H626" t="s">
        <v>8013</v>
      </c>
    </row>
    <row r="627" spans="1:8" x14ac:dyDescent="0.25">
      <c r="A627">
        <v>625</v>
      </c>
      <c r="B627">
        <v>999</v>
      </c>
      <c r="C627">
        <v>2</v>
      </c>
      <c r="D627">
        <v>6</v>
      </c>
      <c r="E627">
        <v>1</v>
      </c>
      <c r="F627" t="s">
        <v>3321</v>
      </c>
      <c r="G627" t="s">
        <v>8014</v>
      </c>
      <c r="H627" t="s">
        <v>8014</v>
      </c>
    </row>
    <row r="628" spans="1:8" x14ac:dyDescent="0.25">
      <c r="A628">
        <v>626</v>
      </c>
      <c r="B628">
        <v>999</v>
      </c>
      <c r="C628">
        <v>2</v>
      </c>
      <c r="D628">
        <v>7</v>
      </c>
      <c r="E628">
        <v>1</v>
      </c>
      <c r="G628" t="s">
        <v>8015</v>
      </c>
    </row>
    <row r="629" spans="1:8" x14ac:dyDescent="0.25">
      <c r="A629">
        <v>627</v>
      </c>
      <c r="B629">
        <v>999</v>
      </c>
      <c r="C629">
        <v>2</v>
      </c>
      <c r="D629">
        <v>6</v>
      </c>
      <c r="E629">
        <v>1</v>
      </c>
      <c r="F629" t="s">
        <v>3321</v>
      </c>
      <c r="G629" t="s">
        <v>7342</v>
      </c>
      <c r="H629" t="s">
        <v>8016</v>
      </c>
    </row>
    <row r="630" spans="1:8" x14ac:dyDescent="0.25">
      <c r="A630">
        <v>628</v>
      </c>
      <c r="B630">
        <v>999</v>
      </c>
      <c r="C630">
        <v>2</v>
      </c>
      <c r="D630">
        <v>6</v>
      </c>
      <c r="E630">
        <v>1</v>
      </c>
      <c r="F630" t="s">
        <v>3321</v>
      </c>
      <c r="G630" t="s">
        <v>8017</v>
      </c>
      <c r="H630" t="s">
        <v>8017</v>
      </c>
    </row>
    <row r="631" spans="1:8" x14ac:dyDescent="0.25">
      <c r="A631">
        <v>629</v>
      </c>
      <c r="B631">
        <v>999</v>
      </c>
      <c r="C631">
        <v>2</v>
      </c>
      <c r="D631">
        <v>6</v>
      </c>
      <c r="E631">
        <v>0</v>
      </c>
      <c r="F631" t="s">
        <v>7898</v>
      </c>
      <c r="G631" t="s">
        <v>8018</v>
      </c>
      <c r="H631" t="s">
        <v>8018</v>
      </c>
    </row>
    <row r="632" spans="1:8" x14ac:dyDescent="0.25">
      <c r="A632">
        <v>630</v>
      </c>
      <c r="B632">
        <v>999</v>
      </c>
      <c r="C632">
        <v>2</v>
      </c>
      <c r="D632">
        <v>6</v>
      </c>
      <c r="E632">
        <v>1</v>
      </c>
      <c r="F632" t="s">
        <v>3321</v>
      </c>
      <c r="G632" t="s">
        <v>8019</v>
      </c>
      <c r="H632" t="s">
        <v>8019</v>
      </c>
    </row>
    <row r="633" spans="1:8" x14ac:dyDescent="0.25">
      <c r="A633">
        <v>631</v>
      </c>
      <c r="B633">
        <v>100</v>
      </c>
      <c r="C633">
        <v>100</v>
      </c>
      <c r="D633">
        <v>5</v>
      </c>
      <c r="E633">
        <v>1</v>
      </c>
      <c r="G633" t="s">
        <v>8020</v>
      </c>
    </row>
    <row r="634" spans="1:8" x14ac:dyDescent="0.25">
      <c r="A634">
        <v>632</v>
      </c>
      <c r="B634">
        <v>999</v>
      </c>
      <c r="C634">
        <v>2</v>
      </c>
      <c r="D634">
        <v>6</v>
      </c>
      <c r="E634">
        <v>1</v>
      </c>
      <c r="F634" t="s">
        <v>3321</v>
      </c>
      <c r="G634" t="s">
        <v>8021</v>
      </c>
      <c r="H634" t="s">
        <v>8021</v>
      </c>
    </row>
    <row r="635" spans="1:8" x14ac:dyDescent="0.25">
      <c r="A635">
        <v>633</v>
      </c>
      <c r="B635">
        <v>999</v>
      </c>
      <c r="C635">
        <v>2</v>
      </c>
      <c r="D635">
        <v>6</v>
      </c>
      <c r="E635">
        <v>1</v>
      </c>
      <c r="F635" t="s">
        <v>8022</v>
      </c>
      <c r="G635" t="s">
        <v>8023</v>
      </c>
      <c r="H635" t="s">
        <v>8023</v>
      </c>
    </row>
    <row r="636" spans="1:8" x14ac:dyDescent="0.25">
      <c r="A636">
        <v>634</v>
      </c>
      <c r="B636">
        <v>115</v>
      </c>
      <c r="C636">
        <v>100</v>
      </c>
      <c r="D636">
        <v>5</v>
      </c>
      <c r="E636">
        <v>0</v>
      </c>
      <c r="F636" t="s">
        <v>7445</v>
      </c>
      <c r="G636" t="s">
        <v>8024</v>
      </c>
    </row>
    <row r="637" spans="1:8" x14ac:dyDescent="0.25">
      <c r="A637">
        <v>635</v>
      </c>
      <c r="B637">
        <v>999</v>
      </c>
      <c r="C637">
        <v>2</v>
      </c>
      <c r="D637">
        <v>6</v>
      </c>
      <c r="E637">
        <v>1</v>
      </c>
      <c r="F637" t="s">
        <v>3321</v>
      </c>
      <c r="G637" t="s">
        <v>8025</v>
      </c>
      <c r="H637" t="s">
        <v>8025</v>
      </c>
    </row>
    <row r="638" spans="1:8" x14ac:dyDescent="0.25">
      <c r="A638">
        <v>636</v>
      </c>
      <c r="B638">
        <v>999</v>
      </c>
      <c r="C638">
        <v>2</v>
      </c>
      <c r="D638">
        <v>6</v>
      </c>
      <c r="E638">
        <v>1</v>
      </c>
      <c r="G638" t="s">
        <v>8026</v>
      </c>
    </row>
    <row r="639" spans="1:8" x14ac:dyDescent="0.25">
      <c r="A639">
        <v>637</v>
      </c>
      <c r="B639">
        <v>238</v>
      </c>
      <c r="C639">
        <v>1</v>
      </c>
      <c r="D639">
        <v>5</v>
      </c>
      <c r="E639">
        <v>1</v>
      </c>
      <c r="G639" t="s">
        <v>8027</v>
      </c>
    </row>
    <row r="640" spans="1:8" x14ac:dyDescent="0.25">
      <c r="A640">
        <v>638</v>
      </c>
      <c r="B640">
        <v>289</v>
      </c>
      <c r="C640">
        <v>2</v>
      </c>
      <c r="D640">
        <v>4</v>
      </c>
      <c r="E640">
        <v>1</v>
      </c>
      <c r="G640" t="s">
        <v>8028</v>
      </c>
    </row>
    <row r="641" spans="1:8" x14ac:dyDescent="0.25">
      <c r="A641">
        <v>639</v>
      </c>
      <c r="B641">
        <v>999</v>
      </c>
      <c r="C641">
        <v>2</v>
      </c>
      <c r="D641">
        <v>6</v>
      </c>
      <c r="E641">
        <v>1</v>
      </c>
      <c r="F641" t="s">
        <v>3321</v>
      </c>
      <c r="G641" t="s">
        <v>8029</v>
      </c>
      <c r="H641" t="s">
        <v>8029</v>
      </c>
    </row>
    <row r="642" spans="1:8" x14ac:dyDescent="0.25">
      <c r="A642">
        <v>640</v>
      </c>
      <c r="B642">
        <v>999</v>
      </c>
      <c r="C642">
        <v>2</v>
      </c>
      <c r="D642">
        <v>6</v>
      </c>
      <c r="E642">
        <v>1</v>
      </c>
      <c r="F642" t="s">
        <v>3321</v>
      </c>
      <c r="G642" t="s">
        <v>8030</v>
      </c>
      <c r="H642" t="s">
        <v>8030</v>
      </c>
    </row>
    <row r="643" spans="1:8" x14ac:dyDescent="0.25">
      <c r="A643">
        <v>641</v>
      </c>
      <c r="B643">
        <v>999</v>
      </c>
      <c r="C643">
        <v>2</v>
      </c>
      <c r="D643">
        <v>6</v>
      </c>
      <c r="E643">
        <v>1</v>
      </c>
      <c r="G643" t="s">
        <v>8031</v>
      </c>
    </row>
    <row r="644" spans="1:8" x14ac:dyDescent="0.25">
      <c r="A644">
        <v>642</v>
      </c>
      <c r="B644">
        <v>238</v>
      </c>
      <c r="C644">
        <v>2</v>
      </c>
      <c r="D644">
        <v>5</v>
      </c>
      <c r="E644">
        <v>1</v>
      </c>
      <c r="G644" t="s">
        <v>8032</v>
      </c>
    </row>
    <row r="645" spans="1:8" x14ac:dyDescent="0.25">
      <c r="A645">
        <v>643</v>
      </c>
      <c r="B645">
        <v>255</v>
      </c>
      <c r="C645">
        <v>2</v>
      </c>
      <c r="D645">
        <v>7</v>
      </c>
      <c r="E645">
        <v>1</v>
      </c>
      <c r="G645" t="s">
        <v>8033</v>
      </c>
    </row>
    <row r="646" spans="1:8" x14ac:dyDescent="0.25">
      <c r="A646">
        <v>644</v>
      </c>
      <c r="B646">
        <v>999</v>
      </c>
      <c r="C646">
        <v>2</v>
      </c>
      <c r="D646">
        <v>6</v>
      </c>
      <c r="E646">
        <v>0</v>
      </c>
      <c r="F646" t="s">
        <v>7872</v>
      </c>
      <c r="G646" t="s">
        <v>8034</v>
      </c>
      <c r="H646" t="s">
        <v>8034</v>
      </c>
    </row>
    <row r="647" spans="1:8" x14ac:dyDescent="0.25">
      <c r="A647">
        <v>645</v>
      </c>
      <c r="B647">
        <v>999</v>
      </c>
      <c r="C647">
        <v>2</v>
      </c>
      <c r="D647">
        <v>6</v>
      </c>
      <c r="E647">
        <v>1</v>
      </c>
      <c r="F647" t="s">
        <v>3321</v>
      </c>
      <c r="G647" t="s">
        <v>8035</v>
      </c>
      <c r="H647" t="s">
        <v>8035</v>
      </c>
    </row>
    <row r="648" spans="1:8" x14ac:dyDescent="0.25">
      <c r="A648">
        <v>646</v>
      </c>
      <c r="B648">
        <v>999</v>
      </c>
      <c r="C648">
        <v>2</v>
      </c>
      <c r="D648">
        <v>7</v>
      </c>
      <c r="E648">
        <v>1</v>
      </c>
      <c r="G648" t="s">
        <v>8036</v>
      </c>
    </row>
    <row r="649" spans="1:8" x14ac:dyDescent="0.25">
      <c r="A649">
        <v>647</v>
      </c>
      <c r="B649">
        <v>999</v>
      </c>
      <c r="C649">
        <v>2</v>
      </c>
      <c r="D649">
        <v>6</v>
      </c>
      <c r="E649">
        <v>1</v>
      </c>
      <c r="F649" t="s">
        <v>3321</v>
      </c>
      <c r="G649" t="s">
        <v>8037</v>
      </c>
      <c r="H649" t="s">
        <v>8037</v>
      </c>
    </row>
    <row r="650" spans="1:8" x14ac:dyDescent="0.25">
      <c r="A650">
        <v>648</v>
      </c>
      <c r="B650">
        <v>999</v>
      </c>
      <c r="C650">
        <v>2</v>
      </c>
      <c r="D650">
        <v>6</v>
      </c>
      <c r="E650">
        <v>1</v>
      </c>
      <c r="F650" t="s">
        <v>3321</v>
      </c>
      <c r="G650" t="s">
        <v>8038</v>
      </c>
      <c r="H650" t="s">
        <v>8038</v>
      </c>
    </row>
    <row r="651" spans="1:8" x14ac:dyDescent="0.25">
      <c r="A651">
        <v>649</v>
      </c>
      <c r="B651">
        <v>999</v>
      </c>
      <c r="C651">
        <v>2</v>
      </c>
      <c r="D651">
        <v>6</v>
      </c>
      <c r="E651">
        <v>1</v>
      </c>
      <c r="F651" t="s">
        <v>3321</v>
      </c>
      <c r="G651" t="s">
        <v>8039</v>
      </c>
      <c r="H651" t="s">
        <v>8039</v>
      </c>
    </row>
    <row r="652" spans="1:8" x14ac:dyDescent="0.25">
      <c r="A652">
        <v>650</v>
      </c>
      <c r="B652">
        <v>999</v>
      </c>
      <c r="C652">
        <v>2</v>
      </c>
      <c r="D652">
        <v>6</v>
      </c>
      <c r="E652">
        <v>1</v>
      </c>
      <c r="F652" t="s">
        <v>3321</v>
      </c>
      <c r="G652" t="s">
        <v>8040</v>
      </c>
      <c r="H652" t="s">
        <v>8040</v>
      </c>
    </row>
    <row r="653" spans="1:8" x14ac:dyDescent="0.25">
      <c r="A653">
        <v>651</v>
      </c>
      <c r="B653">
        <v>999</v>
      </c>
      <c r="C653">
        <v>2</v>
      </c>
      <c r="D653">
        <v>3</v>
      </c>
      <c r="E653">
        <v>0</v>
      </c>
      <c r="F653" t="s">
        <v>8041</v>
      </c>
      <c r="G653" t="s">
        <v>3466</v>
      </c>
      <c r="H653" t="s">
        <v>3466</v>
      </c>
    </row>
    <row r="654" spans="1:8" x14ac:dyDescent="0.25">
      <c r="A654">
        <v>652</v>
      </c>
      <c r="B654">
        <v>999</v>
      </c>
      <c r="C654">
        <v>2</v>
      </c>
      <c r="D654">
        <v>3</v>
      </c>
      <c r="E654">
        <v>0</v>
      </c>
      <c r="F654" t="s">
        <v>8042</v>
      </c>
      <c r="G654" t="s">
        <v>1807</v>
      </c>
      <c r="H654" t="s">
        <v>1807</v>
      </c>
    </row>
    <row r="655" spans="1:8" x14ac:dyDescent="0.25">
      <c r="A655">
        <v>653</v>
      </c>
      <c r="B655">
        <v>999</v>
      </c>
      <c r="C655">
        <v>2</v>
      </c>
      <c r="D655">
        <v>6</v>
      </c>
      <c r="E655">
        <v>1</v>
      </c>
      <c r="F655" t="s">
        <v>3321</v>
      </c>
      <c r="G655" t="s">
        <v>8043</v>
      </c>
      <c r="H655" t="s">
        <v>8043</v>
      </c>
    </row>
    <row r="656" spans="1:8" x14ac:dyDescent="0.25">
      <c r="A656">
        <v>654</v>
      </c>
      <c r="B656">
        <v>999</v>
      </c>
      <c r="C656">
        <v>2</v>
      </c>
      <c r="D656">
        <v>6</v>
      </c>
      <c r="E656">
        <v>1</v>
      </c>
      <c r="F656" t="s">
        <v>3321</v>
      </c>
      <c r="G656" t="s">
        <v>8044</v>
      </c>
      <c r="H656" t="s">
        <v>8044</v>
      </c>
    </row>
    <row r="657" spans="1:8" x14ac:dyDescent="0.25">
      <c r="A657">
        <v>655</v>
      </c>
      <c r="B657">
        <v>999</v>
      </c>
      <c r="C657">
        <v>2</v>
      </c>
      <c r="D657">
        <v>6</v>
      </c>
      <c r="E657">
        <v>1</v>
      </c>
      <c r="F657" t="s">
        <v>3321</v>
      </c>
      <c r="G657" t="s">
        <v>8045</v>
      </c>
      <c r="H657" t="s">
        <v>8045</v>
      </c>
    </row>
    <row r="658" spans="1:8" x14ac:dyDescent="0.25">
      <c r="A658">
        <v>656</v>
      </c>
      <c r="B658">
        <v>999</v>
      </c>
      <c r="C658">
        <v>2</v>
      </c>
      <c r="D658">
        <v>6</v>
      </c>
      <c r="E658">
        <v>1</v>
      </c>
      <c r="F658" t="s">
        <v>3321</v>
      </c>
      <c r="G658" t="s">
        <v>8046</v>
      </c>
      <c r="H658" t="s">
        <v>8046</v>
      </c>
    </row>
    <row r="659" spans="1:8" x14ac:dyDescent="0.25">
      <c r="A659">
        <v>657</v>
      </c>
      <c r="B659">
        <v>999</v>
      </c>
      <c r="C659">
        <v>2</v>
      </c>
      <c r="D659">
        <v>6</v>
      </c>
      <c r="E659">
        <v>1</v>
      </c>
      <c r="F659" t="s">
        <v>3321</v>
      </c>
      <c r="G659" t="s">
        <v>8047</v>
      </c>
      <c r="H659" t="s">
        <v>8047</v>
      </c>
    </row>
    <row r="660" spans="1:8" x14ac:dyDescent="0.25">
      <c r="A660">
        <v>658</v>
      </c>
      <c r="B660">
        <v>115</v>
      </c>
      <c r="C660">
        <v>100</v>
      </c>
      <c r="D660">
        <v>5</v>
      </c>
      <c r="E660">
        <v>1</v>
      </c>
      <c r="G660" t="s">
        <v>8048</v>
      </c>
    </row>
    <row r="661" spans="1:8" x14ac:dyDescent="0.25">
      <c r="A661">
        <v>659</v>
      </c>
      <c r="B661">
        <v>999</v>
      </c>
      <c r="C661">
        <v>2</v>
      </c>
      <c r="D661">
        <v>6</v>
      </c>
      <c r="E661">
        <v>1</v>
      </c>
      <c r="F661" t="s">
        <v>3321</v>
      </c>
      <c r="G661" t="s">
        <v>8049</v>
      </c>
      <c r="H661" t="s">
        <v>8049</v>
      </c>
    </row>
    <row r="662" spans="1:8" x14ac:dyDescent="0.25">
      <c r="A662">
        <v>660</v>
      </c>
      <c r="B662">
        <v>999</v>
      </c>
      <c r="C662">
        <v>2</v>
      </c>
      <c r="D662">
        <v>7</v>
      </c>
      <c r="E662">
        <v>1</v>
      </c>
      <c r="G662" t="s">
        <v>8050</v>
      </c>
      <c r="H662" t="s">
        <v>8050</v>
      </c>
    </row>
    <row r="663" spans="1:8" x14ac:dyDescent="0.25">
      <c r="A663">
        <v>661</v>
      </c>
      <c r="B663">
        <v>149</v>
      </c>
      <c r="C663">
        <v>100</v>
      </c>
      <c r="D663">
        <v>5</v>
      </c>
      <c r="E663">
        <v>1</v>
      </c>
      <c r="G663" t="s">
        <v>8051</v>
      </c>
    </row>
    <row r="664" spans="1:8" x14ac:dyDescent="0.25">
      <c r="A664">
        <v>662</v>
      </c>
      <c r="B664">
        <v>999</v>
      </c>
      <c r="C664">
        <v>2</v>
      </c>
      <c r="D664">
        <v>6</v>
      </c>
      <c r="E664">
        <v>1</v>
      </c>
      <c r="F664" t="s">
        <v>3321</v>
      </c>
      <c r="G664" t="s">
        <v>8052</v>
      </c>
      <c r="H664" t="s">
        <v>8052</v>
      </c>
    </row>
    <row r="665" spans="1:8" x14ac:dyDescent="0.25">
      <c r="A665">
        <v>663</v>
      </c>
      <c r="B665">
        <v>999</v>
      </c>
      <c r="C665">
        <v>2</v>
      </c>
      <c r="D665">
        <v>6</v>
      </c>
      <c r="E665">
        <v>1</v>
      </c>
      <c r="F665" t="s">
        <v>8053</v>
      </c>
      <c r="G665" t="s">
        <v>8054</v>
      </c>
      <c r="H665" t="s">
        <v>8054</v>
      </c>
    </row>
    <row r="666" spans="1:8" x14ac:dyDescent="0.25">
      <c r="A666">
        <v>664</v>
      </c>
      <c r="B666">
        <v>999</v>
      </c>
      <c r="C666">
        <v>2</v>
      </c>
      <c r="D666">
        <v>6</v>
      </c>
      <c r="E666">
        <v>1</v>
      </c>
      <c r="F666" t="s">
        <v>3321</v>
      </c>
      <c r="G666" t="s">
        <v>8055</v>
      </c>
      <c r="H666" t="s">
        <v>8055</v>
      </c>
    </row>
    <row r="667" spans="1:8" x14ac:dyDescent="0.25">
      <c r="A667">
        <v>665</v>
      </c>
      <c r="B667">
        <v>228</v>
      </c>
      <c r="C667">
        <v>2</v>
      </c>
      <c r="D667">
        <v>3</v>
      </c>
      <c r="E667">
        <v>1</v>
      </c>
      <c r="G667" t="s">
        <v>8056</v>
      </c>
    </row>
    <row r="668" spans="1:8" x14ac:dyDescent="0.25">
      <c r="A668">
        <v>666</v>
      </c>
      <c r="B668">
        <v>999</v>
      </c>
      <c r="C668">
        <v>2</v>
      </c>
      <c r="D668">
        <v>6</v>
      </c>
      <c r="E668">
        <v>1</v>
      </c>
      <c r="F668" t="s">
        <v>3321</v>
      </c>
      <c r="G668" t="s">
        <v>8057</v>
      </c>
      <c r="H668" t="s">
        <v>8057</v>
      </c>
    </row>
    <row r="669" spans="1:8" x14ac:dyDescent="0.25">
      <c r="A669">
        <v>667</v>
      </c>
      <c r="B669">
        <v>999</v>
      </c>
      <c r="C669">
        <v>2</v>
      </c>
      <c r="D669">
        <v>6</v>
      </c>
      <c r="E669">
        <v>1</v>
      </c>
      <c r="F669" t="s">
        <v>3321</v>
      </c>
      <c r="G669" t="s">
        <v>8058</v>
      </c>
      <c r="H669" t="s">
        <v>8058</v>
      </c>
    </row>
    <row r="670" spans="1:8" x14ac:dyDescent="0.25">
      <c r="A670">
        <v>668</v>
      </c>
      <c r="B670">
        <v>999</v>
      </c>
      <c r="C670">
        <v>2</v>
      </c>
      <c r="D670">
        <v>7</v>
      </c>
      <c r="E670">
        <v>1</v>
      </c>
      <c r="G670" t="s">
        <v>8059</v>
      </c>
    </row>
    <row r="671" spans="1:8" x14ac:dyDescent="0.25">
      <c r="A671">
        <v>669</v>
      </c>
      <c r="B671">
        <v>222</v>
      </c>
      <c r="C671">
        <v>1</v>
      </c>
      <c r="D671">
        <v>5</v>
      </c>
      <c r="E671">
        <v>1</v>
      </c>
      <c r="G671" t="s">
        <v>8060</v>
      </c>
    </row>
    <row r="672" spans="1:8" x14ac:dyDescent="0.25">
      <c r="A672">
        <v>670</v>
      </c>
      <c r="B672">
        <v>999</v>
      </c>
      <c r="C672">
        <v>2</v>
      </c>
      <c r="D672">
        <v>6</v>
      </c>
      <c r="E672">
        <v>1</v>
      </c>
      <c r="F672" t="s">
        <v>3321</v>
      </c>
      <c r="G672" t="s">
        <v>8061</v>
      </c>
      <c r="H672" t="s">
        <v>8061</v>
      </c>
    </row>
    <row r="673" spans="1:8" x14ac:dyDescent="0.25">
      <c r="A673">
        <v>671</v>
      </c>
      <c r="B673">
        <v>999</v>
      </c>
      <c r="C673">
        <v>2</v>
      </c>
      <c r="D673">
        <v>6</v>
      </c>
      <c r="E673">
        <v>1</v>
      </c>
      <c r="F673" t="s">
        <v>3321</v>
      </c>
      <c r="G673" t="s">
        <v>8062</v>
      </c>
      <c r="H673" t="s">
        <v>8062</v>
      </c>
    </row>
    <row r="674" spans="1:8" x14ac:dyDescent="0.25">
      <c r="A674">
        <v>672</v>
      </c>
      <c r="B674">
        <v>999</v>
      </c>
      <c r="C674">
        <v>2</v>
      </c>
      <c r="D674">
        <v>6</v>
      </c>
      <c r="E674">
        <v>1</v>
      </c>
      <c r="G674" t="s">
        <v>8063</v>
      </c>
    </row>
    <row r="675" spans="1:8" x14ac:dyDescent="0.25">
      <c r="A675">
        <v>673</v>
      </c>
      <c r="B675">
        <v>999</v>
      </c>
      <c r="C675">
        <v>2</v>
      </c>
      <c r="D675">
        <v>6</v>
      </c>
      <c r="E675">
        <v>1</v>
      </c>
      <c r="F675" t="s">
        <v>3321</v>
      </c>
      <c r="G675" t="s">
        <v>8064</v>
      </c>
      <c r="H675" t="s">
        <v>8064</v>
      </c>
    </row>
    <row r="676" spans="1:8" x14ac:dyDescent="0.25">
      <c r="A676">
        <v>674</v>
      </c>
      <c r="B676">
        <v>999</v>
      </c>
      <c r="C676">
        <v>2</v>
      </c>
      <c r="D676">
        <v>6</v>
      </c>
      <c r="E676">
        <v>1</v>
      </c>
      <c r="F676" t="s">
        <v>3321</v>
      </c>
      <c r="G676" t="s">
        <v>8065</v>
      </c>
      <c r="H676" t="s">
        <v>8065</v>
      </c>
    </row>
    <row r="677" spans="1:8" x14ac:dyDescent="0.25">
      <c r="A677">
        <v>675</v>
      </c>
      <c r="B677">
        <v>238</v>
      </c>
      <c r="C677">
        <v>2</v>
      </c>
      <c r="D677">
        <v>7</v>
      </c>
      <c r="E677">
        <v>1</v>
      </c>
      <c r="G677" t="s">
        <v>8066</v>
      </c>
      <c r="H677" t="s">
        <v>8066</v>
      </c>
    </row>
    <row r="678" spans="1:8" x14ac:dyDescent="0.25">
      <c r="A678">
        <v>676</v>
      </c>
      <c r="B678">
        <v>999</v>
      </c>
      <c r="C678">
        <v>2</v>
      </c>
      <c r="D678">
        <v>6</v>
      </c>
      <c r="E678">
        <v>1</v>
      </c>
      <c r="F678" t="s">
        <v>3321</v>
      </c>
      <c r="G678" t="s">
        <v>8067</v>
      </c>
      <c r="H678" t="s">
        <v>8067</v>
      </c>
    </row>
    <row r="679" spans="1:8" x14ac:dyDescent="0.25">
      <c r="A679">
        <v>677</v>
      </c>
      <c r="B679">
        <v>238</v>
      </c>
      <c r="C679">
        <v>100</v>
      </c>
      <c r="D679">
        <v>10</v>
      </c>
      <c r="E679">
        <v>1</v>
      </c>
      <c r="G679" t="s">
        <v>8068</v>
      </c>
    </row>
    <row r="680" spans="1:8" x14ac:dyDescent="0.25">
      <c r="A680">
        <v>678</v>
      </c>
      <c r="B680">
        <v>999</v>
      </c>
      <c r="C680">
        <v>2</v>
      </c>
      <c r="D680">
        <v>3</v>
      </c>
      <c r="E680">
        <v>1</v>
      </c>
      <c r="G680" t="s">
        <v>8069</v>
      </c>
    </row>
    <row r="681" spans="1:8" x14ac:dyDescent="0.25">
      <c r="A681">
        <v>679</v>
      </c>
      <c r="B681">
        <v>999</v>
      </c>
      <c r="C681">
        <v>2</v>
      </c>
      <c r="D681">
        <v>6</v>
      </c>
      <c r="E681">
        <v>1</v>
      </c>
      <c r="F681" t="s">
        <v>3321</v>
      </c>
      <c r="G681" t="s">
        <v>8070</v>
      </c>
      <c r="H681" t="s">
        <v>8070</v>
      </c>
    </row>
    <row r="682" spans="1:8" x14ac:dyDescent="0.25">
      <c r="A682">
        <v>680</v>
      </c>
      <c r="B682">
        <v>999</v>
      </c>
      <c r="C682">
        <v>2</v>
      </c>
      <c r="D682">
        <v>6</v>
      </c>
      <c r="E682">
        <v>1</v>
      </c>
      <c r="F682" t="s">
        <v>3321</v>
      </c>
      <c r="G682" t="s">
        <v>8071</v>
      </c>
      <c r="H682" t="s">
        <v>8071</v>
      </c>
    </row>
    <row r="683" spans="1:8" x14ac:dyDescent="0.25">
      <c r="A683">
        <v>681</v>
      </c>
      <c r="B683">
        <v>999</v>
      </c>
      <c r="C683">
        <v>2</v>
      </c>
      <c r="D683">
        <v>7</v>
      </c>
      <c r="E683">
        <v>1</v>
      </c>
      <c r="G683" t="s">
        <v>8072</v>
      </c>
    </row>
    <row r="684" spans="1:8" x14ac:dyDescent="0.25">
      <c r="A684">
        <v>682</v>
      </c>
      <c r="B684">
        <v>999</v>
      </c>
      <c r="C684">
        <v>2</v>
      </c>
      <c r="D684">
        <v>7</v>
      </c>
      <c r="E684">
        <v>1</v>
      </c>
      <c r="G684" t="s">
        <v>8073</v>
      </c>
      <c r="H684" t="s">
        <v>8073</v>
      </c>
    </row>
    <row r="685" spans="1:8" x14ac:dyDescent="0.25">
      <c r="A685">
        <v>683</v>
      </c>
      <c r="B685">
        <v>999</v>
      </c>
      <c r="C685">
        <v>2</v>
      </c>
      <c r="D685">
        <v>6</v>
      </c>
      <c r="E685">
        <v>1</v>
      </c>
      <c r="F685" t="s">
        <v>3321</v>
      </c>
      <c r="G685" t="s">
        <v>8074</v>
      </c>
      <c r="H685" t="s">
        <v>8074</v>
      </c>
    </row>
    <row r="686" spans="1:8" x14ac:dyDescent="0.25">
      <c r="A686">
        <v>684</v>
      </c>
      <c r="B686">
        <v>999</v>
      </c>
      <c r="C686">
        <v>2</v>
      </c>
      <c r="D686">
        <v>6</v>
      </c>
      <c r="E686">
        <v>1</v>
      </c>
      <c r="F686" t="s">
        <v>3321</v>
      </c>
      <c r="G686" t="s">
        <v>8075</v>
      </c>
      <c r="H686" t="s">
        <v>8075</v>
      </c>
    </row>
    <row r="687" spans="1:8" x14ac:dyDescent="0.25">
      <c r="A687">
        <v>685</v>
      </c>
      <c r="B687">
        <v>999</v>
      </c>
      <c r="C687">
        <v>2</v>
      </c>
      <c r="D687">
        <v>7</v>
      </c>
      <c r="E687">
        <v>1</v>
      </c>
      <c r="G687" t="s">
        <v>8076</v>
      </c>
    </row>
    <row r="688" spans="1:8" x14ac:dyDescent="0.25">
      <c r="A688">
        <v>686</v>
      </c>
      <c r="B688">
        <v>999</v>
      </c>
      <c r="C688">
        <v>2</v>
      </c>
      <c r="D688">
        <v>6</v>
      </c>
      <c r="E688">
        <v>1</v>
      </c>
      <c r="F688" t="s">
        <v>3321</v>
      </c>
      <c r="G688" t="s">
        <v>8077</v>
      </c>
      <c r="H688" t="s">
        <v>8077</v>
      </c>
    </row>
    <row r="689" spans="1:8" x14ac:dyDescent="0.25">
      <c r="A689">
        <v>687</v>
      </c>
      <c r="B689">
        <v>999</v>
      </c>
      <c r="C689">
        <v>2</v>
      </c>
      <c r="D689">
        <v>6</v>
      </c>
      <c r="E689">
        <v>1</v>
      </c>
      <c r="F689" t="s">
        <v>3321</v>
      </c>
      <c r="G689" t="s">
        <v>8078</v>
      </c>
      <c r="H689" t="s">
        <v>8078</v>
      </c>
    </row>
    <row r="690" spans="1:8" x14ac:dyDescent="0.25">
      <c r="A690">
        <v>688</v>
      </c>
      <c r="B690">
        <v>115</v>
      </c>
      <c r="C690">
        <v>100</v>
      </c>
      <c r="D690">
        <v>10</v>
      </c>
      <c r="E690">
        <v>0</v>
      </c>
      <c r="F690" t="s">
        <v>7445</v>
      </c>
      <c r="G690" t="s">
        <v>8079</v>
      </c>
    </row>
    <row r="691" spans="1:8" x14ac:dyDescent="0.25">
      <c r="A691">
        <v>689</v>
      </c>
      <c r="B691">
        <v>999</v>
      </c>
      <c r="C691">
        <v>2</v>
      </c>
      <c r="D691">
        <v>6</v>
      </c>
      <c r="E691">
        <v>1</v>
      </c>
      <c r="F691" t="s">
        <v>3321</v>
      </c>
      <c r="G691" t="s">
        <v>8080</v>
      </c>
      <c r="H691" t="s">
        <v>8080</v>
      </c>
    </row>
    <row r="692" spans="1:8" x14ac:dyDescent="0.25">
      <c r="A692">
        <v>690</v>
      </c>
      <c r="B692">
        <v>999</v>
      </c>
      <c r="C692">
        <v>2</v>
      </c>
      <c r="D692">
        <v>6</v>
      </c>
      <c r="E692">
        <v>1</v>
      </c>
      <c r="F692" t="s">
        <v>3321</v>
      </c>
      <c r="G692" t="s">
        <v>8081</v>
      </c>
      <c r="H692" t="s">
        <v>8081</v>
      </c>
    </row>
    <row r="693" spans="1:8" x14ac:dyDescent="0.25">
      <c r="A693">
        <v>691</v>
      </c>
      <c r="B693">
        <v>999</v>
      </c>
      <c r="C693">
        <v>2</v>
      </c>
      <c r="D693">
        <v>6</v>
      </c>
      <c r="E693">
        <v>0</v>
      </c>
      <c r="F693" t="s">
        <v>8082</v>
      </c>
      <c r="G693" t="s">
        <v>8083</v>
      </c>
      <c r="H693" t="s">
        <v>8083</v>
      </c>
    </row>
    <row r="694" spans="1:8" x14ac:dyDescent="0.25">
      <c r="A694">
        <v>692</v>
      </c>
      <c r="B694">
        <v>999</v>
      </c>
      <c r="C694">
        <v>2</v>
      </c>
      <c r="D694">
        <v>6</v>
      </c>
      <c r="E694">
        <v>0</v>
      </c>
      <c r="F694" t="s">
        <v>7955</v>
      </c>
      <c r="G694" t="s">
        <v>8084</v>
      </c>
    </row>
    <row r="695" spans="1:8" x14ac:dyDescent="0.25">
      <c r="A695">
        <v>693</v>
      </c>
      <c r="B695">
        <v>999</v>
      </c>
      <c r="C695">
        <v>2</v>
      </c>
      <c r="D695">
        <v>6</v>
      </c>
      <c r="E695">
        <v>1</v>
      </c>
      <c r="F695" t="s">
        <v>8085</v>
      </c>
      <c r="G695" t="s">
        <v>8086</v>
      </c>
      <c r="H695" t="s">
        <v>8086</v>
      </c>
    </row>
    <row r="696" spans="1:8" x14ac:dyDescent="0.25">
      <c r="A696">
        <v>694</v>
      </c>
      <c r="B696">
        <v>999</v>
      </c>
      <c r="C696">
        <v>1</v>
      </c>
      <c r="D696">
        <v>10</v>
      </c>
      <c r="E696">
        <v>0</v>
      </c>
      <c r="F696" t="s">
        <v>8087</v>
      </c>
      <c r="G696" t="s">
        <v>3310</v>
      </c>
      <c r="H696" t="s">
        <v>3310</v>
      </c>
    </row>
    <row r="697" spans="1:8" x14ac:dyDescent="0.25">
      <c r="A697">
        <v>695</v>
      </c>
      <c r="B697">
        <v>999</v>
      </c>
      <c r="C697">
        <v>1</v>
      </c>
      <c r="D697">
        <v>10</v>
      </c>
      <c r="E697">
        <v>0</v>
      </c>
      <c r="F697" t="s">
        <v>7505</v>
      </c>
      <c r="G697" t="s">
        <v>8088</v>
      </c>
      <c r="H697" t="s">
        <v>8088</v>
      </c>
    </row>
    <row r="698" spans="1:8" x14ac:dyDescent="0.25">
      <c r="A698">
        <v>696</v>
      </c>
      <c r="B698">
        <v>999</v>
      </c>
      <c r="C698">
        <v>100</v>
      </c>
      <c r="D698">
        <v>10</v>
      </c>
      <c r="E698">
        <v>1</v>
      </c>
      <c r="G698" t="s">
        <v>8089</v>
      </c>
      <c r="H698" t="s">
        <v>8089</v>
      </c>
    </row>
    <row r="699" spans="1:8" x14ac:dyDescent="0.25">
      <c r="A699">
        <v>697</v>
      </c>
      <c r="B699">
        <v>999</v>
      </c>
      <c r="C699">
        <v>1</v>
      </c>
      <c r="D699">
        <v>10</v>
      </c>
      <c r="E699">
        <v>0</v>
      </c>
      <c r="F699" t="s">
        <v>7505</v>
      </c>
      <c r="G699" t="s">
        <v>8090</v>
      </c>
      <c r="H699" t="s">
        <v>8090</v>
      </c>
    </row>
    <row r="700" spans="1:8" x14ac:dyDescent="0.25">
      <c r="A700">
        <v>698</v>
      </c>
      <c r="B700">
        <v>999</v>
      </c>
      <c r="C700">
        <v>1</v>
      </c>
      <c r="D700">
        <v>10</v>
      </c>
      <c r="E700">
        <v>0</v>
      </c>
      <c r="F700" t="s">
        <v>7474</v>
      </c>
      <c r="G700" t="s">
        <v>8091</v>
      </c>
      <c r="H700" t="s">
        <v>8091</v>
      </c>
    </row>
    <row r="701" spans="1:8" x14ac:dyDescent="0.25">
      <c r="A701">
        <v>699</v>
      </c>
      <c r="B701">
        <v>999</v>
      </c>
      <c r="C701">
        <v>1</v>
      </c>
      <c r="D701">
        <v>10</v>
      </c>
      <c r="E701">
        <v>0</v>
      </c>
      <c r="F701" t="s">
        <v>7505</v>
      </c>
      <c r="G701" t="s">
        <v>8092</v>
      </c>
      <c r="H701" t="s">
        <v>8092</v>
      </c>
    </row>
    <row r="702" spans="1:8" x14ac:dyDescent="0.25">
      <c r="A702">
        <v>700</v>
      </c>
      <c r="B702">
        <v>999</v>
      </c>
      <c r="C702">
        <v>2</v>
      </c>
      <c r="D702">
        <v>7</v>
      </c>
      <c r="E702">
        <v>1</v>
      </c>
      <c r="G702" t="s">
        <v>8093</v>
      </c>
    </row>
    <row r="703" spans="1:8" x14ac:dyDescent="0.25">
      <c r="A703">
        <v>701</v>
      </c>
      <c r="B703">
        <v>999</v>
      </c>
      <c r="C703">
        <v>1</v>
      </c>
      <c r="D703">
        <v>10</v>
      </c>
      <c r="E703">
        <v>0</v>
      </c>
      <c r="F703" t="s">
        <v>7505</v>
      </c>
      <c r="G703" t="s">
        <v>3317</v>
      </c>
      <c r="H703" t="s">
        <v>3317</v>
      </c>
    </row>
    <row r="704" spans="1:8" x14ac:dyDescent="0.25">
      <c r="A704">
        <v>702</v>
      </c>
      <c r="B704">
        <v>999</v>
      </c>
      <c r="C704">
        <v>1</v>
      </c>
      <c r="D704">
        <v>10</v>
      </c>
      <c r="E704">
        <v>0</v>
      </c>
      <c r="F704" t="s">
        <v>7809</v>
      </c>
      <c r="G704" t="s">
        <v>8094</v>
      </c>
      <c r="H704" t="s">
        <v>8094</v>
      </c>
    </row>
    <row r="705" spans="1:8" x14ac:dyDescent="0.25">
      <c r="A705">
        <v>703</v>
      </c>
      <c r="B705">
        <v>999</v>
      </c>
      <c r="C705">
        <v>1</v>
      </c>
      <c r="D705">
        <v>10</v>
      </c>
      <c r="E705">
        <v>0</v>
      </c>
      <c r="F705" t="s">
        <v>7505</v>
      </c>
      <c r="G705" t="s">
        <v>8095</v>
      </c>
      <c r="H705" t="s">
        <v>8095</v>
      </c>
    </row>
    <row r="706" spans="1:8" x14ac:dyDescent="0.25">
      <c r="A706">
        <v>704</v>
      </c>
      <c r="B706">
        <v>999</v>
      </c>
      <c r="C706">
        <v>1</v>
      </c>
      <c r="D706">
        <v>10</v>
      </c>
      <c r="E706">
        <v>0</v>
      </c>
      <c r="F706" t="s">
        <v>7505</v>
      </c>
      <c r="G706" t="s">
        <v>8096</v>
      </c>
      <c r="H706" t="s">
        <v>8096</v>
      </c>
    </row>
    <row r="707" spans="1:8" x14ac:dyDescent="0.25">
      <c r="A707">
        <v>705</v>
      </c>
      <c r="B707">
        <v>999</v>
      </c>
      <c r="C707">
        <v>100</v>
      </c>
      <c r="D707">
        <v>10</v>
      </c>
      <c r="E707">
        <v>1</v>
      </c>
      <c r="F707" t="s">
        <v>3321</v>
      </c>
      <c r="G707" t="s">
        <v>8097</v>
      </c>
      <c r="H707" t="s">
        <v>8097</v>
      </c>
    </row>
    <row r="708" spans="1:8" x14ac:dyDescent="0.25">
      <c r="A708">
        <v>706</v>
      </c>
      <c r="B708">
        <v>999</v>
      </c>
      <c r="C708">
        <v>2</v>
      </c>
      <c r="D708">
        <v>7</v>
      </c>
      <c r="E708">
        <v>1</v>
      </c>
      <c r="G708" t="s">
        <v>8098</v>
      </c>
    </row>
    <row r="709" spans="1:8" x14ac:dyDescent="0.25">
      <c r="A709">
        <v>707</v>
      </c>
      <c r="B709">
        <v>999</v>
      </c>
      <c r="C709">
        <v>2</v>
      </c>
      <c r="D709">
        <v>6</v>
      </c>
      <c r="E709">
        <v>1</v>
      </c>
      <c r="F709" t="s">
        <v>3321</v>
      </c>
      <c r="G709" t="s">
        <v>8099</v>
      </c>
      <c r="H709" t="s">
        <v>8099</v>
      </c>
    </row>
    <row r="710" spans="1:8" x14ac:dyDescent="0.25">
      <c r="A710">
        <v>708</v>
      </c>
      <c r="B710">
        <v>999</v>
      </c>
      <c r="C710">
        <v>2</v>
      </c>
      <c r="D710">
        <v>7</v>
      </c>
      <c r="E710">
        <v>1</v>
      </c>
      <c r="G710" t="s">
        <v>8100</v>
      </c>
    </row>
    <row r="711" spans="1:8" x14ac:dyDescent="0.25">
      <c r="A711">
        <v>709</v>
      </c>
      <c r="B711">
        <v>999</v>
      </c>
      <c r="C711">
        <v>2</v>
      </c>
      <c r="D711">
        <v>6</v>
      </c>
      <c r="E711">
        <v>1</v>
      </c>
      <c r="F711" t="s">
        <v>3321</v>
      </c>
      <c r="G711" t="s">
        <v>8101</v>
      </c>
      <c r="H711" t="s">
        <v>8101</v>
      </c>
    </row>
    <row r="712" spans="1:8" x14ac:dyDescent="0.25">
      <c r="A712">
        <v>710</v>
      </c>
      <c r="B712">
        <v>999</v>
      </c>
      <c r="C712">
        <v>2</v>
      </c>
      <c r="D712">
        <v>6</v>
      </c>
      <c r="E712">
        <v>1</v>
      </c>
      <c r="F712" t="s">
        <v>3321</v>
      </c>
      <c r="G712" t="s">
        <v>8102</v>
      </c>
      <c r="H712" t="s">
        <v>8102</v>
      </c>
    </row>
    <row r="713" spans="1:8" x14ac:dyDescent="0.25">
      <c r="A713">
        <v>711</v>
      </c>
      <c r="B713">
        <v>999</v>
      </c>
      <c r="C713">
        <v>2</v>
      </c>
      <c r="D713">
        <v>7</v>
      </c>
      <c r="E713">
        <v>1</v>
      </c>
      <c r="G713" t="s">
        <v>8103</v>
      </c>
    </row>
    <row r="714" spans="1:8" x14ac:dyDescent="0.25">
      <c r="A714">
        <v>712</v>
      </c>
      <c r="B714">
        <v>999</v>
      </c>
      <c r="C714">
        <v>2</v>
      </c>
      <c r="D714">
        <v>6</v>
      </c>
      <c r="E714">
        <v>1</v>
      </c>
      <c r="F714" t="s">
        <v>3321</v>
      </c>
      <c r="G714" t="s">
        <v>8104</v>
      </c>
      <c r="H714" t="s">
        <v>8104</v>
      </c>
    </row>
    <row r="715" spans="1:8" x14ac:dyDescent="0.25">
      <c r="A715">
        <v>713</v>
      </c>
      <c r="B715">
        <v>999</v>
      </c>
      <c r="C715">
        <v>2</v>
      </c>
      <c r="D715">
        <v>7</v>
      </c>
      <c r="E715">
        <v>1</v>
      </c>
      <c r="G715" t="s">
        <v>8105</v>
      </c>
    </row>
    <row r="716" spans="1:8" x14ac:dyDescent="0.25">
      <c r="A716">
        <v>714</v>
      </c>
      <c r="B716">
        <v>999</v>
      </c>
      <c r="C716">
        <v>2</v>
      </c>
      <c r="D716">
        <v>6</v>
      </c>
      <c r="E716">
        <v>1</v>
      </c>
      <c r="F716" t="s">
        <v>3321</v>
      </c>
      <c r="G716" t="s">
        <v>8106</v>
      </c>
      <c r="H716" t="s">
        <v>8106</v>
      </c>
    </row>
    <row r="717" spans="1:8" x14ac:dyDescent="0.25">
      <c r="A717">
        <v>715</v>
      </c>
      <c r="B717">
        <v>999</v>
      </c>
      <c r="C717">
        <v>2</v>
      </c>
      <c r="D717">
        <v>6</v>
      </c>
      <c r="E717">
        <v>1</v>
      </c>
      <c r="F717" t="s">
        <v>3321</v>
      </c>
      <c r="G717" t="s">
        <v>8107</v>
      </c>
      <c r="H717" t="s">
        <v>8107</v>
      </c>
    </row>
    <row r="718" spans="1:8" x14ac:dyDescent="0.25">
      <c r="A718">
        <v>716</v>
      </c>
      <c r="B718">
        <v>999</v>
      </c>
      <c r="C718">
        <v>2</v>
      </c>
      <c r="D718">
        <v>7</v>
      </c>
      <c r="E718">
        <v>1</v>
      </c>
      <c r="G718" t="s">
        <v>8108</v>
      </c>
    </row>
    <row r="719" spans="1:8" x14ac:dyDescent="0.25">
      <c r="A719">
        <v>717</v>
      </c>
      <c r="B719">
        <v>999</v>
      </c>
      <c r="C719">
        <v>2</v>
      </c>
      <c r="D719">
        <v>7</v>
      </c>
      <c r="E719">
        <v>1</v>
      </c>
      <c r="G719" t="s">
        <v>8109</v>
      </c>
    </row>
    <row r="720" spans="1:8" x14ac:dyDescent="0.25">
      <c r="A720">
        <v>718</v>
      </c>
      <c r="B720">
        <v>999</v>
      </c>
      <c r="C720">
        <v>2</v>
      </c>
      <c r="D720">
        <v>7</v>
      </c>
      <c r="E720">
        <v>1</v>
      </c>
      <c r="G720" t="s">
        <v>8110</v>
      </c>
    </row>
    <row r="721" spans="1:8" x14ac:dyDescent="0.25">
      <c r="A721">
        <v>719</v>
      </c>
      <c r="B721">
        <v>999</v>
      </c>
      <c r="C721">
        <v>2</v>
      </c>
      <c r="D721">
        <v>6</v>
      </c>
      <c r="E721">
        <v>1</v>
      </c>
      <c r="F721" t="s">
        <v>3321</v>
      </c>
      <c r="G721" t="s">
        <v>8111</v>
      </c>
      <c r="H721" t="s">
        <v>8111</v>
      </c>
    </row>
    <row r="722" spans="1:8" x14ac:dyDescent="0.25">
      <c r="A722">
        <v>720</v>
      </c>
      <c r="B722">
        <v>999</v>
      </c>
      <c r="C722">
        <v>2</v>
      </c>
      <c r="D722">
        <v>7</v>
      </c>
      <c r="E722">
        <v>1</v>
      </c>
      <c r="G722" t="s">
        <v>8112</v>
      </c>
    </row>
    <row r="723" spans="1:8" x14ac:dyDescent="0.25">
      <c r="A723">
        <v>721</v>
      </c>
      <c r="B723">
        <v>999</v>
      </c>
      <c r="C723">
        <v>2</v>
      </c>
      <c r="D723">
        <v>6</v>
      </c>
      <c r="E723">
        <v>1</v>
      </c>
      <c r="F723" t="s">
        <v>3321</v>
      </c>
      <c r="G723" t="s">
        <v>8113</v>
      </c>
      <c r="H723" t="s">
        <v>8113</v>
      </c>
    </row>
    <row r="724" spans="1:8" x14ac:dyDescent="0.25">
      <c r="A724">
        <v>722</v>
      </c>
      <c r="B724">
        <v>999</v>
      </c>
      <c r="C724">
        <v>2</v>
      </c>
      <c r="D724">
        <v>7</v>
      </c>
      <c r="E724">
        <v>1</v>
      </c>
      <c r="G724" t="s">
        <v>8114</v>
      </c>
      <c r="H724" t="s">
        <v>8114</v>
      </c>
    </row>
    <row r="725" spans="1:8" x14ac:dyDescent="0.25">
      <c r="A725">
        <v>723</v>
      </c>
      <c r="B725">
        <v>999</v>
      </c>
      <c r="C725">
        <v>2</v>
      </c>
      <c r="D725">
        <v>6</v>
      </c>
      <c r="E725">
        <v>0</v>
      </c>
      <c r="F725" t="s">
        <v>8115</v>
      </c>
      <c r="G725" t="s">
        <v>8116</v>
      </c>
      <c r="H725" t="s">
        <v>8116</v>
      </c>
    </row>
    <row r="726" spans="1:8" x14ac:dyDescent="0.25">
      <c r="A726">
        <v>724</v>
      </c>
      <c r="B726">
        <v>999</v>
      </c>
      <c r="C726">
        <v>2</v>
      </c>
      <c r="D726">
        <v>7</v>
      </c>
      <c r="E726">
        <v>1</v>
      </c>
      <c r="G726" t="s">
        <v>8117</v>
      </c>
    </row>
    <row r="727" spans="1:8" x14ac:dyDescent="0.25">
      <c r="A727">
        <v>725</v>
      </c>
      <c r="B727">
        <v>999</v>
      </c>
      <c r="C727">
        <v>2</v>
      </c>
      <c r="D727">
        <v>7</v>
      </c>
      <c r="E727">
        <v>1</v>
      </c>
      <c r="G727" t="s">
        <v>8118</v>
      </c>
      <c r="H727" t="s">
        <v>8118</v>
      </c>
    </row>
    <row r="728" spans="1:8" x14ac:dyDescent="0.25">
      <c r="A728">
        <v>726</v>
      </c>
      <c r="B728">
        <v>999</v>
      </c>
      <c r="C728">
        <v>2</v>
      </c>
      <c r="D728">
        <v>6</v>
      </c>
      <c r="E728">
        <v>1</v>
      </c>
      <c r="F728" t="s">
        <v>3321</v>
      </c>
      <c r="G728" t="s">
        <v>8119</v>
      </c>
      <c r="H728" t="s">
        <v>8119</v>
      </c>
    </row>
    <row r="729" spans="1:8" x14ac:dyDescent="0.25">
      <c r="A729">
        <v>727</v>
      </c>
      <c r="B729">
        <v>999</v>
      </c>
      <c r="C729">
        <v>2</v>
      </c>
      <c r="D729">
        <v>6</v>
      </c>
      <c r="E729">
        <v>1</v>
      </c>
      <c r="G729" t="s">
        <v>8120</v>
      </c>
      <c r="H729" t="s">
        <v>8120</v>
      </c>
    </row>
    <row r="730" spans="1:8" x14ac:dyDescent="0.25">
      <c r="A730">
        <v>728</v>
      </c>
      <c r="B730">
        <v>228</v>
      </c>
      <c r="C730">
        <v>2</v>
      </c>
      <c r="D730">
        <v>6</v>
      </c>
      <c r="E730">
        <v>1</v>
      </c>
      <c r="G730" t="s">
        <v>8121</v>
      </c>
    </row>
    <row r="731" spans="1:8" x14ac:dyDescent="0.25">
      <c r="A731">
        <v>729</v>
      </c>
      <c r="B731">
        <v>999</v>
      </c>
      <c r="C731">
        <v>2</v>
      </c>
      <c r="D731">
        <v>7</v>
      </c>
      <c r="E731">
        <v>1</v>
      </c>
      <c r="G731" t="s">
        <v>8122</v>
      </c>
    </row>
    <row r="732" spans="1:8" x14ac:dyDescent="0.25">
      <c r="A732">
        <v>730</v>
      </c>
      <c r="B732">
        <v>999</v>
      </c>
      <c r="C732">
        <v>2</v>
      </c>
      <c r="D732">
        <v>6</v>
      </c>
      <c r="E732">
        <v>1</v>
      </c>
      <c r="F732" t="s">
        <v>3321</v>
      </c>
      <c r="G732" t="s">
        <v>8123</v>
      </c>
      <c r="H732" t="s">
        <v>8123</v>
      </c>
    </row>
    <row r="733" spans="1:8" x14ac:dyDescent="0.25">
      <c r="A733">
        <v>731</v>
      </c>
      <c r="B733">
        <v>238</v>
      </c>
      <c r="C733">
        <v>2</v>
      </c>
      <c r="D733">
        <v>7</v>
      </c>
      <c r="E733">
        <v>1</v>
      </c>
      <c r="G733" t="s">
        <v>8124</v>
      </c>
    </row>
    <row r="734" spans="1:8" x14ac:dyDescent="0.25">
      <c r="A734">
        <v>732</v>
      </c>
      <c r="B734">
        <v>999</v>
      </c>
      <c r="C734">
        <v>2</v>
      </c>
      <c r="D734">
        <v>6</v>
      </c>
      <c r="E734">
        <v>0</v>
      </c>
      <c r="F734" t="s">
        <v>7898</v>
      </c>
      <c r="G734" t="s">
        <v>8125</v>
      </c>
      <c r="H734" t="s">
        <v>8125</v>
      </c>
    </row>
    <row r="735" spans="1:8" x14ac:dyDescent="0.25">
      <c r="A735">
        <v>733</v>
      </c>
      <c r="B735">
        <v>999</v>
      </c>
      <c r="C735">
        <v>2</v>
      </c>
      <c r="D735">
        <v>6</v>
      </c>
      <c r="E735">
        <v>1</v>
      </c>
      <c r="F735" t="s">
        <v>7774</v>
      </c>
      <c r="G735" t="s">
        <v>8126</v>
      </c>
      <c r="H735" t="s">
        <v>8126</v>
      </c>
    </row>
    <row r="736" spans="1:8" x14ac:dyDescent="0.25">
      <c r="A736">
        <v>734</v>
      </c>
      <c r="B736">
        <v>100</v>
      </c>
      <c r="C736">
        <v>2</v>
      </c>
      <c r="D736">
        <v>7</v>
      </c>
      <c r="E736">
        <v>0</v>
      </c>
      <c r="F736" t="s">
        <v>8127</v>
      </c>
      <c r="G736" t="s">
        <v>3867</v>
      </c>
      <c r="H736" t="s">
        <v>3867</v>
      </c>
    </row>
    <row r="737" spans="1:8" x14ac:dyDescent="0.25">
      <c r="A737">
        <v>735</v>
      </c>
      <c r="B737">
        <v>999</v>
      </c>
      <c r="C737">
        <v>2</v>
      </c>
      <c r="D737">
        <v>6</v>
      </c>
      <c r="E737">
        <v>1</v>
      </c>
      <c r="F737" t="s">
        <v>3321</v>
      </c>
      <c r="G737" t="s">
        <v>8128</v>
      </c>
      <c r="H737" t="s">
        <v>8128</v>
      </c>
    </row>
    <row r="738" spans="1:8" x14ac:dyDescent="0.25">
      <c r="A738">
        <v>736</v>
      </c>
      <c r="B738">
        <v>999</v>
      </c>
      <c r="C738">
        <v>2</v>
      </c>
      <c r="D738">
        <v>6</v>
      </c>
      <c r="E738">
        <v>1</v>
      </c>
      <c r="F738" t="s">
        <v>3321</v>
      </c>
      <c r="G738" t="s">
        <v>8129</v>
      </c>
      <c r="H738" t="s">
        <v>8129</v>
      </c>
    </row>
    <row r="739" spans="1:8" x14ac:dyDescent="0.25">
      <c r="A739">
        <v>737</v>
      </c>
      <c r="B739">
        <v>238</v>
      </c>
      <c r="C739">
        <v>2</v>
      </c>
      <c r="D739">
        <v>7</v>
      </c>
      <c r="E739">
        <v>1</v>
      </c>
      <c r="G739" t="s">
        <v>8130</v>
      </c>
    </row>
    <row r="740" spans="1:8" x14ac:dyDescent="0.25">
      <c r="A740">
        <v>738</v>
      </c>
      <c r="B740">
        <v>100</v>
      </c>
      <c r="C740">
        <v>2</v>
      </c>
      <c r="D740">
        <v>7</v>
      </c>
      <c r="E740">
        <v>1</v>
      </c>
      <c r="G740" t="s">
        <v>8131</v>
      </c>
    </row>
    <row r="741" spans="1:8" x14ac:dyDescent="0.25">
      <c r="A741">
        <v>739</v>
      </c>
      <c r="B741">
        <v>100</v>
      </c>
      <c r="C741">
        <v>2</v>
      </c>
      <c r="D741">
        <v>6</v>
      </c>
      <c r="E741">
        <v>1</v>
      </c>
      <c r="G741" t="s">
        <v>8132</v>
      </c>
    </row>
    <row r="742" spans="1:8" x14ac:dyDescent="0.25">
      <c r="A742">
        <v>740</v>
      </c>
      <c r="B742">
        <v>238</v>
      </c>
      <c r="C742">
        <v>2</v>
      </c>
      <c r="D742">
        <v>7</v>
      </c>
      <c r="E742">
        <v>1</v>
      </c>
      <c r="G742" t="s">
        <v>8133</v>
      </c>
    </row>
    <row r="743" spans="1:8" x14ac:dyDescent="0.25">
      <c r="A743">
        <v>741</v>
      </c>
      <c r="B743">
        <v>218</v>
      </c>
      <c r="C743">
        <v>2</v>
      </c>
      <c r="D743">
        <v>7</v>
      </c>
      <c r="E743">
        <v>1</v>
      </c>
      <c r="G743" t="s">
        <v>8134</v>
      </c>
    </row>
    <row r="744" spans="1:8" x14ac:dyDescent="0.25">
      <c r="A744">
        <v>742</v>
      </c>
      <c r="B744">
        <v>999</v>
      </c>
      <c r="C744">
        <v>100</v>
      </c>
      <c r="D744">
        <v>10</v>
      </c>
      <c r="E744">
        <v>1</v>
      </c>
      <c r="F744" t="s">
        <v>3321</v>
      </c>
      <c r="G744" t="s">
        <v>8135</v>
      </c>
      <c r="H744" t="s">
        <v>8135</v>
      </c>
    </row>
    <row r="745" spans="1:8" x14ac:dyDescent="0.25">
      <c r="A745">
        <v>743</v>
      </c>
      <c r="B745">
        <v>999</v>
      </c>
      <c r="C745">
        <v>100</v>
      </c>
      <c r="D745">
        <v>10</v>
      </c>
      <c r="E745">
        <v>1</v>
      </c>
      <c r="F745" t="s">
        <v>3321</v>
      </c>
      <c r="G745" t="s">
        <v>8136</v>
      </c>
      <c r="H745" t="s">
        <v>8136</v>
      </c>
    </row>
    <row r="746" spans="1:8" x14ac:dyDescent="0.25">
      <c r="A746">
        <v>744</v>
      </c>
      <c r="B746">
        <v>999</v>
      </c>
      <c r="C746">
        <v>2</v>
      </c>
      <c r="D746">
        <v>10</v>
      </c>
      <c r="E746">
        <v>1</v>
      </c>
      <c r="F746" t="s">
        <v>3321</v>
      </c>
      <c r="G746" t="s">
        <v>8137</v>
      </c>
      <c r="H746" t="s">
        <v>8137</v>
      </c>
    </row>
    <row r="747" spans="1:8" x14ac:dyDescent="0.25">
      <c r="A747">
        <v>745</v>
      </c>
      <c r="B747">
        <v>100</v>
      </c>
      <c r="C747">
        <v>1</v>
      </c>
      <c r="D747">
        <v>5</v>
      </c>
      <c r="E747">
        <v>1</v>
      </c>
      <c r="G747" t="s">
        <v>8138</v>
      </c>
    </row>
    <row r="748" spans="1:8" x14ac:dyDescent="0.25">
      <c r="A748">
        <v>746</v>
      </c>
      <c r="B748">
        <v>999</v>
      </c>
      <c r="C748">
        <v>2</v>
      </c>
      <c r="D748">
        <v>6</v>
      </c>
      <c r="E748">
        <v>1</v>
      </c>
      <c r="F748" t="s">
        <v>3321</v>
      </c>
      <c r="G748" t="s">
        <v>8139</v>
      </c>
      <c r="H748" t="s">
        <v>8139</v>
      </c>
    </row>
    <row r="749" spans="1:8" x14ac:dyDescent="0.25">
      <c r="A749">
        <v>747</v>
      </c>
      <c r="B749">
        <v>115</v>
      </c>
      <c r="C749">
        <v>2</v>
      </c>
      <c r="D749">
        <v>3</v>
      </c>
      <c r="E749">
        <v>1</v>
      </c>
      <c r="G749" t="s">
        <v>8140</v>
      </c>
    </row>
    <row r="750" spans="1:8" x14ac:dyDescent="0.25">
      <c r="A750">
        <v>748</v>
      </c>
      <c r="B750">
        <v>999</v>
      </c>
      <c r="C750">
        <v>2</v>
      </c>
      <c r="D750">
        <v>6</v>
      </c>
      <c r="E750">
        <v>1</v>
      </c>
      <c r="F750" t="s">
        <v>3321</v>
      </c>
      <c r="G750" t="s">
        <v>8141</v>
      </c>
      <c r="H750" t="s">
        <v>8141</v>
      </c>
    </row>
    <row r="751" spans="1:8" x14ac:dyDescent="0.25">
      <c r="A751">
        <v>749</v>
      </c>
      <c r="B751">
        <v>100</v>
      </c>
      <c r="C751">
        <v>2</v>
      </c>
      <c r="D751">
        <v>7</v>
      </c>
      <c r="E751">
        <v>1</v>
      </c>
      <c r="G751" t="s">
        <v>8142</v>
      </c>
    </row>
    <row r="752" spans="1:8" x14ac:dyDescent="0.25">
      <c r="A752">
        <v>750</v>
      </c>
      <c r="B752">
        <v>999</v>
      </c>
      <c r="C752">
        <v>1</v>
      </c>
      <c r="D752">
        <v>6</v>
      </c>
      <c r="E752">
        <v>0</v>
      </c>
      <c r="F752" t="s">
        <v>7693</v>
      </c>
      <c r="G752" t="s">
        <v>8143</v>
      </c>
      <c r="H752" t="s">
        <v>8143</v>
      </c>
    </row>
    <row r="753" spans="1:8" x14ac:dyDescent="0.25">
      <c r="A753">
        <v>751</v>
      </c>
      <c r="B753">
        <v>999</v>
      </c>
      <c r="C753">
        <v>2</v>
      </c>
      <c r="D753">
        <v>6</v>
      </c>
      <c r="E753">
        <v>1</v>
      </c>
      <c r="F753" t="s">
        <v>7774</v>
      </c>
      <c r="G753" t="s">
        <v>8144</v>
      </c>
      <c r="H753" t="s">
        <v>8144</v>
      </c>
    </row>
    <row r="754" spans="1:8" x14ac:dyDescent="0.25">
      <c r="A754">
        <v>752</v>
      </c>
      <c r="B754">
        <v>999</v>
      </c>
      <c r="C754">
        <v>2</v>
      </c>
      <c r="D754">
        <v>6</v>
      </c>
      <c r="E754">
        <v>0</v>
      </c>
      <c r="F754" t="s">
        <v>7474</v>
      </c>
      <c r="G754" t="s">
        <v>8145</v>
      </c>
      <c r="H754" t="s">
        <v>8145</v>
      </c>
    </row>
    <row r="755" spans="1:8" x14ac:dyDescent="0.25">
      <c r="A755">
        <v>753</v>
      </c>
      <c r="B755">
        <v>200</v>
      </c>
      <c r="C755">
        <v>2</v>
      </c>
      <c r="D755">
        <v>6</v>
      </c>
      <c r="E755">
        <v>1</v>
      </c>
      <c r="G755" t="s">
        <v>8146</v>
      </c>
    </row>
    <row r="756" spans="1:8" x14ac:dyDescent="0.25">
      <c r="A756">
        <v>754</v>
      </c>
      <c r="B756">
        <v>228</v>
      </c>
      <c r="C756">
        <v>2</v>
      </c>
      <c r="D756">
        <v>7</v>
      </c>
      <c r="E756">
        <v>1</v>
      </c>
      <c r="G756" t="s">
        <v>8147</v>
      </c>
    </row>
    <row r="757" spans="1:8" x14ac:dyDescent="0.25">
      <c r="A757">
        <v>755</v>
      </c>
      <c r="B757">
        <v>200</v>
      </c>
      <c r="C757">
        <v>1</v>
      </c>
      <c r="D757">
        <v>5</v>
      </c>
      <c r="E757">
        <v>1</v>
      </c>
      <c r="F757" t="s">
        <v>3321</v>
      </c>
      <c r="G757" t="s">
        <v>8148</v>
      </c>
      <c r="H757" t="s">
        <v>8148</v>
      </c>
    </row>
    <row r="758" spans="1:8" x14ac:dyDescent="0.25">
      <c r="A758">
        <v>756</v>
      </c>
      <c r="B758">
        <v>999</v>
      </c>
      <c r="C758">
        <v>2</v>
      </c>
      <c r="D758">
        <v>6</v>
      </c>
      <c r="E758">
        <v>1</v>
      </c>
      <c r="F758" t="s">
        <v>3321</v>
      </c>
      <c r="G758" t="s">
        <v>8149</v>
      </c>
      <c r="H758" t="s">
        <v>8149</v>
      </c>
    </row>
    <row r="759" spans="1:8" x14ac:dyDescent="0.25">
      <c r="A759">
        <v>757</v>
      </c>
      <c r="B759">
        <v>100</v>
      </c>
      <c r="C759">
        <v>2</v>
      </c>
      <c r="D759">
        <v>7</v>
      </c>
      <c r="E759">
        <v>1</v>
      </c>
      <c r="G759" t="s">
        <v>8150</v>
      </c>
    </row>
    <row r="760" spans="1:8" x14ac:dyDescent="0.25">
      <c r="A760">
        <v>758</v>
      </c>
      <c r="B760">
        <v>999</v>
      </c>
      <c r="C760">
        <v>2</v>
      </c>
      <c r="D760">
        <v>6</v>
      </c>
      <c r="E760">
        <v>1</v>
      </c>
      <c r="F760" t="s">
        <v>3321</v>
      </c>
      <c r="G760" t="s">
        <v>8151</v>
      </c>
      <c r="H760" t="s">
        <v>8151</v>
      </c>
    </row>
    <row r="761" spans="1:8" x14ac:dyDescent="0.25">
      <c r="A761">
        <v>759</v>
      </c>
      <c r="B761">
        <v>100</v>
      </c>
      <c r="C761">
        <v>1</v>
      </c>
      <c r="D761">
        <v>5</v>
      </c>
      <c r="E761">
        <v>1</v>
      </c>
      <c r="G761" t="s">
        <v>8152</v>
      </c>
    </row>
    <row r="762" spans="1:8" x14ac:dyDescent="0.25">
      <c r="A762">
        <v>760</v>
      </c>
      <c r="B762">
        <v>999</v>
      </c>
      <c r="C762">
        <v>1</v>
      </c>
      <c r="D762">
        <v>10</v>
      </c>
      <c r="E762">
        <v>0</v>
      </c>
      <c r="F762" t="s">
        <v>7494</v>
      </c>
      <c r="G762" t="s">
        <v>8153</v>
      </c>
      <c r="H762" t="s">
        <v>8153</v>
      </c>
    </row>
    <row r="763" spans="1:8" x14ac:dyDescent="0.25">
      <c r="A763">
        <v>761</v>
      </c>
      <c r="B763">
        <v>200</v>
      </c>
      <c r="C763">
        <v>100</v>
      </c>
      <c r="D763">
        <v>5</v>
      </c>
      <c r="E763">
        <v>1</v>
      </c>
      <c r="G763" t="s">
        <v>8154</v>
      </c>
    </row>
    <row r="764" spans="1:8" x14ac:dyDescent="0.25">
      <c r="A764">
        <v>762</v>
      </c>
      <c r="B764">
        <v>254</v>
      </c>
      <c r="C764">
        <v>2</v>
      </c>
      <c r="D764">
        <v>7</v>
      </c>
      <c r="E764">
        <v>1</v>
      </c>
      <c r="G764" t="s">
        <v>8155</v>
      </c>
    </row>
    <row r="765" spans="1:8" x14ac:dyDescent="0.25">
      <c r="A765">
        <v>763</v>
      </c>
      <c r="B765">
        <v>149</v>
      </c>
      <c r="C765">
        <v>1</v>
      </c>
      <c r="D765">
        <v>10</v>
      </c>
      <c r="E765">
        <v>1</v>
      </c>
      <c r="G765" t="s">
        <v>8156</v>
      </c>
    </row>
    <row r="766" spans="1:8" x14ac:dyDescent="0.25">
      <c r="A766">
        <v>764</v>
      </c>
      <c r="B766">
        <v>100</v>
      </c>
      <c r="C766">
        <v>2</v>
      </c>
      <c r="D766">
        <v>7</v>
      </c>
      <c r="E766">
        <v>0</v>
      </c>
      <c r="F766" t="s">
        <v>7955</v>
      </c>
      <c r="G766" t="s">
        <v>8157</v>
      </c>
    </row>
    <row r="767" spans="1:8" x14ac:dyDescent="0.25">
      <c r="A767">
        <v>765</v>
      </c>
      <c r="B767">
        <v>255</v>
      </c>
      <c r="C767">
        <v>2</v>
      </c>
      <c r="D767">
        <v>7</v>
      </c>
      <c r="E767">
        <v>1</v>
      </c>
      <c r="G767" t="s">
        <v>8158</v>
      </c>
      <c r="H767" t="s">
        <v>8158</v>
      </c>
    </row>
    <row r="768" spans="1:8" x14ac:dyDescent="0.25">
      <c r="A768">
        <v>766</v>
      </c>
      <c r="B768">
        <v>200</v>
      </c>
      <c r="C768">
        <v>2</v>
      </c>
      <c r="D768">
        <v>4</v>
      </c>
      <c r="E768">
        <v>1</v>
      </c>
      <c r="G768" t="s">
        <v>8159</v>
      </c>
    </row>
    <row r="769" spans="1:8" x14ac:dyDescent="0.25">
      <c r="A769">
        <v>767</v>
      </c>
      <c r="B769">
        <v>218</v>
      </c>
      <c r="C769">
        <v>2</v>
      </c>
      <c r="D769">
        <v>3</v>
      </c>
      <c r="E769">
        <v>1</v>
      </c>
      <c r="G769" t="s">
        <v>8160</v>
      </c>
    </row>
    <row r="770" spans="1:8" x14ac:dyDescent="0.25">
      <c r="A770">
        <v>768</v>
      </c>
      <c r="B770">
        <v>999</v>
      </c>
      <c r="C770">
        <v>2</v>
      </c>
      <c r="D770">
        <v>7</v>
      </c>
      <c r="E770">
        <v>1</v>
      </c>
      <c r="F770" t="s">
        <v>7774</v>
      </c>
      <c r="G770" t="s">
        <v>8161</v>
      </c>
      <c r="H770" t="s">
        <v>8161</v>
      </c>
    </row>
    <row r="771" spans="1:8" x14ac:dyDescent="0.25">
      <c r="A771">
        <v>769</v>
      </c>
      <c r="B771">
        <v>200</v>
      </c>
      <c r="C771">
        <v>2</v>
      </c>
      <c r="D771">
        <v>3</v>
      </c>
      <c r="E771">
        <v>1</v>
      </c>
      <c r="G771" t="s">
        <v>8162</v>
      </c>
    </row>
    <row r="772" spans="1:8" x14ac:dyDescent="0.25">
      <c r="A772">
        <v>770</v>
      </c>
      <c r="B772">
        <v>999</v>
      </c>
      <c r="C772">
        <v>2</v>
      </c>
      <c r="D772">
        <v>6</v>
      </c>
      <c r="E772">
        <v>1</v>
      </c>
      <c r="F772" t="s">
        <v>3321</v>
      </c>
      <c r="G772" t="s">
        <v>8163</v>
      </c>
      <c r="H772" t="s">
        <v>8163</v>
      </c>
    </row>
    <row r="773" spans="1:8" x14ac:dyDescent="0.25">
      <c r="A773">
        <v>771</v>
      </c>
      <c r="B773">
        <v>149</v>
      </c>
      <c r="C773">
        <v>100</v>
      </c>
      <c r="D773">
        <v>10</v>
      </c>
      <c r="E773">
        <v>1</v>
      </c>
      <c r="G773" t="s">
        <v>8164</v>
      </c>
      <c r="H773" t="s">
        <v>8164</v>
      </c>
    </row>
    <row r="774" spans="1:8" x14ac:dyDescent="0.25">
      <c r="A774">
        <v>772</v>
      </c>
      <c r="B774">
        <v>999</v>
      </c>
      <c r="C774">
        <v>2</v>
      </c>
      <c r="D774">
        <v>6</v>
      </c>
      <c r="E774">
        <v>1</v>
      </c>
      <c r="F774" t="s">
        <v>7774</v>
      </c>
      <c r="G774" t="s">
        <v>8165</v>
      </c>
      <c r="H774" t="s">
        <v>8165</v>
      </c>
    </row>
    <row r="775" spans="1:8" x14ac:dyDescent="0.25">
      <c r="A775">
        <v>773</v>
      </c>
      <c r="B775">
        <v>999</v>
      </c>
      <c r="C775">
        <v>2</v>
      </c>
      <c r="D775">
        <v>6</v>
      </c>
      <c r="E775">
        <v>0</v>
      </c>
      <c r="F775" t="s">
        <v>7898</v>
      </c>
      <c r="G775" t="s">
        <v>8166</v>
      </c>
      <c r="H775" t="s">
        <v>8166</v>
      </c>
    </row>
    <row r="776" spans="1:8" x14ac:dyDescent="0.25">
      <c r="A776">
        <v>774</v>
      </c>
      <c r="B776">
        <v>999</v>
      </c>
      <c r="C776">
        <v>2</v>
      </c>
      <c r="D776">
        <v>6</v>
      </c>
      <c r="E776">
        <v>1</v>
      </c>
      <c r="F776" t="s">
        <v>3321</v>
      </c>
      <c r="G776" t="s">
        <v>8167</v>
      </c>
      <c r="H776" t="s">
        <v>8167</v>
      </c>
    </row>
    <row r="777" spans="1:8" x14ac:dyDescent="0.25">
      <c r="A777">
        <v>775</v>
      </c>
      <c r="B777">
        <v>100</v>
      </c>
      <c r="C777">
        <v>2</v>
      </c>
      <c r="D777">
        <v>3</v>
      </c>
      <c r="E777">
        <v>1</v>
      </c>
      <c r="G777" t="s">
        <v>8168</v>
      </c>
    </row>
    <row r="778" spans="1:8" x14ac:dyDescent="0.25">
      <c r="A778">
        <v>776</v>
      </c>
      <c r="B778">
        <v>999</v>
      </c>
      <c r="C778">
        <v>2</v>
      </c>
      <c r="D778">
        <v>7</v>
      </c>
      <c r="E778">
        <v>0</v>
      </c>
      <c r="F778" t="s">
        <v>7386</v>
      </c>
      <c r="G778" t="s">
        <v>8169</v>
      </c>
    </row>
    <row r="779" spans="1:8" x14ac:dyDescent="0.25">
      <c r="A779">
        <v>777</v>
      </c>
      <c r="B779">
        <v>999</v>
      </c>
      <c r="C779">
        <v>2</v>
      </c>
      <c r="D779">
        <v>6</v>
      </c>
      <c r="E779">
        <v>1</v>
      </c>
      <c r="F779" t="s">
        <v>3321</v>
      </c>
      <c r="G779" t="s">
        <v>8170</v>
      </c>
      <c r="H779" t="s">
        <v>8170</v>
      </c>
    </row>
    <row r="780" spans="1:8" x14ac:dyDescent="0.25">
      <c r="A780">
        <v>778</v>
      </c>
      <c r="B780">
        <v>999</v>
      </c>
      <c r="C780">
        <v>2</v>
      </c>
      <c r="D780">
        <v>6</v>
      </c>
      <c r="E780">
        <v>1</v>
      </c>
      <c r="F780" t="s">
        <v>3321</v>
      </c>
      <c r="G780" t="s">
        <v>8171</v>
      </c>
      <c r="H780" t="s">
        <v>8171</v>
      </c>
    </row>
    <row r="781" spans="1:8" x14ac:dyDescent="0.25">
      <c r="A781">
        <v>779</v>
      </c>
      <c r="B781">
        <v>999</v>
      </c>
      <c r="C781">
        <v>100</v>
      </c>
      <c r="D781">
        <v>10</v>
      </c>
      <c r="E781">
        <v>1</v>
      </c>
      <c r="F781" t="s">
        <v>3321</v>
      </c>
      <c r="G781" t="s">
        <v>8172</v>
      </c>
      <c r="H781" t="s">
        <v>8172</v>
      </c>
    </row>
    <row r="782" spans="1:8" x14ac:dyDescent="0.25">
      <c r="A782">
        <v>780</v>
      </c>
      <c r="B782">
        <v>999</v>
      </c>
      <c r="C782">
        <v>2</v>
      </c>
      <c r="D782">
        <v>6</v>
      </c>
      <c r="E782">
        <v>1</v>
      </c>
      <c r="F782" t="s">
        <v>3321</v>
      </c>
      <c r="G782" t="s">
        <v>8173</v>
      </c>
      <c r="H782" t="s">
        <v>8173</v>
      </c>
    </row>
    <row r="783" spans="1:8" x14ac:dyDescent="0.25">
      <c r="A783">
        <v>781</v>
      </c>
      <c r="B783">
        <v>999</v>
      </c>
      <c r="C783">
        <v>2</v>
      </c>
      <c r="D783">
        <v>6</v>
      </c>
      <c r="E783">
        <v>1</v>
      </c>
      <c r="F783" t="s">
        <v>3321</v>
      </c>
      <c r="G783" t="s">
        <v>8174</v>
      </c>
      <c r="H783" t="s">
        <v>8174</v>
      </c>
    </row>
    <row r="784" spans="1:8" x14ac:dyDescent="0.25">
      <c r="A784">
        <v>782</v>
      </c>
      <c r="B784">
        <v>999</v>
      </c>
      <c r="C784">
        <v>2</v>
      </c>
      <c r="D784">
        <v>6</v>
      </c>
      <c r="E784">
        <v>1</v>
      </c>
      <c r="F784" t="s">
        <v>3321</v>
      </c>
      <c r="G784" t="s">
        <v>8175</v>
      </c>
      <c r="H784" t="s">
        <v>8175</v>
      </c>
    </row>
    <row r="785" spans="1:8" x14ac:dyDescent="0.25">
      <c r="A785">
        <v>783</v>
      </c>
      <c r="B785">
        <v>999</v>
      </c>
      <c r="C785">
        <v>2</v>
      </c>
      <c r="D785">
        <v>6</v>
      </c>
      <c r="E785">
        <v>1</v>
      </c>
      <c r="F785" t="s">
        <v>3321</v>
      </c>
      <c r="G785" t="s">
        <v>8176</v>
      </c>
      <c r="H785" t="s">
        <v>8176</v>
      </c>
    </row>
    <row r="786" spans="1:8" x14ac:dyDescent="0.25">
      <c r="A786">
        <v>784</v>
      </c>
      <c r="B786">
        <v>999</v>
      </c>
      <c r="C786">
        <v>2</v>
      </c>
      <c r="D786">
        <v>10</v>
      </c>
      <c r="E786">
        <v>1</v>
      </c>
      <c r="F786" t="s">
        <v>3321</v>
      </c>
      <c r="G786" t="s">
        <v>8177</v>
      </c>
      <c r="H786" t="s">
        <v>8177</v>
      </c>
    </row>
    <row r="787" spans="1:8" x14ac:dyDescent="0.25">
      <c r="A787">
        <v>785</v>
      </c>
      <c r="B787">
        <v>999</v>
      </c>
      <c r="C787">
        <v>2</v>
      </c>
      <c r="D787">
        <v>6</v>
      </c>
      <c r="E787">
        <v>1</v>
      </c>
      <c r="F787" t="s">
        <v>3321</v>
      </c>
      <c r="G787" t="s">
        <v>8178</v>
      </c>
      <c r="H787" t="s">
        <v>8178</v>
      </c>
    </row>
    <row r="788" spans="1:8" x14ac:dyDescent="0.25">
      <c r="A788">
        <v>786</v>
      </c>
      <c r="B788">
        <v>255</v>
      </c>
      <c r="C788">
        <v>1</v>
      </c>
      <c r="D788">
        <v>10</v>
      </c>
      <c r="E788">
        <v>1</v>
      </c>
      <c r="F788" t="s">
        <v>3321</v>
      </c>
      <c r="G788" t="s">
        <v>8179</v>
      </c>
      <c r="H788" t="s">
        <v>8179</v>
      </c>
    </row>
    <row r="789" spans="1:8" x14ac:dyDescent="0.25">
      <c r="A789">
        <v>787</v>
      </c>
      <c r="B789">
        <v>999</v>
      </c>
      <c r="C789">
        <v>1</v>
      </c>
      <c r="D789">
        <v>10</v>
      </c>
      <c r="E789">
        <v>1</v>
      </c>
      <c r="F789" t="s">
        <v>3321</v>
      </c>
      <c r="G789" t="s">
        <v>8180</v>
      </c>
      <c r="H789" t="s">
        <v>8180</v>
      </c>
    </row>
    <row r="790" spans="1:8" x14ac:dyDescent="0.25">
      <c r="A790">
        <v>788</v>
      </c>
      <c r="B790">
        <v>200</v>
      </c>
      <c r="C790">
        <v>2</v>
      </c>
      <c r="D790">
        <v>7</v>
      </c>
      <c r="E790">
        <v>1</v>
      </c>
      <c r="G790" t="s">
        <v>8181</v>
      </c>
    </row>
    <row r="791" spans="1:8" x14ac:dyDescent="0.25">
      <c r="A791">
        <v>789</v>
      </c>
      <c r="B791">
        <v>999</v>
      </c>
      <c r="C791">
        <v>1</v>
      </c>
      <c r="D791">
        <v>10</v>
      </c>
      <c r="E791">
        <v>1</v>
      </c>
      <c r="F791" t="s">
        <v>3321</v>
      </c>
      <c r="G791" t="s">
        <v>8182</v>
      </c>
      <c r="H791" t="s">
        <v>8182</v>
      </c>
    </row>
    <row r="792" spans="1:8" x14ac:dyDescent="0.25">
      <c r="A792">
        <v>790</v>
      </c>
      <c r="B792">
        <v>999</v>
      </c>
      <c r="C792">
        <v>1</v>
      </c>
      <c r="D792">
        <v>10</v>
      </c>
      <c r="E792">
        <v>1</v>
      </c>
      <c r="F792" t="s">
        <v>3321</v>
      </c>
      <c r="G792" t="s">
        <v>8183</v>
      </c>
      <c r="H792" t="s">
        <v>8183</v>
      </c>
    </row>
    <row r="793" spans="1:8" x14ac:dyDescent="0.25">
      <c r="A793">
        <v>791</v>
      </c>
      <c r="B793">
        <v>999</v>
      </c>
      <c r="C793">
        <v>2</v>
      </c>
      <c r="D793">
        <v>6</v>
      </c>
      <c r="E793">
        <v>0</v>
      </c>
      <c r="F793" t="s">
        <v>7474</v>
      </c>
      <c r="G793" t="s">
        <v>8184</v>
      </c>
      <c r="H793" t="s">
        <v>8184</v>
      </c>
    </row>
    <row r="794" spans="1:8" x14ac:dyDescent="0.25">
      <c r="A794">
        <v>792</v>
      </c>
      <c r="B794">
        <v>999</v>
      </c>
      <c r="C794">
        <v>2</v>
      </c>
      <c r="D794">
        <v>6</v>
      </c>
      <c r="E794">
        <v>0</v>
      </c>
      <c r="F794" t="s">
        <v>7812</v>
      </c>
      <c r="G794" t="s">
        <v>401</v>
      </c>
      <c r="H794" t="s">
        <v>401</v>
      </c>
    </row>
    <row r="795" spans="1:8" x14ac:dyDescent="0.25">
      <c r="A795">
        <v>793</v>
      </c>
      <c r="B795">
        <v>999</v>
      </c>
      <c r="C795">
        <v>1</v>
      </c>
      <c r="D795">
        <v>10</v>
      </c>
      <c r="E795">
        <v>0</v>
      </c>
      <c r="F795" t="s">
        <v>7476</v>
      </c>
      <c r="G795" t="s">
        <v>8185</v>
      </c>
      <c r="H795" t="s">
        <v>8185</v>
      </c>
    </row>
    <row r="796" spans="1:8" x14ac:dyDescent="0.25">
      <c r="A796">
        <v>794</v>
      </c>
      <c r="B796">
        <v>999</v>
      </c>
      <c r="C796">
        <v>2</v>
      </c>
      <c r="D796">
        <v>6</v>
      </c>
      <c r="E796">
        <v>0</v>
      </c>
      <c r="F796" t="s">
        <v>8186</v>
      </c>
      <c r="G796" t="s">
        <v>858</v>
      </c>
      <c r="H796" t="s">
        <v>858</v>
      </c>
    </row>
    <row r="797" spans="1:8" x14ac:dyDescent="0.25">
      <c r="A797">
        <v>795</v>
      </c>
      <c r="B797">
        <v>999</v>
      </c>
      <c r="C797">
        <v>2</v>
      </c>
      <c r="D797">
        <v>6</v>
      </c>
      <c r="E797">
        <v>0</v>
      </c>
      <c r="F797" t="s">
        <v>7812</v>
      </c>
      <c r="G797" t="s">
        <v>19</v>
      </c>
      <c r="H797" t="s">
        <v>19</v>
      </c>
    </row>
    <row r="798" spans="1:8" x14ac:dyDescent="0.25">
      <c r="A798">
        <v>796</v>
      </c>
      <c r="B798">
        <v>999</v>
      </c>
      <c r="C798">
        <v>2</v>
      </c>
      <c r="D798">
        <v>7</v>
      </c>
      <c r="E798">
        <v>1</v>
      </c>
      <c r="G798" t="s">
        <v>8187</v>
      </c>
    </row>
    <row r="799" spans="1:8" x14ac:dyDescent="0.25">
      <c r="A799">
        <v>797</v>
      </c>
      <c r="B799">
        <v>999</v>
      </c>
      <c r="C799">
        <v>2</v>
      </c>
      <c r="D799">
        <v>6</v>
      </c>
      <c r="E799">
        <v>0</v>
      </c>
      <c r="F799" t="s">
        <v>7804</v>
      </c>
      <c r="G799" t="s">
        <v>1643</v>
      </c>
      <c r="H799" t="s">
        <v>1643</v>
      </c>
    </row>
    <row r="800" spans="1:8" x14ac:dyDescent="0.25">
      <c r="A800">
        <v>798</v>
      </c>
      <c r="B800">
        <v>999</v>
      </c>
      <c r="C800">
        <v>2</v>
      </c>
      <c r="D800">
        <v>6</v>
      </c>
      <c r="E800">
        <v>0</v>
      </c>
      <c r="F800" t="s">
        <v>8188</v>
      </c>
      <c r="G800" t="s">
        <v>1228</v>
      </c>
      <c r="H800" t="s">
        <v>1228</v>
      </c>
    </row>
    <row r="801" spans="1:8" x14ac:dyDescent="0.25">
      <c r="A801">
        <v>799</v>
      </c>
      <c r="B801">
        <v>999</v>
      </c>
      <c r="C801">
        <v>2</v>
      </c>
      <c r="D801">
        <v>6</v>
      </c>
      <c r="E801">
        <v>0</v>
      </c>
      <c r="F801" t="s">
        <v>7804</v>
      </c>
      <c r="G801" t="s">
        <v>1241</v>
      </c>
      <c r="H801" t="s">
        <v>1241</v>
      </c>
    </row>
    <row r="802" spans="1:8" x14ac:dyDescent="0.25">
      <c r="A802">
        <v>800</v>
      </c>
      <c r="B802">
        <v>999</v>
      </c>
      <c r="C802">
        <v>2</v>
      </c>
      <c r="D802">
        <v>6</v>
      </c>
      <c r="E802">
        <v>0</v>
      </c>
      <c r="F802" t="s">
        <v>8189</v>
      </c>
      <c r="G802" t="s">
        <v>502</v>
      </c>
      <c r="H802" t="s">
        <v>502</v>
      </c>
    </row>
    <row r="803" spans="1:8" x14ac:dyDescent="0.25">
      <c r="A803">
        <v>801</v>
      </c>
      <c r="B803">
        <v>999</v>
      </c>
      <c r="C803">
        <v>2</v>
      </c>
      <c r="D803">
        <v>7</v>
      </c>
      <c r="E803">
        <v>1</v>
      </c>
      <c r="G803" t="s">
        <v>8190</v>
      </c>
    </row>
    <row r="804" spans="1:8" x14ac:dyDescent="0.25">
      <c r="A804">
        <v>802</v>
      </c>
      <c r="B804">
        <v>999</v>
      </c>
      <c r="C804">
        <v>1</v>
      </c>
      <c r="D804">
        <v>10</v>
      </c>
      <c r="E804">
        <v>1</v>
      </c>
      <c r="F804" t="s">
        <v>3321</v>
      </c>
      <c r="G804" t="s">
        <v>8191</v>
      </c>
      <c r="H804" t="s">
        <v>8191</v>
      </c>
    </row>
    <row r="805" spans="1:8" x14ac:dyDescent="0.25">
      <c r="A805">
        <v>803</v>
      </c>
      <c r="B805">
        <v>999</v>
      </c>
      <c r="C805">
        <v>1</v>
      </c>
      <c r="D805">
        <v>10</v>
      </c>
      <c r="E805">
        <v>1</v>
      </c>
      <c r="F805" t="s">
        <v>3321</v>
      </c>
      <c r="G805" t="s">
        <v>8192</v>
      </c>
      <c r="H805" t="s">
        <v>8192</v>
      </c>
    </row>
    <row r="806" spans="1:8" x14ac:dyDescent="0.25">
      <c r="A806">
        <v>804</v>
      </c>
      <c r="B806">
        <v>999</v>
      </c>
      <c r="C806">
        <v>2</v>
      </c>
      <c r="D806">
        <v>6</v>
      </c>
      <c r="E806">
        <v>0</v>
      </c>
      <c r="F806" t="s">
        <v>7803</v>
      </c>
      <c r="G806" t="s">
        <v>8193</v>
      </c>
      <c r="H806" t="s">
        <v>8193</v>
      </c>
    </row>
    <row r="807" spans="1:8" x14ac:dyDescent="0.25">
      <c r="A807">
        <v>805</v>
      </c>
      <c r="B807">
        <v>999</v>
      </c>
      <c r="C807">
        <v>2</v>
      </c>
      <c r="D807">
        <v>6</v>
      </c>
      <c r="E807">
        <v>0</v>
      </c>
      <c r="F807" t="s">
        <v>7804</v>
      </c>
      <c r="G807" t="s">
        <v>30</v>
      </c>
      <c r="H807" t="s">
        <v>30</v>
      </c>
    </row>
    <row r="808" spans="1:8" x14ac:dyDescent="0.25">
      <c r="A808">
        <v>806</v>
      </c>
      <c r="B808">
        <v>999</v>
      </c>
      <c r="C808">
        <v>2</v>
      </c>
      <c r="D808">
        <v>6</v>
      </c>
      <c r="E808">
        <v>1</v>
      </c>
      <c r="F808" t="s">
        <v>3321</v>
      </c>
      <c r="G808" t="s">
        <v>8194</v>
      </c>
      <c r="H808" t="s">
        <v>8194</v>
      </c>
    </row>
    <row r="809" spans="1:8" x14ac:dyDescent="0.25">
      <c r="A809">
        <v>807</v>
      </c>
      <c r="B809">
        <v>999</v>
      </c>
      <c r="C809">
        <v>2</v>
      </c>
      <c r="D809">
        <v>6</v>
      </c>
      <c r="E809">
        <v>0</v>
      </c>
      <c r="F809" t="s">
        <v>8195</v>
      </c>
      <c r="G809" t="s">
        <v>547</v>
      </c>
      <c r="H809" t="s">
        <v>8196</v>
      </c>
    </row>
    <row r="810" spans="1:8" x14ac:dyDescent="0.25">
      <c r="A810">
        <v>808</v>
      </c>
      <c r="B810">
        <v>999</v>
      </c>
      <c r="C810">
        <v>2</v>
      </c>
      <c r="D810">
        <v>6</v>
      </c>
      <c r="E810">
        <v>1</v>
      </c>
      <c r="F810" t="s">
        <v>3321</v>
      </c>
      <c r="G810" t="s">
        <v>8197</v>
      </c>
      <c r="H810" t="s">
        <v>8197</v>
      </c>
    </row>
    <row r="811" spans="1:8" x14ac:dyDescent="0.25">
      <c r="A811">
        <v>809</v>
      </c>
      <c r="B811">
        <v>999</v>
      </c>
      <c r="C811">
        <v>2</v>
      </c>
      <c r="D811">
        <v>6</v>
      </c>
      <c r="E811">
        <v>1</v>
      </c>
      <c r="F811" t="s">
        <v>3321</v>
      </c>
      <c r="G811" t="s">
        <v>8198</v>
      </c>
      <c r="H811" t="s">
        <v>8198</v>
      </c>
    </row>
    <row r="812" spans="1:8" x14ac:dyDescent="0.25">
      <c r="A812">
        <v>810</v>
      </c>
      <c r="B812">
        <v>999</v>
      </c>
      <c r="C812">
        <v>2</v>
      </c>
      <c r="D812">
        <v>6</v>
      </c>
      <c r="E812">
        <v>1</v>
      </c>
      <c r="F812" t="s">
        <v>3321</v>
      </c>
      <c r="G812" t="s">
        <v>8199</v>
      </c>
      <c r="H812" t="s">
        <v>8199</v>
      </c>
    </row>
    <row r="813" spans="1:8" x14ac:dyDescent="0.25">
      <c r="A813">
        <v>811</v>
      </c>
      <c r="B813">
        <v>999</v>
      </c>
      <c r="C813">
        <v>2</v>
      </c>
      <c r="D813">
        <v>6</v>
      </c>
      <c r="E813">
        <v>1</v>
      </c>
      <c r="F813" t="s">
        <v>3321</v>
      </c>
      <c r="G813" t="s">
        <v>8200</v>
      </c>
      <c r="H813" t="s">
        <v>8200</v>
      </c>
    </row>
    <row r="814" spans="1:8" x14ac:dyDescent="0.25">
      <c r="A814">
        <v>812</v>
      </c>
      <c r="B814">
        <v>999</v>
      </c>
      <c r="C814">
        <v>1</v>
      </c>
      <c r="D814">
        <v>10</v>
      </c>
      <c r="E814">
        <v>1</v>
      </c>
      <c r="F814" t="s">
        <v>3321</v>
      </c>
      <c r="G814" t="s">
        <v>8201</v>
      </c>
      <c r="H814" t="s">
        <v>8201</v>
      </c>
    </row>
    <row r="815" spans="1:8" x14ac:dyDescent="0.25">
      <c r="A815">
        <v>813</v>
      </c>
      <c r="B815">
        <v>999</v>
      </c>
      <c r="C815">
        <v>2</v>
      </c>
      <c r="D815">
        <v>6</v>
      </c>
      <c r="E815">
        <v>1</v>
      </c>
      <c r="F815" t="s">
        <v>3321</v>
      </c>
      <c r="G815" t="s">
        <v>8202</v>
      </c>
      <c r="H815" t="s">
        <v>8202</v>
      </c>
    </row>
    <row r="816" spans="1:8" x14ac:dyDescent="0.25">
      <c r="A816">
        <v>814</v>
      </c>
      <c r="B816">
        <v>999</v>
      </c>
      <c r="C816">
        <v>2</v>
      </c>
      <c r="D816">
        <v>6</v>
      </c>
      <c r="E816">
        <v>0</v>
      </c>
      <c r="F816" t="s">
        <v>7898</v>
      </c>
      <c r="G816" t="s">
        <v>8203</v>
      </c>
      <c r="H816" t="s">
        <v>8203</v>
      </c>
    </row>
    <row r="817" spans="1:8" x14ac:dyDescent="0.25">
      <c r="A817">
        <v>815</v>
      </c>
      <c r="B817">
        <v>999</v>
      </c>
      <c r="C817">
        <v>2</v>
      </c>
      <c r="D817">
        <v>7</v>
      </c>
      <c r="E817">
        <v>1</v>
      </c>
      <c r="G817" t="s">
        <v>8204</v>
      </c>
    </row>
    <row r="818" spans="1:8" x14ac:dyDescent="0.25">
      <c r="A818">
        <v>816</v>
      </c>
      <c r="B818">
        <v>999</v>
      </c>
      <c r="C818">
        <v>1</v>
      </c>
      <c r="D818">
        <v>10</v>
      </c>
      <c r="E818">
        <v>1</v>
      </c>
      <c r="F818" t="s">
        <v>3321</v>
      </c>
      <c r="G818" t="s">
        <v>8205</v>
      </c>
      <c r="H818" t="s">
        <v>8205</v>
      </c>
    </row>
    <row r="819" spans="1:8" x14ac:dyDescent="0.25">
      <c r="A819">
        <v>817</v>
      </c>
      <c r="B819">
        <v>999</v>
      </c>
      <c r="C819">
        <v>2</v>
      </c>
      <c r="D819">
        <v>6</v>
      </c>
      <c r="E819">
        <v>1</v>
      </c>
      <c r="F819" t="s">
        <v>3321</v>
      </c>
      <c r="G819" t="s">
        <v>8206</v>
      </c>
      <c r="H819" t="s">
        <v>8206</v>
      </c>
    </row>
    <row r="820" spans="1:8" x14ac:dyDescent="0.25">
      <c r="A820">
        <v>818</v>
      </c>
      <c r="B820">
        <v>999</v>
      </c>
      <c r="C820">
        <v>1</v>
      </c>
      <c r="D820">
        <v>10</v>
      </c>
      <c r="E820">
        <v>1</v>
      </c>
      <c r="F820" t="s">
        <v>3321</v>
      </c>
      <c r="G820" t="s">
        <v>8207</v>
      </c>
      <c r="H820" t="s">
        <v>8207</v>
      </c>
    </row>
    <row r="821" spans="1:8" x14ac:dyDescent="0.25">
      <c r="A821">
        <v>819</v>
      </c>
      <c r="B821">
        <v>999</v>
      </c>
      <c r="C821">
        <v>2</v>
      </c>
      <c r="D821">
        <v>6</v>
      </c>
      <c r="E821">
        <v>1</v>
      </c>
      <c r="F821" t="s">
        <v>8208</v>
      </c>
      <c r="G821" t="s">
        <v>8209</v>
      </c>
      <c r="H821" t="s">
        <v>8209</v>
      </c>
    </row>
    <row r="822" spans="1:8" x14ac:dyDescent="0.25">
      <c r="A822">
        <v>820</v>
      </c>
      <c r="B822">
        <v>999</v>
      </c>
      <c r="C822">
        <v>2</v>
      </c>
      <c r="D822">
        <v>6</v>
      </c>
      <c r="E822">
        <v>1</v>
      </c>
      <c r="F822" t="s">
        <v>3321</v>
      </c>
      <c r="G822" t="s">
        <v>8210</v>
      </c>
      <c r="H822" t="s">
        <v>8210</v>
      </c>
    </row>
    <row r="823" spans="1:8" x14ac:dyDescent="0.25">
      <c r="A823">
        <v>821</v>
      </c>
      <c r="B823">
        <v>999</v>
      </c>
      <c r="C823">
        <v>2</v>
      </c>
      <c r="D823">
        <v>6</v>
      </c>
      <c r="E823">
        <v>1</v>
      </c>
      <c r="F823" t="s">
        <v>3321</v>
      </c>
      <c r="G823" t="s">
        <v>8211</v>
      </c>
      <c r="H823" t="s">
        <v>8211</v>
      </c>
    </row>
    <row r="824" spans="1:8" x14ac:dyDescent="0.25">
      <c r="A824">
        <v>822</v>
      </c>
      <c r="B824">
        <v>999</v>
      </c>
      <c r="C824">
        <v>2</v>
      </c>
      <c r="D824">
        <v>6</v>
      </c>
      <c r="E824">
        <v>0</v>
      </c>
      <c r="F824" t="s">
        <v>7955</v>
      </c>
      <c r="G824" t="s">
        <v>8212</v>
      </c>
      <c r="H824" t="s">
        <v>8212</v>
      </c>
    </row>
    <row r="825" spans="1:8" x14ac:dyDescent="0.25">
      <c r="A825">
        <v>823</v>
      </c>
      <c r="B825">
        <v>999</v>
      </c>
      <c r="C825">
        <v>2</v>
      </c>
      <c r="D825">
        <v>6</v>
      </c>
      <c r="E825">
        <v>1</v>
      </c>
      <c r="F825" t="s">
        <v>3321</v>
      </c>
      <c r="G825" t="s">
        <v>8213</v>
      </c>
      <c r="H825" t="s">
        <v>8213</v>
      </c>
    </row>
    <row r="826" spans="1:8" x14ac:dyDescent="0.25">
      <c r="A826">
        <v>824</v>
      </c>
      <c r="B826">
        <v>999</v>
      </c>
      <c r="C826">
        <v>1</v>
      </c>
      <c r="D826">
        <v>10</v>
      </c>
      <c r="E826">
        <v>1</v>
      </c>
      <c r="F826" t="s">
        <v>3321</v>
      </c>
      <c r="G826" t="s">
        <v>8214</v>
      </c>
      <c r="H826" t="s">
        <v>8214</v>
      </c>
    </row>
    <row r="827" spans="1:8" x14ac:dyDescent="0.25">
      <c r="A827">
        <v>825</v>
      </c>
      <c r="B827">
        <v>999</v>
      </c>
      <c r="C827">
        <v>1</v>
      </c>
      <c r="D827">
        <v>10</v>
      </c>
      <c r="E827">
        <v>1</v>
      </c>
      <c r="F827" t="s">
        <v>3321</v>
      </c>
      <c r="G827" t="s">
        <v>8215</v>
      </c>
      <c r="H827" t="s">
        <v>8215</v>
      </c>
    </row>
    <row r="828" spans="1:8" x14ac:dyDescent="0.25">
      <c r="A828">
        <v>826</v>
      </c>
      <c r="B828">
        <v>999</v>
      </c>
      <c r="C828">
        <v>1</v>
      </c>
      <c r="D828">
        <v>10</v>
      </c>
      <c r="E828">
        <v>1</v>
      </c>
      <c r="F828" t="s">
        <v>3321</v>
      </c>
      <c r="G828" t="s">
        <v>8216</v>
      </c>
      <c r="H828" t="s">
        <v>8216</v>
      </c>
    </row>
    <row r="829" spans="1:8" x14ac:dyDescent="0.25">
      <c r="A829">
        <v>827</v>
      </c>
      <c r="B829">
        <v>999</v>
      </c>
      <c r="C829">
        <v>2</v>
      </c>
      <c r="D829">
        <v>6</v>
      </c>
      <c r="E829">
        <v>1</v>
      </c>
      <c r="F829" t="s">
        <v>3321</v>
      </c>
      <c r="G829" t="s">
        <v>8217</v>
      </c>
      <c r="H829" t="s">
        <v>8217</v>
      </c>
    </row>
    <row r="830" spans="1:8" x14ac:dyDescent="0.25">
      <c r="A830">
        <v>828</v>
      </c>
      <c r="B830">
        <v>999</v>
      </c>
      <c r="C830">
        <v>100</v>
      </c>
      <c r="D830">
        <v>10</v>
      </c>
      <c r="E830">
        <v>1</v>
      </c>
      <c r="F830" t="s">
        <v>3321</v>
      </c>
      <c r="G830" t="s">
        <v>8218</v>
      </c>
      <c r="H830" t="s">
        <v>8218</v>
      </c>
    </row>
    <row r="831" spans="1:8" x14ac:dyDescent="0.25">
      <c r="A831">
        <v>829</v>
      </c>
      <c r="B831">
        <v>999</v>
      </c>
      <c r="C831">
        <v>1</v>
      </c>
      <c r="D831">
        <v>10</v>
      </c>
      <c r="E831">
        <v>1</v>
      </c>
      <c r="F831" t="s">
        <v>3321</v>
      </c>
      <c r="G831" t="s">
        <v>8219</v>
      </c>
      <c r="H831" t="s">
        <v>8219</v>
      </c>
    </row>
    <row r="832" spans="1:8" x14ac:dyDescent="0.25">
      <c r="A832">
        <v>830</v>
      </c>
      <c r="B832">
        <v>999</v>
      </c>
      <c r="C832">
        <v>100</v>
      </c>
      <c r="D832">
        <v>10</v>
      </c>
      <c r="E832">
        <v>1</v>
      </c>
      <c r="F832" t="s">
        <v>3321</v>
      </c>
      <c r="G832" t="s">
        <v>8220</v>
      </c>
      <c r="H832" t="s">
        <v>8220</v>
      </c>
    </row>
    <row r="833" spans="1:8" x14ac:dyDescent="0.25">
      <c r="A833">
        <v>831</v>
      </c>
      <c r="B833">
        <v>999</v>
      </c>
      <c r="C833">
        <v>2</v>
      </c>
      <c r="D833">
        <v>6</v>
      </c>
      <c r="E833">
        <v>1</v>
      </c>
      <c r="F833" t="s">
        <v>3321</v>
      </c>
      <c r="G833" t="s">
        <v>8221</v>
      </c>
      <c r="H833" t="s">
        <v>8221</v>
      </c>
    </row>
    <row r="834" spans="1:8" x14ac:dyDescent="0.25">
      <c r="A834">
        <v>832</v>
      </c>
      <c r="B834">
        <v>999</v>
      </c>
      <c r="C834">
        <v>2</v>
      </c>
      <c r="D834">
        <v>6</v>
      </c>
      <c r="E834">
        <v>1</v>
      </c>
      <c r="G834" t="s">
        <v>8222</v>
      </c>
      <c r="H834" t="s">
        <v>8223</v>
      </c>
    </row>
    <row r="835" spans="1:8" x14ac:dyDescent="0.25">
      <c r="A835">
        <v>833</v>
      </c>
      <c r="B835">
        <v>999</v>
      </c>
      <c r="C835">
        <v>1</v>
      </c>
      <c r="D835">
        <v>10</v>
      </c>
      <c r="E835">
        <v>1</v>
      </c>
      <c r="F835" t="s">
        <v>3321</v>
      </c>
      <c r="G835" t="s">
        <v>8224</v>
      </c>
      <c r="H835" t="s">
        <v>8224</v>
      </c>
    </row>
    <row r="836" spans="1:8" x14ac:dyDescent="0.25">
      <c r="A836">
        <v>834</v>
      </c>
      <c r="B836">
        <v>999</v>
      </c>
      <c r="C836">
        <v>1</v>
      </c>
      <c r="D836">
        <v>10</v>
      </c>
      <c r="E836">
        <v>1</v>
      </c>
      <c r="F836" t="s">
        <v>3321</v>
      </c>
      <c r="G836" t="s">
        <v>8225</v>
      </c>
      <c r="H836" t="s">
        <v>8225</v>
      </c>
    </row>
    <row r="837" spans="1:8" x14ac:dyDescent="0.25">
      <c r="A837">
        <v>835</v>
      </c>
      <c r="B837">
        <v>999</v>
      </c>
      <c r="C837">
        <v>2</v>
      </c>
      <c r="D837">
        <v>6</v>
      </c>
      <c r="E837">
        <v>1</v>
      </c>
      <c r="F837" t="s">
        <v>3321</v>
      </c>
      <c r="G837" t="s">
        <v>8226</v>
      </c>
      <c r="H837" t="s">
        <v>8226</v>
      </c>
    </row>
    <row r="838" spans="1:8" x14ac:dyDescent="0.25">
      <c r="A838">
        <v>836</v>
      </c>
      <c r="B838">
        <v>999</v>
      </c>
      <c r="C838">
        <v>2</v>
      </c>
      <c r="D838">
        <v>6</v>
      </c>
      <c r="E838">
        <v>1</v>
      </c>
      <c r="F838" t="s">
        <v>3321</v>
      </c>
      <c r="G838" t="s">
        <v>8227</v>
      </c>
      <c r="H838" t="s">
        <v>8227</v>
      </c>
    </row>
    <row r="839" spans="1:8" x14ac:dyDescent="0.25">
      <c r="A839">
        <v>837</v>
      </c>
      <c r="B839">
        <v>999</v>
      </c>
      <c r="C839">
        <v>1</v>
      </c>
      <c r="D839">
        <v>10</v>
      </c>
      <c r="E839">
        <v>1</v>
      </c>
      <c r="F839" t="s">
        <v>3321</v>
      </c>
      <c r="G839" t="s">
        <v>8228</v>
      </c>
      <c r="H839" t="s">
        <v>8228</v>
      </c>
    </row>
    <row r="840" spans="1:8" x14ac:dyDescent="0.25">
      <c r="A840">
        <v>838</v>
      </c>
      <c r="B840">
        <v>999</v>
      </c>
      <c r="C840">
        <v>2</v>
      </c>
      <c r="D840">
        <v>6</v>
      </c>
      <c r="E840">
        <v>0</v>
      </c>
      <c r="F840" t="s">
        <v>8229</v>
      </c>
      <c r="G840" t="s">
        <v>8230</v>
      </c>
      <c r="H840" t="s">
        <v>8230</v>
      </c>
    </row>
    <row r="841" spans="1:8" x14ac:dyDescent="0.25">
      <c r="A841">
        <v>839</v>
      </c>
      <c r="B841">
        <v>999</v>
      </c>
      <c r="C841">
        <v>2</v>
      </c>
      <c r="D841">
        <v>6</v>
      </c>
      <c r="E841">
        <v>1</v>
      </c>
      <c r="F841" t="s">
        <v>3321</v>
      </c>
      <c r="G841" t="s">
        <v>8231</v>
      </c>
      <c r="H841" t="s">
        <v>8231</v>
      </c>
    </row>
    <row r="842" spans="1:8" x14ac:dyDescent="0.25">
      <c r="A842">
        <v>840</v>
      </c>
      <c r="B842">
        <v>999</v>
      </c>
      <c r="C842">
        <v>2</v>
      </c>
      <c r="D842">
        <v>6</v>
      </c>
      <c r="E842">
        <v>0</v>
      </c>
      <c r="F842" t="s">
        <v>8232</v>
      </c>
      <c r="G842" t="s">
        <v>8233</v>
      </c>
      <c r="H842" t="s">
        <v>8233</v>
      </c>
    </row>
    <row r="843" spans="1:8" x14ac:dyDescent="0.25">
      <c r="A843">
        <v>841</v>
      </c>
      <c r="B843">
        <v>999</v>
      </c>
      <c r="C843">
        <v>2</v>
      </c>
      <c r="D843">
        <v>6</v>
      </c>
      <c r="E843">
        <v>0</v>
      </c>
      <c r="F843" t="s">
        <v>8229</v>
      </c>
      <c r="G843" t="s">
        <v>8234</v>
      </c>
      <c r="H843" t="s">
        <v>8234</v>
      </c>
    </row>
    <row r="844" spans="1:8" x14ac:dyDescent="0.25">
      <c r="A844">
        <v>842</v>
      </c>
      <c r="B844">
        <v>999</v>
      </c>
      <c r="C844">
        <v>100</v>
      </c>
      <c r="D844">
        <v>10</v>
      </c>
      <c r="E844">
        <v>1</v>
      </c>
      <c r="F844" t="s">
        <v>8235</v>
      </c>
      <c r="G844" t="s">
        <v>8236</v>
      </c>
      <c r="H844" t="s">
        <v>8236</v>
      </c>
    </row>
    <row r="845" spans="1:8" x14ac:dyDescent="0.25">
      <c r="A845">
        <v>843</v>
      </c>
      <c r="B845">
        <v>999</v>
      </c>
      <c r="C845">
        <v>1</v>
      </c>
      <c r="D845">
        <v>10</v>
      </c>
      <c r="E845">
        <v>1</v>
      </c>
      <c r="F845" t="s">
        <v>3321</v>
      </c>
      <c r="G845" t="s">
        <v>8237</v>
      </c>
      <c r="H845" t="s">
        <v>8237</v>
      </c>
    </row>
    <row r="846" spans="1:8" x14ac:dyDescent="0.25">
      <c r="A846">
        <v>844</v>
      </c>
      <c r="B846">
        <v>999</v>
      </c>
      <c r="C846">
        <v>100</v>
      </c>
      <c r="D846">
        <v>10</v>
      </c>
      <c r="E846">
        <v>1</v>
      </c>
      <c r="F846" t="s">
        <v>3321</v>
      </c>
      <c r="G846" t="s">
        <v>8238</v>
      </c>
      <c r="H846" t="s">
        <v>8238</v>
      </c>
    </row>
    <row r="847" spans="1:8" x14ac:dyDescent="0.25">
      <c r="A847">
        <v>845</v>
      </c>
      <c r="B847">
        <v>999</v>
      </c>
      <c r="C847">
        <v>2</v>
      </c>
      <c r="D847">
        <v>6</v>
      </c>
      <c r="E847">
        <v>1</v>
      </c>
      <c r="F847" t="s">
        <v>8239</v>
      </c>
      <c r="G847" t="s">
        <v>8240</v>
      </c>
      <c r="H847" t="s">
        <v>8240</v>
      </c>
    </row>
    <row r="848" spans="1:8" x14ac:dyDescent="0.25">
      <c r="A848">
        <v>846</v>
      </c>
      <c r="B848">
        <v>999</v>
      </c>
      <c r="C848">
        <v>1</v>
      </c>
      <c r="D848">
        <v>10</v>
      </c>
      <c r="E848">
        <v>1</v>
      </c>
      <c r="F848" t="s">
        <v>3321</v>
      </c>
      <c r="G848" t="s">
        <v>8241</v>
      </c>
      <c r="H848" t="s">
        <v>8241</v>
      </c>
    </row>
    <row r="849" spans="1:8" x14ac:dyDescent="0.25">
      <c r="A849">
        <v>847</v>
      </c>
      <c r="B849">
        <v>999</v>
      </c>
      <c r="C849">
        <v>1</v>
      </c>
      <c r="D849">
        <v>10</v>
      </c>
      <c r="E849">
        <v>1</v>
      </c>
      <c r="F849" t="s">
        <v>3321</v>
      </c>
      <c r="G849" t="s">
        <v>8242</v>
      </c>
      <c r="H849" t="s">
        <v>8242</v>
      </c>
    </row>
    <row r="850" spans="1:8" x14ac:dyDescent="0.25">
      <c r="A850">
        <v>848</v>
      </c>
      <c r="B850">
        <v>999</v>
      </c>
      <c r="C850">
        <v>2</v>
      </c>
      <c r="D850">
        <v>6</v>
      </c>
      <c r="E850">
        <v>1</v>
      </c>
      <c r="F850" t="s">
        <v>3321</v>
      </c>
      <c r="G850" t="s">
        <v>7341</v>
      </c>
      <c r="H850" t="s">
        <v>7341</v>
      </c>
    </row>
    <row r="851" spans="1:8" x14ac:dyDescent="0.25">
      <c r="A851">
        <v>849</v>
      </c>
      <c r="B851">
        <v>999</v>
      </c>
      <c r="C851">
        <v>1</v>
      </c>
      <c r="D851">
        <v>10</v>
      </c>
      <c r="E851">
        <v>1</v>
      </c>
      <c r="F851" t="s">
        <v>3321</v>
      </c>
      <c r="G851" t="s">
        <v>8243</v>
      </c>
      <c r="H851" t="s">
        <v>8243</v>
      </c>
    </row>
    <row r="852" spans="1:8" x14ac:dyDescent="0.25">
      <c r="A852">
        <v>850</v>
      </c>
      <c r="B852">
        <v>999</v>
      </c>
      <c r="C852">
        <v>100</v>
      </c>
      <c r="D852">
        <v>10</v>
      </c>
      <c r="E852">
        <v>1</v>
      </c>
      <c r="F852" t="s">
        <v>3321</v>
      </c>
      <c r="G852" t="s">
        <v>8244</v>
      </c>
      <c r="H852" t="s">
        <v>8244</v>
      </c>
    </row>
    <row r="853" spans="1:8" x14ac:dyDescent="0.25">
      <c r="A853">
        <v>851</v>
      </c>
      <c r="B853">
        <v>255</v>
      </c>
      <c r="C853">
        <v>1</v>
      </c>
      <c r="D853">
        <v>5</v>
      </c>
      <c r="E853">
        <v>1</v>
      </c>
      <c r="G853" t="s">
        <v>8245</v>
      </c>
    </row>
    <row r="854" spans="1:8" x14ac:dyDescent="0.25">
      <c r="A854">
        <v>852</v>
      </c>
      <c r="B854">
        <v>999</v>
      </c>
      <c r="C854">
        <v>100</v>
      </c>
      <c r="D854">
        <v>10</v>
      </c>
      <c r="E854">
        <v>1</v>
      </c>
      <c r="F854" t="s">
        <v>3321</v>
      </c>
      <c r="G854" t="s">
        <v>8246</v>
      </c>
      <c r="H854" t="s">
        <v>8246</v>
      </c>
    </row>
    <row r="855" spans="1:8" x14ac:dyDescent="0.25">
      <c r="A855">
        <v>853</v>
      </c>
      <c r="B855">
        <v>999</v>
      </c>
      <c r="C855">
        <v>2</v>
      </c>
      <c r="D855">
        <v>6</v>
      </c>
      <c r="E855">
        <v>1</v>
      </c>
      <c r="F855" t="s">
        <v>3321</v>
      </c>
      <c r="G855" t="s">
        <v>8247</v>
      </c>
      <c r="H855" t="s">
        <v>8247</v>
      </c>
    </row>
    <row r="856" spans="1:8" x14ac:dyDescent="0.25">
      <c r="A856">
        <v>854</v>
      </c>
      <c r="B856">
        <v>255</v>
      </c>
      <c r="C856">
        <v>1</v>
      </c>
      <c r="D856">
        <v>10</v>
      </c>
      <c r="E856">
        <v>1</v>
      </c>
      <c r="F856" t="s">
        <v>3321</v>
      </c>
      <c r="G856" t="s">
        <v>8248</v>
      </c>
      <c r="H856" t="s">
        <v>8248</v>
      </c>
    </row>
    <row r="857" spans="1:8" x14ac:dyDescent="0.25">
      <c r="A857">
        <v>855</v>
      </c>
      <c r="B857">
        <v>999</v>
      </c>
      <c r="C857">
        <v>100</v>
      </c>
      <c r="D857">
        <v>10</v>
      </c>
      <c r="E857">
        <v>1</v>
      </c>
      <c r="F857" t="s">
        <v>3321</v>
      </c>
      <c r="G857" t="s">
        <v>8249</v>
      </c>
      <c r="H857" t="s">
        <v>8249</v>
      </c>
    </row>
    <row r="858" spans="1:8" x14ac:dyDescent="0.25">
      <c r="A858">
        <v>856</v>
      </c>
      <c r="B858">
        <v>999</v>
      </c>
      <c r="C858">
        <v>1</v>
      </c>
      <c r="D858">
        <v>10</v>
      </c>
      <c r="E858">
        <v>1</v>
      </c>
      <c r="F858" t="s">
        <v>3321</v>
      </c>
      <c r="G858" t="s">
        <v>8250</v>
      </c>
      <c r="H858" t="s">
        <v>8250</v>
      </c>
    </row>
    <row r="859" spans="1:8" x14ac:dyDescent="0.25">
      <c r="A859">
        <v>857</v>
      </c>
      <c r="B859">
        <v>999</v>
      </c>
      <c r="C859">
        <v>100</v>
      </c>
      <c r="D859">
        <v>10</v>
      </c>
      <c r="E859">
        <v>1</v>
      </c>
      <c r="F859" t="s">
        <v>8251</v>
      </c>
      <c r="G859" t="s">
        <v>8252</v>
      </c>
      <c r="H859" t="s">
        <v>8252</v>
      </c>
    </row>
    <row r="860" spans="1:8" x14ac:dyDescent="0.25">
      <c r="A860">
        <v>858</v>
      </c>
      <c r="B860">
        <v>999</v>
      </c>
      <c r="C860">
        <v>1</v>
      </c>
      <c r="D860">
        <v>10</v>
      </c>
      <c r="E860">
        <v>1</v>
      </c>
      <c r="F860" t="s">
        <v>3321</v>
      </c>
      <c r="G860" t="s">
        <v>8253</v>
      </c>
      <c r="H860" t="s">
        <v>8253</v>
      </c>
    </row>
    <row r="861" spans="1:8" x14ac:dyDescent="0.25">
      <c r="A861">
        <v>859</v>
      </c>
      <c r="B861">
        <v>999</v>
      </c>
      <c r="C861">
        <v>2</v>
      </c>
      <c r="D861">
        <v>6</v>
      </c>
      <c r="E861">
        <v>1</v>
      </c>
      <c r="F861" t="s">
        <v>3321</v>
      </c>
      <c r="G861" t="s">
        <v>8254</v>
      </c>
      <c r="H861" t="s">
        <v>8254</v>
      </c>
    </row>
    <row r="862" spans="1:8" x14ac:dyDescent="0.25">
      <c r="A862">
        <v>860</v>
      </c>
      <c r="B862">
        <v>999</v>
      </c>
      <c r="C862">
        <v>100</v>
      </c>
      <c r="D862">
        <v>10</v>
      </c>
      <c r="E862">
        <v>1</v>
      </c>
      <c r="F862" t="s">
        <v>3321</v>
      </c>
      <c r="G862" t="s">
        <v>8255</v>
      </c>
      <c r="H862" t="s">
        <v>8255</v>
      </c>
    </row>
    <row r="863" spans="1:8" x14ac:dyDescent="0.25">
      <c r="A863">
        <v>861</v>
      </c>
      <c r="B863">
        <v>999</v>
      </c>
      <c r="C863">
        <v>100</v>
      </c>
      <c r="D863">
        <v>10</v>
      </c>
      <c r="E863">
        <v>1</v>
      </c>
      <c r="F863" t="s">
        <v>3321</v>
      </c>
      <c r="G863" t="s">
        <v>8256</v>
      </c>
      <c r="H863" t="s">
        <v>8256</v>
      </c>
    </row>
    <row r="864" spans="1:8" x14ac:dyDescent="0.25">
      <c r="A864">
        <v>862</v>
      </c>
      <c r="B864">
        <v>999</v>
      </c>
      <c r="C864">
        <v>2</v>
      </c>
      <c r="D864">
        <v>6</v>
      </c>
      <c r="E864">
        <v>1</v>
      </c>
      <c r="F864" t="s">
        <v>3321</v>
      </c>
      <c r="G864" t="s">
        <v>8257</v>
      </c>
      <c r="H864" t="s">
        <v>8257</v>
      </c>
    </row>
    <row r="865" spans="1:8" x14ac:dyDescent="0.25">
      <c r="A865">
        <v>863</v>
      </c>
      <c r="B865">
        <v>999</v>
      </c>
      <c r="C865">
        <v>2</v>
      </c>
      <c r="D865">
        <v>6</v>
      </c>
      <c r="E865">
        <v>1</v>
      </c>
      <c r="F865" t="s">
        <v>3321</v>
      </c>
      <c r="G865" t="s">
        <v>8258</v>
      </c>
      <c r="H865" t="s">
        <v>8258</v>
      </c>
    </row>
    <row r="866" spans="1:8" x14ac:dyDescent="0.25">
      <c r="A866">
        <v>864</v>
      </c>
      <c r="B866">
        <v>999</v>
      </c>
      <c r="C866">
        <v>1</v>
      </c>
      <c r="D866">
        <v>10</v>
      </c>
      <c r="E866">
        <v>1</v>
      </c>
      <c r="F866" t="s">
        <v>3321</v>
      </c>
      <c r="G866" t="s">
        <v>8259</v>
      </c>
      <c r="H866" t="s">
        <v>8259</v>
      </c>
    </row>
    <row r="867" spans="1:8" x14ac:dyDescent="0.25">
      <c r="A867">
        <v>865</v>
      </c>
      <c r="B867">
        <v>999</v>
      </c>
      <c r="C867">
        <v>1</v>
      </c>
      <c r="D867">
        <v>10</v>
      </c>
      <c r="E867">
        <v>1</v>
      </c>
      <c r="F867" t="s">
        <v>3321</v>
      </c>
      <c r="G867" t="s">
        <v>8260</v>
      </c>
      <c r="H867" t="s">
        <v>8260</v>
      </c>
    </row>
    <row r="868" spans="1:8" x14ac:dyDescent="0.25">
      <c r="A868">
        <v>866</v>
      </c>
      <c r="B868">
        <v>999</v>
      </c>
      <c r="C868">
        <v>2</v>
      </c>
      <c r="D868">
        <v>6</v>
      </c>
      <c r="E868">
        <v>0</v>
      </c>
      <c r="F868" t="s">
        <v>7898</v>
      </c>
      <c r="G868" t="s">
        <v>8261</v>
      </c>
      <c r="H868" t="s">
        <v>8261</v>
      </c>
    </row>
    <row r="869" spans="1:8" x14ac:dyDescent="0.25">
      <c r="A869">
        <v>867</v>
      </c>
      <c r="B869">
        <v>999</v>
      </c>
      <c r="C869">
        <v>100</v>
      </c>
      <c r="D869">
        <v>10</v>
      </c>
      <c r="E869">
        <v>1</v>
      </c>
      <c r="F869" t="s">
        <v>8262</v>
      </c>
      <c r="G869" t="s">
        <v>8263</v>
      </c>
      <c r="H869" t="s">
        <v>8263</v>
      </c>
    </row>
    <row r="870" spans="1:8" x14ac:dyDescent="0.25">
      <c r="A870">
        <v>868</v>
      </c>
      <c r="B870">
        <v>999</v>
      </c>
      <c r="C870">
        <v>100</v>
      </c>
      <c r="D870">
        <v>10</v>
      </c>
      <c r="E870">
        <v>1</v>
      </c>
      <c r="F870" t="s">
        <v>3321</v>
      </c>
      <c r="G870" t="s">
        <v>8264</v>
      </c>
      <c r="H870" t="s">
        <v>8264</v>
      </c>
    </row>
    <row r="871" spans="1:8" x14ac:dyDescent="0.25">
      <c r="A871">
        <v>869</v>
      </c>
      <c r="B871">
        <v>999</v>
      </c>
      <c r="C871">
        <v>1</v>
      </c>
      <c r="D871">
        <v>10</v>
      </c>
      <c r="E871">
        <v>1</v>
      </c>
      <c r="F871" t="s">
        <v>3321</v>
      </c>
      <c r="G871" t="s">
        <v>8265</v>
      </c>
      <c r="H871" t="s">
        <v>8265</v>
      </c>
    </row>
    <row r="872" spans="1:8" x14ac:dyDescent="0.25">
      <c r="A872">
        <v>870</v>
      </c>
      <c r="B872">
        <v>999</v>
      </c>
      <c r="C872">
        <v>2</v>
      </c>
      <c r="D872">
        <v>6</v>
      </c>
      <c r="E872">
        <v>0</v>
      </c>
      <c r="F872" t="s">
        <v>7898</v>
      </c>
      <c r="G872" t="s">
        <v>8266</v>
      </c>
      <c r="H872" t="s">
        <v>8266</v>
      </c>
    </row>
    <row r="873" spans="1:8" x14ac:dyDescent="0.25">
      <c r="A873">
        <v>871</v>
      </c>
      <c r="B873">
        <v>999</v>
      </c>
      <c r="C873">
        <v>2</v>
      </c>
      <c r="D873">
        <v>6</v>
      </c>
      <c r="E873">
        <v>0</v>
      </c>
      <c r="F873" t="s">
        <v>7898</v>
      </c>
      <c r="G873" t="s">
        <v>8267</v>
      </c>
      <c r="H873" t="s">
        <v>8267</v>
      </c>
    </row>
    <row r="874" spans="1:8" x14ac:dyDescent="0.25">
      <c r="A874">
        <v>872</v>
      </c>
      <c r="B874">
        <v>999</v>
      </c>
      <c r="C874">
        <v>2</v>
      </c>
      <c r="D874">
        <v>6</v>
      </c>
      <c r="E874">
        <v>1</v>
      </c>
      <c r="F874" t="s">
        <v>3321</v>
      </c>
      <c r="G874" t="s">
        <v>8268</v>
      </c>
      <c r="H874" t="s">
        <v>8268</v>
      </c>
    </row>
    <row r="875" spans="1:8" x14ac:dyDescent="0.25">
      <c r="A875">
        <v>873</v>
      </c>
      <c r="B875">
        <v>999</v>
      </c>
      <c r="C875">
        <v>2</v>
      </c>
      <c r="D875">
        <v>6</v>
      </c>
      <c r="E875">
        <v>0</v>
      </c>
      <c r="F875" t="s">
        <v>7898</v>
      </c>
      <c r="G875" t="s">
        <v>8269</v>
      </c>
      <c r="H875" t="s">
        <v>8269</v>
      </c>
    </row>
    <row r="876" spans="1:8" x14ac:dyDescent="0.25">
      <c r="A876">
        <v>874</v>
      </c>
      <c r="B876">
        <v>999</v>
      </c>
      <c r="C876">
        <v>1</v>
      </c>
      <c r="D876">
        <v>10</v>
      </c>
      <c r="E876">
        <v>1</v>
      </c>
      <c r="F876" t="s">
        <v>3321</v>
      </c>
      <c r="G876" t="s">
        <v>8270</v>
      </c>
      <c r="H876" t="s">
        <v>8270</v>
      </c>
    </row>
    <row r="877" spans="1:8" x14ac:dyDescent="0.25">
      <c r="A877">
        <v>875</v>
      </c>
      <c r="B877">
        <v>999</v>
      </c>
      <c r="C877">
        <v>2</v>
      </c>
      <c r="D877">
        <v>3</v>
      </c>
      <c r="E877">
        <v>1</v>
      </c>
      <c r="F877" t="s">
        <v>3321</v>
      </c>
      <c r="G877" t="s">
        <v>8271</v>
      </c>
      <c r="H877" t="s">
        <v>8271</v>
      </c>
    </row>
    <row r="878" spans="1:8" x14ac:dyDescent="0.25">
      <c r="A878">
        <v>876</v>
      </c>
      <c r="B878">
        <v>999</v>
      </c>
      <c r="C878">
        <v>1</v>
      </c>
      <c r="D878">
        <v>10</v>
      </c>
      <c r="E878">
        <v>1</v>
      </c>
      <c r="F878" t="s">
        <v>3321</v>
      </c>
      <c r="G878" t="s">
        <v>8272</v>
      </c>
      <c r="H878" t="s">
        <v>8272</v>
      </c>
    </row>
    <row r="879" spans="1:8" x14ac:dyDescent="0.25">
      <c r="A879">
        <v>877</v>
      </c>
      <c r="B879">
        <v>999</v>
      </c>
      <c r="C879">
        <v>1</v>
      </c>
      <c r="D879">
        <v>10</v>
      </c>
      <c r="E879">
        <v>1</v>
      </c>
      <c r="F879" t="s">
        <v>3321</v>
      </c>
      <c r="G879" t="s">
        <v>8273</v>
      </c>
      <c r="H879" t="s">
        <v>8273</v>
      </c>
    </row>
    <row r="880" spans="1:8" x14ac:dyDescent="0.25">
      <c r="A880">
        <v>878</v>
      </c>
      <c r="B880">
        <v>999</v>
      </c>
      <c r="C880">
        <v>2</v>
      </c>
      <c r="D880">
        <v>6</v>
      </c>
      <c r="E880">
        <v>1</v>
      </c>
      <c r="F880" t="s">
        <v>3321</v>
      </c>
      <c r="G880" t="s">
        <v>8274</v>
      </c>
      <c r="H880" t="s">
        <v>8274</v>
      </c>
    </row>
    <row r="881" spans="1:8" x14ac:dyDescent="0.25">
      <c r="A881">
        <v>879</v>
      </c>
      <c r="B881">
        <v>999</v>
      </c>
      <c r="C881">
        <v>1</v>
      </c>
      <c r="D881">
        <v>10</v>
      </c>
      <c r="E881">
        <v>1</v>
      </c>
      <c r="F881" t="s">
        <v>3321</v>
      </c>
      <c r="G881" t="s">
        <v>8275</v>
      </c>
      <c r="H881" t="s">
        <v>8275</v>
      </c>
    </row>
    <row r="882" spans="1:8" x14ac:dyDescent="0.25">
      <c r="A882">
        <v>880</v>
      </c>
      <c r="B882">
        <v>999</v>
      </c>
      <c r="C882">
        <v>2</v>
      </c>
      <c r="D882">
        <v>6</v>
      </c>
      <c r="E882">
        <v>0</v>
      </c>
      <c r="F882" t="s">
        <v>8276</v>
      </c>
      <c r="G882" t="s">
        <v>8277</v>
      </c>
      <c r="H882" t="s">
        <v>8277</v>
      </c>
    </row>
    <row r="883" spans="1:8" x14ac:dyDescent="0.25">
      <c r="A883">
        <v>881</v>
      </c>
      <c r="B883">
        <v>999</v>
      </c>
      <c r="C883">
        <v>1</v>
      </c>
      <c r="D883">
        <v>10</v>
      </c>
      <c r="E883">
        <v>1</v>
      </c>
      <c r="F883" t="s">
        <v>3321</v>
      </c>
      <c r="G883" t="s">
        <v>8278</v>
      </c>
      <c r="H883" t="s">
        <v>8278</v>
      </c>
    </row>
    <row r="884" spans="1:8" x14ac:dyDescent="0.25">
      <c r="A884">
        <v>882</v>
      </c>
      <c r="B884">
        <v>999</v>
      </c>
      <c r="C884">
        <v>1</v>
      </c>
      <c r="D884">
        <v>10</v>
      </c>
      <c r="E884">
        <v>1</v>
      </c>
      <c r="F884" t="s">
        <v>3321</v>
      </c>
      <c r="G884" t="s">
        <v>8279</v>
      </c>
      <c r="H884" t="s">
        <v>8279</v>
      </c>
    </row>
    <row r="885" spans="1:8" x14ac:dyDescent="0.25">
      <c r="A885">
        <v>883</v>
      </c>
      <c r="B885">
        <v>999</v>
      </c>
      <c r="C885">
        <v>1</v>
      </c>
      <c r="D885">
        <v>10</v>
      </c>
      <c r="E885">
        <v>1</v>
      </c>
      <c r="F885" t="s">
        <v>3321</v>
      </c>
      <c r="G885" t="s">
        <v>8280</v>
      </c>
      <c r="H885" t="s">
        <v>8280</v>
      </c>
    </row>
    <row r="886" spans="1:8" x14ac:dyDescent="0.25">
      <c r="A886">
        <v>884</v>
      </c>
      <c r="B886">
        <v>999</v>
      </c>
      <c r="C886">
        <v>2</v>
      </c>
      <c r="D886">
        <v>6</v>
      </c>
      <c r="E886">
        <v>0</v>
      </c>
      <c r="F886" t="s">
        <v>7898</v>
      </c>
      <c r="G886" t="s">
        <v>8281</v>
      </c>
      <c r="H886" t="s">
        <v>8281</v>
      </c>
    </row>
    <row r="887" spans="1:8" x14ac:dyDescent="0.25">
      <c r="A887">
        <v>885</v>
      </c>
      <c r="B887">
        <v>999</v>
      </c>
      <c r="C887">
        <v>2</v>
      </c>
      <c r="D887">
        <v>6</v>
      </c>
      <c r="E887">
        <v>1</v>
      </c>
      <c r="F887" t="s">
        <v>3321</v>
      </c>
      <c r="G887" t="s">
        <v>8282</v>
      </c>
      <c r="H887" t="s">
        <v>8282</v>
      </c>
    </row>
    <row r="888" spans="1:8" x14ac:dyDescent="0.25">
      <c r="A888">
        <v>886</v>
      </c>
      <c r="B888">
        <v>999</v>
      </c>
      <c r="C888">
        <v>2</v>
      </c>
      <c r="D888">
        <v>6</v>
      </c>
      <c r="E888">
        <v>1</v>
      </c>
      <c r="F888" t="s">
        <v>3321</v>
      </c>
      <c r="G888" t="s">
        <v>8283</v>
      </c>
      <c r="H888" t="s">
        <v>8283</v>
      </c>
    </row>
    <row r="889" spans="1:8" x14ac:dyDescent="0.25">
      <c r="A889">
        <v>887</v>
      </c>
      <c r="B889">
        <v>255</v>
      </c>
      <c r="C889">
        <v>2</v>
      </c>
      <c r="D889">
        <v>4</v>
      </c>
      <c r="E889">
        <v>1</v>
      </c>
      <c r="G889" t="s">
        <v>8284</v>
      </c>
    </row>
    <row r="890" spans="1:8" x14ac:dyDescent="0.25">
      <c r="A890">
        <v>888</v>
      </c>
      <c r="B890">
        <v>999</v>
      </c>
      <c r="C890">
        <v>2</v>
      </c>
      <c r="D890">
        <v>6</v>
      </c>
      <c r="E890">
        <v>1</v>
      </c>
      <c r="F890" t="s">
        <v>3321</v>
      </c>
      <c r="G890" t="s">
        <v>8285</v>
      </c>
      <c r="H890" t="s">
        <v>8285</v>
      </c>
    </row>
    <row r="891" spans="1:8" x14ac:dyDescent="0.25">
      <c r="A891">
        <v>889</v>
      </c>
      <c r="B891">
        <v>999</v>
      </c>
      <c r="C891">
        <v>100</v>
      </c>
      <c r="D891">
        <v>10</v>
      </c>
      <c r="E891">
        <v>1</v>
      </c>
      <c r="F891" t="s">
        <v>3321</v>
      </c>
      <c r="G891" t="s">
        <v>8286</v>
      </c>
      <c r="H891" t="s">
        <v>8286</v>
      </c>
    </row>
    <row r="892" spans="1:8" x14ac:dyDescent="0.25">
      <c r="A892">
        <v>890</v>
      </c>
      <c r="B892">
        <v>999</v>
      </c>
      <c r="C892">
        <v>1</v>
      </c>
      <c r="D892">
        <v>10</v>
      </c>
      <c r="E892">
        <v>0</v>
      </c>
      <c r="F892" t="s">
        <v>7476</v>
      </c>
      <c r="G892" t="s">
        <v>8287</v>
      </c>
      <c r="H892" t="s">
        <v>8287</v>
      </c>
    </row>
    <row r="893" spans="1:8" x14ac:dyDescent="0.25">
      <c r="A893">
        <v>891</v>
      </c>
      <c r="B893">
        <v>228</v>
      </c>
      <c r="C893">
        <v>2</v>
      </c>
      <c r="D893">
        <v>3</v>
      </c>
      <c r="E893">
        <v>1</v>
      </c>
      <c r="F893" t="s">
        <v>8288</v>
      </c>
      <c r="G893" t="s">
        <v>8289</v>
      </c>
    </row>
    <row r="894" spans="1:8" x14ac:dyDescent="0.25">
      <c r="A894">
        <v>892</v>
      </c>
      <c r="B894">
        <v>115</v>
      </c>
      <c r="C894">
        <v>2</v>
      </c>
      <c r="D894">
        <v>7</v>
      </c>
      <c r="E894">
        <v>1</v>
      </c>
      <c r="F894" t="s">
        <v>8290</v>
      </c>
      <c r="G894" t="s">
        <v>8291</v>
      </c>
    </row>
    <row r="895" spans="1:8" x14ac:dyDescent="0.25">
      <c r="A895">
        <v>893</v>
      </c>
      <c r="B895">
        <v>999</v>
      </c>
      <c r="C895">
        <v>1</v>
      </c>
      <c r="D895">
        <v>10</v>
      </c>
      <c r="E895">
        <v>0</v>
      </c>
      <c r="F895" t="s">
        <v>7476</v>
      </c>
      <c r="G895" t="s">
        <v>8292</v>
      </c>
      <c r="H895" t="s">
        <v>8292</v>
      </c>
    </row>
    <row r="896" spans="1:8" x14ac:dyDescent="0.25">
      <c r="A896">
        <v>894</v>
      </c>
      <c r="B896">
        <v>999</v>
      </c>
      <c r="C896">
        <v>2</v>
      </c>
      <c r="D896">
        <v>7</v>
      </c>
      <c r="E896">
        <v>1</v>
      </c>
      <c r="G896" t="s">
        <v>8293</v>
      </c>
    </row>
    <row r="897" spans="1:8" x14ac:dyDescent="0.25">
      <c r="A897">
        <v>895</v>
      </c>
      <c r="B897">
        <v>999</v>
      </c>
      <c r="C897">
        <v>2</v>
      </c>
      <c r="D897">
        <v>6</v>
      </c>
      <c r="E897">
        <v>1</v>
      </c>
      <c r="F897" t="s">
        <v>3321</v>
      </c>
      <c r="G897" t="s">
        <v>8294</v>
      </c>
      <c r="H897" t="s">
        <v>8294</v>
      </c>
    </row>
    <row r="898" spans="1:8" x14ac:dyDescent="0.25">
      <c r="A898">
        <v>896</v>
      </c>
      <c r="B898">
        <v>999</v>
      </c>
      <c r="C898">
        <v>2</v>
      </c>
      <c r="D898">
        <v>6</v>
      </c>
      <c r="E898">
        <v>1</v>
      </c>
      <c r="F898" t="s">
        <v>3321</v>
      </c>
      <c r="G898" t="s">
        <v>8295</v>
      </c>
      <c r="H898" t="s">
        <v>8295</v>
      </c>
    </row>
    <row r="899" spans="1:8" x14ac:dyDescent="0.25">
      <c r="A899">
        <v>897</v>
      </c>
      <c r="B899">
        <v>999</v>
      </c>
      <c r="C899">
        <v>100</v>
      </c>
      <c r="D899">
        <v>10</v>
      </c>
      <c r="E899">
        <v>0</v>
      </c>
      <c r="F899" t="s">
        <v>8262</v>
      </c>
      <c r="G899" t="s">
        <v>8296</v>
      </c>
      <c r="H899" t="s">
        <v>8296</v>
      </c>
    </row>
    <row r="900" spans="1:8" x14ac:dyDescent="0.25">
      <c r="A900">
        <v>898</v>
      </c>
      <c r="B900">
        <v>999</v>
      </c>
      <c r="C900">
        <v>1</v>
      </c>
      <c r="D900">
        <v>10</v>
      </c>
      <c r="E900">
        <v>0</v>
      </c>
      <c r="F900" t="s">
        <v>3321</v>
      </c>
      <c r="G900" t="s">
        <v>8297</v>
      </c>
      <c r="H900" t="s">
        <v>8297</v>
      </c>
    </row>
    <row r="901" spans="1:8" x14ac:dyDescent="0.25">
      <c r="A901">
        <v>899</v>
      </c>
      <c r="B901">
        <v>999</v>
      </c>
      <c r="C901">
        <v>1</v>
      </c>
      <c r="D901">
        <v>10</v>
      </c>
      <c r="E901">
        <v>1</v>
      </c>
      <c r="F901" t="s">
        <v>3321</v>
      </c>
      <c r="G901" t="s">
        <v>8298</v>
      </c>
      <c r="H901" t="s">
        <v>8298</v>
      </c>
    </row>
    <row r="902" spans="1:8" x14ac:dyDescent="0.25">
      <c r="A902">
        <v>900</v>
      </c>
      <c r="B902">
        <v>999</v>
      </c>
      <c r="C902">
        <v>2</v>
      </c>
      <c r="D902">
        <v>6</v>
      </c>
      <c r="E902">
        <v>1</v>
      </c>
      <c r="F902" t="s">
        <v>3321</v>
      </c>
      <c r="G902" t="s">
        <v>8299</v>
      </c>
      <c r="H902" t="s">
        <v>8299</v>
      </c>
    </row>
    <row r="903" spans="1:8" x14ac:dyDescent="0.25">
      <c r="A903">
        <v>901</v>
      </c>
      <c r="B903">
        <v>999</v>
      </c>
      <c r="C903">
        <v>2</v>
      </c>
      <c r="D903">
        <v>6</v>
      </c>
      <c r="E903">
        <v>1</v>
      </c>
      <c r="F903" t="s">
        <v>3321</v>
      </c>
      <c r="G903" t="s">
        <v>8300</v>
      </c>
      <c r="H903" t="s">
        <v>8300</v>
      </c>
    </row>
    <row r="904" spans="1:8" x14ac:dyDescent="0.25">
      <c r="A904">
        <v>902</v>
      </c>
      <c r="B904">
        <v>999</v>
      </c>
      <c r="C904">
        <v>2</v>
      </c>
      <c r="D904">
        <v>6</v>
      </c>
      <c r="E904">
        <v>1</v>
      </c>
      <c r="F904" t="s">
        <v>3321</v>
      </c>
      <c r="G904" t="s">
        <v>8301</v>
      </c>
      <c r="H904" t="s">
        <v>8301</v>
      </c>
    </row>
    <row r="905" spans="1:8" x14ac:dyDescent="0.25">
      <c r="A905">
        <v>903</v>
      </c>
      <c r="B905">
        <v>999</v>
      </c>
      <c r="C905">
        <v>1</v>
      </c>
      <c r="D905">
        <v>10</v>
      </c>
      <c r="E905">
        <v>1</v>
      </c>
      <c r="F905" t="s">
        <v>8302</v>
      </c>
      <c r="G905" t="s">
        <v>8303</v>
      </c>
      <c r="H905" t="s">
        <v>8303</v>
      </c>
    </row>
    <row r="906" spans="1:8" x14ac:dyDescent="0.25">
      <c r="A906">
        <v>904</v>
      </c>
      <c r="B906">
        <v>999</v>
      </c>
      <c r="C906">
        <v>100</v>
      </c>
      <c r="D906">
        <v>10</v>
      </c>
      <c r="E906">
        <v>1</v>
      </c>
      <c r="F906" t="s">
        <v>3321</v>
      </c>
      <c r="G906" t="s">
        <v>8304</v>
      </c>
      <c r="H906" t="s">
        <v>8304</v>
      </c>
    </row>
    <row r="907" spans="1:8" x14ac:dyDescent="0.25">
      <c r="A907">
        <v>905</v>
      </c>
      <c r="B907">
        <v>999</v>
      </c>
      <c r="C907">
        <v>2</v>
      </c>
      <c r="D907">
        <v>6</v>
      </c>
      <c r="E907">
        <v>1</v>
      </c>
      <c r="F907" t="s">
        <v>3321</v>
      </c>
      <c r="G907" t="s">
        <v>8305</v>
      </c>
      <c r="H907" t="s">
        <v>8305</v>
      </c>
    </row>
    <row r="908" spans="1:8" x14ac:dyDescent="0.25">
      <c r="A908">
        <v>906</v>
      </c>
      <c r="B908">
        <v>254</v>
      </c>
      <c r="C908">
        <v>2</v>
      </c>
      <c r="D908">
        <v>3</v>
      </c>
      <c r="E908">
        <v>1</v>
      </c>
      <c r="G908" t="s">
        <v>8306</v>
      </c>
    </row>
    <row r="909" spans="1:8" x14ac:dyDescent="0.25">
      <c r="A909">
        <v>907</v>
      </c>
      <c r="B909">
        <v>999</v>
      </c>
      <c r="C909">
        <v>1</v>
      </c>
      <c r="D909">
        <v>10</v>
      </c>
      <c r="E909">
        <v>1</v>
      </c>
      <c r="F909" t="s">
        <v>3321</v>
      </c>
      <c r="G909" t="s">
        <v>8307</v>
      </c>
      <c r="H909" t="s">
        <v>8307</v>
      </c>
    </row>
    <row r="910" spans="1:8" x14ac:dyDescent="0.25">
      <c r="A910">
        <v>908</v>
      </c>
      <c r="B910">
        <v>999</v>
      </c>
      <c r="C910">
        <v>1</v>
      </c>
      <c r="D910">
        <v>10</v>
      </c>
      <c r="E910">
        <v>1</v>
      </c>
      <c r="F910" t="s">
        <v>3321</v>
      </c>
      <c r="G910" t="s">
        <v>8308</v>
      </c>
      <c r="H910" t="s">
        <v>8308</v>
      </c>
    </row>
    <row r="911" spans="1:8" x14ac:dyDescent="0.25">
      <c r="A911">
        <v>909</v>
      </c>
      <c r="B911">
        <v>999</v>
      </c>
      <c r="C911">
        <v>2</v>
      </c>
      <c r="D911">
        <v>6</v>
      </c>
      <c r="E911">
        <v>0</v>
      </c>
      <c r="F911" t="s">
        <v>8309</v>
      </c>
      <c r="G911" t="s">
        <v>8310</v>
      </c>
      <c r="H911" t="s">
        <v>8310</v>
      </c>
    </row>
    <row r="912" spans="1:8" x14ac:dyDescent="0.25">
      <c r="A912">
        <v>910</v>
      </c>
      <c r="B912">
        <v>100</v>
      </c>
      <c r="C912">
        <v>2</v>
      </c>
      <c r="D912">
        <v>3</v>
      </c>
      <c r="E912">
        <v>1</v>
      </c>
      <c r="G912" t="s">
        <v>8311</v>
      </c>
      <c r="H912" t="s">
        <v>8311</v>
      </c>
    </row>
    <row r="913" spans="1:8" x14ac:dyDescent="0.25">
      <c r="A913">
        <v>911</v>
      </c>
      <c r="B913">
        <v>999</v>
      </c>
      <c r="C913">
        <v>100</v>
      </c>
      <c r="D913">
        <v>10</v>
      </c>
      <c r="E913">
        <v>1</v>
      </c>
      <c r="F913" t="s">
        <v>3321</v>
      </c>
      <c r="G913" t="s">
        <v>8312</v>
      </c>
      <c r="H913" t="s">
        <v>8312</v>
      </c>
    </row>
    <row r="914" spans="1:8" x14ac:dyDescent="0.25">
      <c r="A914">
        <v>912</v>
      </c>
      <c r="B914">
        <v>999</v>
      </c>
      <c r="C914">
        <v>2</v>
      </c>
      <c r="D914">
        <v>6</v>
      </c>
      <c r="E914">
        <v>0</v>
      </c>
      <c r="F914" t="s">
        <v>8309</v>
      </c>
      <c r="G914" t="s">
        <v>8313</v>
      </c>
      <c r="H914" t="s">
        <v>8313</v>
      </c>
    </row>
    <row r="915" spans="1:8" x14ac:dyDescent="0.25">
      <c r="A915">
        <v>913</v>
      </c>
      <c r="B915">
        <v>999</v>
      </c>
      <c r="C915">
        <v>1</v>
      </c>
      <c r="D915">
        <v>10</v>
      </c>
      <c r="E915">
        <v>1</v>
      </c>
      <c r="F915" t="s">
        <v>3321</v>
      </c>
      <c r="G915" t="s">
        <v>8314</v>
      </c>
      <c r="H915" t="s">
        <v>8314</v>
      </c>
    </row>
    <row r="916" spans="1:8" x14ac:dyDescent="0.25">
      <c r="A916">
        <v>914</v>
      </c>
      <c r="B916">
        <v>999</v>
      </c>
      <c r="C916">
        <v>2</v>
      </c>
      <c r="D916">
        <v>6</v>
      </c>
      <c r="E916">
        <v>0</v>
      </c>
      <c r="F916" t="s">
        <v>7812</v>
      </c>
      <c r="G916" t="s">
        <v>396</v>
      </c>
      <c r="H916" t="s">
        <v>396</v>
      </c>
    </row>
    <row r="917" spans="1:8" x14ac:dyDescent="0.25">
      <c r="A917">
        <v>915</v>
      </c>
      <c r="B917">
        <v>999</v>
      </c>
      <c r="C917">
        <v>2</v>
      </c>
      <c r="D917">
        <v>6</v>
      </c>
      <c r="E917">
        <v>1</v>
      </c>
      <c r="F917" t="s">
        <v>3321</v>
      </c>
      <c r="G917" t="s">
        <v>8315</v>
      </c>
      <c r="H917" t="s">
        <v>8316</v>
      </c>
    </row>
    <row r="918" spans="1:8" x14ac:dyDescent="0.25">
      <c r="A918">
        <v>916</v>
      </c>
      <c r="B918">
        <v>238</v>
      </c>
      <c r="C918">
        <v>1</v>
      </c>
      <c r="D918">
        <v>10</v>
      </c>
      <c r="E918">
        <v>1</v>
      </c>
      <c r="F918" t="s">
        <v>3321</v>
      </c>
      <c r="G918" t="s">
        <v>8317</v>
      </c>
      <c r="H918" t="s">
        <v>8317</v>
      </c>
    </row>
    <row r="919" spans="1:8" x14ac:dyDescent="0.25">
      <c r="A919">
        <v>917</v>
      </c>
      <c r="B919">
        <v>999</v>
      </c>
      <c r="C919">
        <v>1</v>
      </c>
      <c r="D919">
        <v>10</v>
      </c>
      <c r="E919">
        <v>1</v>
      </c>
      <c r="F919" t="s">
        <v>3321</v>
      </c>
      <c r="G919" t="s">
        <v>8318</v>
      </c>
      <c r="H919" t="s">
        <v>8318</v>
      </c>
    </row>
    <row r="920" spans="1:8" x14ac:dyDescent="0.25">
      <c r="A920">
        <v>918</v>
      </c>
      <c r="B920">
        <v>999</v>
      </c>
      <c r="C920">
        <v>100</v>
      </c>
      <c r="D920">
        <v>10</v>
      </c>
      <c r="E920">
        <v>1</v>
      </c>
      <c r="F920" t="s">
        <v>3321</v>
      </c>
      <c r="G920" t="s">
        <v>8319</v>
      </c>
      <c r="H920" t="s">
        <v>8319</v>
      </c>
    </row>
    <row r="921" spans="1:8" x14ac:dyDescent="0.25">
      <c r="A921">
        <v>919</v>
      </c>
      <c r="B921">
        <v>999</v>
      </c>
      <c r="C921">
        <v>2</v>
      </c>
      <c r="D921">
        <v>6</v>
      </c>
      <c r="E921">
        <v>1</v>
      </c>
      <c r="F921" t="s">
        <v>3321</v>
      </c>
      <c r="G921" t="s">
        <v>8320</v>
      </c>
      <c r="H921" t="s">
        <v>8321</v>
      </c>
    </row>
    <row r="922" spans="1:8" x14ac:dyDescent="0.25">
      <c r="A922">
        <v>920</v>
      </c>
      <c r="B922">
        <v>999</v>
      </c>
      <c r="C922">
        <v>100</v>
      </c>
      <c r="D922">
        <v>10</v>
      </c>
      <c r="E922">
        <v>0</v>
      </c>
      <c r="F922" t="s">
        <v>8322</v>
      </c>
      <c r="G922" t="s">
        <v>8323</v>
      </c>
      <c r="H922" t="s">
        <v>8323</v>
      </c>
    </row>
    <row r="923" spans="1:8" x14ac:dyDescent="0.25">
      <c r="A923">
        <v>921</v>
      </c>
      <c r="B923">
        <v>999</v>
      </c>
      <c r="C923">
        <v>2</v>
      </c>
      <c r="D923">
        <v>6</v>
      </c>
      <c r="E923">
        <v>1</v>
      </c>
      <c r="F923" t="s">
        <v>3321</v>
      </c>
      <c r="G923" t="s">
        <v>8324</v>
      </c>
      <c r="H923" t="s">
        <v>8324</v>
      </c>
    </row>
    <row r="924" spans="1:8" x14ac:dyDescent="0.25">
      <c r="A924">
        <v>922</v>
      </c>
      <c r="B924">
        <v>999</v>
      </c>
      <c r="C924">
        <v>2</v>
      </c>
      <c r="D924">
        <v>6</v>
      </c>
      <c r="E924">
        <v>1</v>
      </c>
      <c r="F924" t="s">
        <v>3321</v>
      </c>
      <c r="G924" t="s">
        <v>8325</v>
      </c>
      <c r="H924" t="s">
        <v>8325</v>
      </c>
    </row>
    <row r="925" spans="1:8" x14ac:dyDescent="0.25">
      <c r="A925">
        <v>923</v>
      </c>
      <c r="B925">
        <v>999</v>
      </c>
      <c r="C925">
        <v>2</v>
      </c>
      <c r="D925">
        <v>6</v>
      </c>
      <c r="E925">
        <v>1</v>
      </c>
      <c r="F925" t="s">
        <v>3321</v>
      </c>
      <c r="G925" t="s">
        <v>8326</v>
      </c>
      <c r="H925" t="s">
        <v>8326</v>
      </c>
    </row>
    <row r="926" spans="1:8" x14ac:dyDescent="0.25">
      <c r="A926">
        <v>924</v>
      </c>
      <c r="B926">
        <v>999</v>
      </c>
      <c r="C926">
        <v>2</v>
      </c>
      <c r="D926">
        <v>6</v>
      </c>
      <c r="E926">
        <v>1</v>
      </c>
      <c r="F926" t="s">
        <v>3321</v>
      </c>
      <c r="G926" t="s">
        <v>8327</v>
      </c>
      <c r="H926" t="s">
        <v>8327</v>
      </c>
    </row>
    <row r="927" spans="1:8" x14ac:dyDescent="0.25">
      <c r="A927">
        <v>925</v>
      </c>
      <c r="B927">
        <v>999</v>
      </c>
      <c r="C927">
        <v>2</v>
      </c>
      <c r="D927">
        <v>6</v>
      </c>
      <c r="E927">
        <v>0</v>
      </c>
      <c r="F927" t="s">
        <v>7898</v>
      </c>
      <c r="G927" t="s">
        <v>8328</v>
      </c>
      <c r="H927" t="s">
        <v>8328</v>
      </c>
    </row>
    <row r="928" spans="1:8" x14ac:dyDescent="0.25">
      <c r="A928">
        <v>926</v>
      </c>
      <c r="B928">
        <v>999</v>
      </c>
      <c r="C928">
        <v>2</v>
      </c>
      <c r="D928">
        <v>7</v>
      </c>
      <c r="E928">
        <v>1</v>
      </c>
      <c r="F928" t="s">
        <v>3321</v>
      </c>
      <c r="G928" t="s">
        <v>8329</v>
      </c>
      <c r="H928" t="s">
        <v>8329</v>
      </c>
    </row>
    <row r="929" spans="1:8" x14ac:dyDescent="0.25">
      <c r="A929">
        <v>927</v>
      </c>
      <c r="B929">
        <v>999</v>
      </c>
      <c r="C929">
        <v>2</v>
      </c>
      <c r="D929">
        <v>6</v>
      </c>
      <c r="E929">
        <v>1</v>
      </c>
      <c r="F929" t="s">
        <v>3321</v>
      </c>
      <c r="G929" t="s">
        <v>8330</v>
      </c>
      <c r="H929" t="s">
        <v>8330</v>
      </c>
    </row>
    <row r="930" spans="1:8" x14ac:dyDescent="0.25">
      <c r="A930">
        <v>928</v>
      </c>
      <c r="B930">
        <v>999</v>
      </c>
      <c r="C930">
        <v>2</v>
      </c>
      <c r="D930">
        <v>6</v>
      </c>
      <c r="E930">
        <v>0</v>
      </c>
      <c r="F930" t="s">
        <v>7898</v>
      </c>
      <c r="G930" t="s">
        <v>8331</v>
      </c>
      <c r="H930" t="s">
        <v>8331</v>
      </c>
    </row>
    <row r="931" spans="1:8" x14ac:dyDescent="0.25">
      <c r="A931">
        <v>929</v>
      </c>
      <c r="B931">
        <v>999</v>
      </c>
      <c r="C931">
        <v>1</v>
      </c>
      <c r="D931">
        <v>10</v>
      </c>
      <c r="E931">
        <v>1</v>
      </c>
      <c r="F931" t="s">
        <v>3321</v>
      </c>
      <c r="G931" t="s">
        <v>8332</v>
      </c>
      <c r="H931" t="s">
        <v>8332</v>
      </c>
    </row>
    <row r="932" spans="1:8" x14ac:dyDescent="0.25">
      <c r="A932">
        <v>930</v>
      </c>
      <c r="B932">
        <v>999</v>
      </c>
      <c r="C932">
        <v>1</v>
      </c>
      <c r="D932">
        <v>10</v>
      </c>
      <c r="E932">
        <v>1</v>
      </c>
      <c r="F932" t="s">
        <v>3321</v>
      </c>
      <c r="G932" t="s">
        <v>8333</v>
      </c>
      <c r="H932" t="s">
        <v>8333</v>
      </c>
    </row>
    <row r="933" spans="1:8" x14ac:dyDescent="0.25">
      <c r="A933">
        <v>931</v>
      </c>
      <c r="B933">
        <v>999</v>
      </c>
      <c r="C933">
        <v>2</v>
      </c>
      <c r="D933">
        <v>6</v>
      </c>
      <c r="E933">
        <v>1</v>
      </c>
      <c r="F933" t="s">
        <v>3321</v>
      </c>
      <c r="G933" t="s">
        <v>8334</v>
      </c>
      <c r="H933" t="s">
        <v>8334</v>
      </c>
    </row>
    <row r="934" spans="1:8" x14ac:dyDescent="0.25">
      <c r="A934">
        <v>932</v>
      </c>
      <c r="B934">
        <v>999</v>
      </c>
      <c r="C934">
        <v>1</v>
      </c>
      <c r="D934">
        <v>10</v>
      </c>
      <c r="E934">
        <v>1</v>
      </c>
      <c r="F934" t="s">
        <v>3321</v>
      </c>
      <c r="G934" t="s">
        <v>8335</v>
      </c>
      <c r="H934" t="s">
        <v>8335</v>
      </c>
    </row>
    <row r="935" spans="1:8" x14ac:dyDescent="0.25">
      <c r="A935">
        <v>933</v>
      </c>
      <c r="B935">
        <v>999</v>
      </c>
      <c r="C935">
        <v>100</v>
      </c>
      <c r="D935">
        <v>10</v>
      </c>
      <c r="E935">
        <v>1</v>
      </c>
      <c r="F935" t="s">
        <v>3321</v>
      </c>
      <c r="G935" t="s">
        <v>8336</v>
      </c>
      <c r="H935" t="s">
        <v>8336</v>
      </c>
    </row>
    <row r="936" spans="1:8" x14ac:dyDescent="0.25">
      <c r="A936">
        <v>934</v>
      </c>
      <c r="B936">
        <v>999</v>
      </c>
      <c r="C936">
        <v>100</v>
      </c>
      <c r="D936">
        <v>10</v>
      </c>
      <c r="E936">
        <v>1</v>
      </c>
      <c r="F936" t="s">
        <v>8337</v>
      </c>
      <c r="G936" t="s">
        <v>8338</v>
      </c>
      <c r="H936" t="s">
        <v>8338</v>
      </c>
    </row>
    <row r="937" spans="1:8" x14ac:dyDescent="0.25">
      <c r="A937">
        <v>935</v>
      </c>
      <c r="B937">
        <v>999</v>
      </c>
      <c r="C937">
        <v>2</v>
      </c>
      <c r="D937">
        <v>6</v>
      </c>
      <c r="E937">
        <v>1</v>
      </c>
      <c r="F937" t="s">
        <v>3321</v>
      </c>
      <c r="G937" t="s">
        <v>8339</v>
      </c>
      <c r="H937" t="s">
        <v>8339</v>
      </c>
    </row>
    <row r="938" spans="1:8" x14ac:dyDescent="0.25">
      <c r="A938">
        <v>936</v>
      </c>
      <c r="B938">
        <v>999</v>
      </c>
      <c r="C938">
        <v>2</v>
      </c>
      <c r="D938">
        <v>6</v>
      </c>
      <c r="E938">
        <v>1</v>
      </c>
      <c r="F938" t="s">
        <v>3321</v>
      </c>
      <c r="G938" t="s">
        <v>8340</v>
      </c>
      <c r="H938" t="s">
        <v>8340</v>
      </c>
    </row>
    <row r="939" spans="1:8" x14ac:dyDescent="0.25">
      <c r="A939">
        <v>937</v>
      </c>
      <c r="B939">
        <v>999</v>
      </c>
      <c r="C939">
        <v>2</v>
      </c>
      <c r="D939">
        <v>6</v>
      </c>
      <c r="E939">
        <v>1</v>
      </c>
      <c r="F939" t="s">
        <v>3321</v>
      </c>
      <c r="G939" t="s">
        <v>8341</v>
      </c>
      <c r="H939" t="s">
        <v>8342</v>
      </c>
    </row>
    <row r="940" spans="1:8" x14ac:dyDescent="0.25">
      <c r="A940">
        <v>938</v>
      </c>
      <c r="B940">
        <v>999</v>
      </c>
      <c r="C940">
        <v>2</v>
      </c>
      <c r="D940">
        <v>6</v>
      </c>
      <c r="E940">
        <v>1</v>
      </c>
      <c r="F940" t="s">
        <v>3321</v>
      </c>
      <c r="G940" t="s">
        <v>8343</v>
      </c>
      <c r="H940" t="s">
        <v>8343</v>
      </c>
    </row>
    <row r="941" spans="1:8" x14ac:dyDescent="0.25">
      <c r="A941">
        <v>939</v>
      </c>
      <c r="B941">
        <v>999</v>
      </c>
      <c r="C941">
        <v>2</v>
      </c>
      <c r="D941">
        <v>6</v>
      </c>
      <c r="E941">
        <v>1</v>
      </c>
      <c r="F941" t="s">
        <v>3321</v>
      </c>
      <c r="G941" t="s">
        <v>8344</v>
      </c>
      <c r="H941" t="s">
        <v>8344</v>
      </c>
    </row>
    <row r="942" spans="1:8" x14ac:dyDescent="0.25">
      <c r="A942">
        <v>940</v>
      </c>
      <c r="B942">
        <v>999</v>
      </c>
      <c r="C942">
        <v>1</v>
      </c>
      <c r="D942">
        <v>10</v>
      </c>
      <c r="E942">
        <v>1</v>
      </c>
      <c r="F942" t="s">
        <v>3321</v>
      </c>
      <c r="G942" t="s">
        <v>8345</v>
      </c>
      <c r="H942" t="s">
        <v>8345</v>
      </c>
    </row>
    <row r="943" spans="1:8" x14ac:dyDescent="0.25">
      <c r="A943">
        <v>941</v>
      </c>
      <c r="B943">
        <v>999</v>
      </c>
      <c r="C943">
        <v>2</v>
      </c>
      <c r="D943">
        <v>6</v>
      </c>
      <c r="E943">
        <v>1</v>
      </c>
      <c r="F943" t="s">
        <v>7413</v>
      </c>
      <c r="G943" t="s">
        <v>8346</v>
      </c>
      <c r="H943" t="s">
        <v>8346</v>
      </c>
    </row>
    <row r="944" spans="1:8" x14ac:dyDescent="0.25">
      <c r="A944">
        <v>942</v>
      </c>
      <c r="B944">
        <v>999</v>
      </c>
      <c r="C944">
        <v>1</v>
      </c>
      <c r="D944">
        <v>10</v>
      </c>
      <c r="E944">
        <v>1</v>
      </c>
      <c r="F944" t="s">
        <v>3321</v>
      </c>
      <c r="G944" t="s">
        <v>8347</v>
      </c>
      <c r="H944" t="s">
        <v>8347</v>
      </c>
    </row>
    <row r="945" spans="1:8" x14ac:dyDescent="0.25">
      <c r="A945">
        <v>943</v>
      </c>
      <c r="B945">
        <v>999</v>
      </c>
      <c r="C945">
        <v>2</v>
      </c>
      <c r="D945">
        <v>6</v>
      </c>
      <c r="E945">
        <v>1</v>
      </c>
      <c r="F945" t="s">
        <v>3321</v>
      </c>
      <c r="G945" t="s">
        <v>8348</v>
      </c>
      <c r="H945" t="s">
        <v>8348</v>
      </c>
    </row>
    <row r="946" spans="1:8" x14ac:dyDescent="0.25">
      <c r="A946">
        <v>944</v>
      </c>
      <c r="B946">
        <v>999</v>
      </c>
      <c r="C946">
        <v>2</v>
      </c>
      <c r="D946">
        <v>6</v>
      </c>
      <c r="E946">
        <v>1</v>
      </c>
      <c r="F946" t="s">
        <v>3321</v>
      </c>
      <c r="G946" t="s">
        <v>8349</v>
      </c>
      <c r="H946" t="s">
        <v>8350</v>
      </c>
    </row>
    <row r="947" spans="1:8" x14ac:dyDescent="0.25">
      <c r="A947">
        <v>945</v>
      </c>
      <c r="B947">
        <v>999</v>
      </c>
      <c r="C947">
        <v>2</v>
      </c>
      <c r="D947">
        <v>6</v>
      </c>
      <c r="E947">
        <v>1</v>
      </c>
      <c r="F947" t="s">
        <v>3321</v>
      </c>
      <c r="G947" t="s">
        <v>8351</v>
      </c>
      <c r="H947" t="s">
        <v>8351</v>
      </c>
    </row>
    <row r="948" spans="1:8" x14ac:dyDescent="0.25">
      <c r="A948">
        <v>946</v>
      </c>
      <c r="B948">
        <v>999</v>
      </c>
      <c r="C948">
        <v>2</v>
      </c>
      <c r="D948">
        <v>6</v>
      </c>
      <c r="E948">
        <v>1</v>
      </c>
      <c r="F948" t="s">
        <v>3321</v>
      </c>
      <c r="G948" t="s">
        <v>8352</v>
      </c>
      <c r="H948" t="s">
        <v>8352</v>
      </c>
    </row>
    <row r="949" spans="1:8" x14ac:dyDescent="0.25">
      <c r="A949">
        <v>947</v>
      </c>
      <c r="B949">
        <v>999</v>
      </c>
      <c r="C949">
        <v>1</v>
      </c>
      <c r="D949">
        <v>10</v>
      </c>
      <c r="E949">
        <v>1</v>
      </c>
      <c r="F949" t="s">
        <v>3321</v>
      </c>
      <c r="G949" t="s">
        <v>8353</v>
      </c>
      <c r="H949" t="s">
        <v>8353</v>
      </c>
    </row>
    <row r="950" spans="1:8" x14ac:dyDescent="0.25">
      <c r="A950">
        <v>948</v>
      </c>
      <c r="B950">
        <v>999</v>
      </c>
      <c r="C950">
        <v>2</v>
      </c>
      <c r="D950">
        <v>6</v>
      </c>
      <c r="E950">
        <v>1</v>
      </c>
      <c r="F950" t="s">
        <v>3321</v>
      </c>
      <c r="G950" t="s">
        <v>8354</v>
      </c>
      <c r="H950" t="s">
        <v>8354</v>
      </c>
    </row>
    <row r="951" spans="1:8" x14ac:dyDescent="0.25">
      <c r="A951">
        <v>949</v>
      </c>
      <c r="B951">
        <v>999</v>
      </c>
      <c r="C951">
        <v>2</v>
      </c>
      <c r="D951">
        <v>6</v>
      </c>
      <c r="E951">
        <v>1</v>
      </c>
      <c r="F951" t="s">
        <v>3321</v>
      </c>
      <c r="G951" t="s">
        <v>8355</v>
      </c>
      <c r="H951" t="s">
        <v>8355</v>
      </c>
    </row>
    <row r="952" spans="1:8" x14ac:dyDescent="0.25">
      <c r="A952">
        <v>950</v>
      </c>
      <c r="B952">
        <v>999</v>
      </c>
      <c r="C952">
        <v>100</v>
      </c>
      <c r="D952">
        <v>10</v>
      </c>
      <c r="E952">
        <v>1</v>
      </c>
      <c r="F952" t="s">
        <v>3321</v>
      </c>
      <c r="G952" t="s">
        <v>8356</v>
      </c>
      <c r="H952" t="s">
        <v>8356</v>
      </c>
    </row>
    <row r="953" spans="1:8" x14ac:dyDescent="0.25">
      <c r="A953">
        <v>951</v>
      </c>
      <c r="B953">
        <v>999</v>
      </c>
      <c r="C953">
        <v>100</v>
      </c>
      <c r="D953">
        <v>10</v>
      </c>
      <c r="E953">
        <v>1</v>
      </c>
      <c r="F953" t="s">
        <v>3321</v>
      </c>
      <c r="G953" t="s">
        <v>8357</v>
      </c>
      <c r="H953" t="s">
        <v>8357</v>
      </c>
    </row>
    <row r="954" spans="1:8" x14ac:dyDescent="0.25">
      <c r="A954">
        <v>952</v>
      </c>
      <c r="B954">
        <v>999</v>
      </c>
      <c r="C954">
        <v>1</v>
      </c>
      <c r="D954">
        <v>10</v>
      </c>
      <c r="E954">
        <v>1</v>
      </c>
      <c r="F954" t="s">
        <v>3321</v>
      </c>
      <c r="G954" t="s">
        <v>8358</v>
      </c>
      <c r="H954" t="s">
        <v>8358</v>
      </c>
    </row>
    <row r="955" spans="1:8" x14ac:dyDescent="0.25">
      <c r="A955">
        <v>953</v>
      </c>
      <c r="B955">
        <v>999</v>
      </c>
      <c r="C955">
        <v>1</v>
      </c>
      <c r="D955">
        <v>10</v>
      </c>
      <c r="E955">
        <v>1</v>
      </c>
      <c r="F955" t="s">
        <v>3321</v>
      </c>
      <c r="G955" t="s">
        <v>8359</v>
      </c>
      <c r="H955" t="s">
        <v>8359</v>
      </c>
    </row>
    <row r="956" spans="1:8" x14ac:dyDescent="0.25">
      <c r="A956">
        <v>954</v>
      </c>
      <c r="B956">
        <v>999</v>
      </c>
      <c r="C956">
        <v>2</v>
      </c>
      <c r="D956">
        <v>6</v>
      </c>
      <c r="E956">
        <v>1</v>
      </c>
      <c r="F956" t="s">
        <v>3321</v>
      </c>
      <c r="G956" t="s">
        <v>8360</v>
      </c>
      <c r="H956" t="s">
        <v>8360</v>
      </c>
    </row>
    <row r="957" spans="1:8" x14ac:dyDescent="0.25">
      <c r="A957">
        <v>955</v>
      </c>
      <c r="B957">
        <v>999</v>
      </c>
      <c r="C957">
        <v>2</v>
      </c>
      <c r="D957">
        <v>6</v>
      </c>
      <c r="E957">
        <v>1</v>
      </c>
      <c r="F957" t="s">
        <v>3321</v>
      </c>
      <c r="G957" t="s">
        <v>8361</v>
      </c>
      <c r="H957" t="s">
        <v>8361</v>
      </c>
    </row>
    <row r="958" spans="1:8" x14ac:dyDescent="0.25">
      <c r="A958">
        <v>956</v>
      </c>
      <c r="B958">
        <v>999</v>
      </c>
      <c r="C958">
        <v>2</v>
      </c>
      <c r="D958">
        <v>6</v>
      </c>
      <c r="E958">
        <v>1</v>
      </c>
      <c r="F958" t="s">
        <v>3321</v>
      </c>
      <c r="G958" t="s">
        <v>8362</v>
      </c>
      <c r="H958" t="s">
        <v>8362</v>
      </c>
    </row>
    <row r="959" spans="1:8" x14ac:dyDescent="0.25">
      <c r="A959">
        <v>957</v>
      </c>
      <c r="B959">
        <v>999</v>
      </c>
      <c r="C959">
        <v>2</v>
      </c>
      <c r="D959">
        <v>6</v>
      </c>
      <c r="E959">
        <v>0</v>
      </c>
      <c r="F959" t="s">
        <v>7898</v>
      </c>
      <c r="G959" t="s">
        <v>8363</v>
      </c>
      <c r="H959" t="s">
        <v>8363</v>
      </c>
    </row>
    <row r="960" spans="1:8" x14ac:dyDescent="0.25">
      <c r="A960">
        <v>958</v>
      </c>
      <c r="B960">
        <v>999</v>
      </c>
      <c r="C960">
        <v>1</v>
      </c>
      <c r="D960">
        <v>10</v>
      </c>
      <c r="E960">
        <v>1</v>
      </c>
      <c r="F960" t="s">
        <v>3321</v>
      </c>
      <c r="G960" t="s">
        <v>8364</v>
      </c>
      <c r="H960" t="s">
        <v>8364</v>
      </c>
    </row>
    <row r="961" spans="1:8" x14ac:dyDescent="0.25">
      <c r="A961">
        <v>959</v>
      </c>
      <c r="B961">
        <v>999</v>
      </c>
      <c r="C961">
        <v>2</v>
      </c>
      <c r="D961">
        <v>6</v>
      </c>
      <c r="E961">
        <v>1</v>
      </c>
      <c r="F961" t="s">
        <v>3321</v>
      </c>
      <c r="G961" t="s">
        <v>8365</v>
      </c>
      <c r="H961" t="s">
        <v>8365</v>
      </c>
    </row>
    <row r="962" spans="1:8" x14ac:dyDescent="0.25">
      <c r="A962">
        <v>960</v>
      </c>
      <c r="B962">
        <v>999</v>
      </c>
      <c r="C962">
        <v>2</v>
      </c>
      <c r="D962">
        <v>6</v>
      </c>
      <c r="E962">
        <v>1</v>
      </c>
      <c r="F962" t="s">
        <v>3321</v>
      </c>
      <c r="G962" t="s">
        <v>8366</v>
      </c>
      <c r="H962" t="s">
        <v>8366</v>
      </c>
    </row>
    <row r="963" spans="1:8" x14ac:dyDescent="0.25">
      <c r="A963">
        <v>961</v>
      </c>
      <c r="B963">
        <v>999</v>
      </c>
      <c r="C963">
        <v>2</v>
      </c>
      <c r="D963">
        <v>6</v>
      </c>
      <c r="E963">
        <v>1</v>
      </c>
      <c r="F963" t="s">
        <v>3321</v>
      </c>
      <c r="G963" t="s">
        <v>7335</v>
      </c>
      <c r="H963" t="s">
        <v>7335</v>
      </c>
    </row>
    <row r="964" spans="1:8" x14ac:dyDescent="0.25">
      <c r="A964">
        <v>962</v>
      </c>
      <c r="B964">
        <v>999</v>
      </c>
      <c r="C964">
        <v>2</v>
      </c>
      <c r="D964">
        <v>6</v>
      </c>
      <c r="E964">
        <v>1</v>
      </c>
      <c r="F964" t="s">
        <v>7413</v>
      </c>
      <c r="G964" t="s">
        <v>562</v>
      </c>
      <c r="H964" t="s">
        <v>8367</v>
      </c>
    </row>
    <row r="965" spans="1:8" x14ac:dyDescent="0.25">
      <c r="A965">
        <v>963</v>
      </c>
      <c r="B965">
        <v>999</v>
      </c>
      <c r="C965">
        <v>2</v>
      </c>
      <c r="D965">
        <v>6</v>
      </c>
      <c r="E965">
        <v>1</v>
      </c>
      <c r="G965" t="s">
        <v>8368</v>
      </c>
    </row>
    <row r="966" spans="1:8" x14ac:dyDescent="0.25">
      <c r="A966">
        <v>964</v>
      </c>
      <c r="B966">
        <v>999</v>
      </c>
      <c r="C966">
        <v>2</v>
      </c>
      <c r="D966">
        <v>6</v>
      </c>
      <c r="E966">
        <v>0</v>
      </c>
      <c r="F966" t="s">
        <v>7872</v>
      </c>
      <c r="G966" t="s">
        <v>8369</v>
      </c>
      <c r="H966" t="s">
        <v>8369</v>
      </c>
    </row>
    <row r="967" spans="1:8" x14ac:dyDescent="0.25">
      <c r="A967">
        <v>965</v>
      </c>
      <c r="B967">
        <v>999</v>
      </c>
      <c r="C967">
        <v>1</v>
      </c>
      <c r="D967">
        <v>10</v>
      </c>
      <c r="E967">
        <v>1</v>
      </c>
      <c r="F967" t="s">
        <v>3321</v>
      </c>
      <c r="G967" t="s">
        <v>8370</v>
      </c>
      <c r="H967" t="s">
        <v>8370</v>
      </c>
    </row>
    <row r="968" spans="1:8" x14ac:dyDescent="0.25">
      <c r="A968">
        <v>966</v>
      </c>
      <c r="B968">
        <v>999</v>
      </c>
      <c r="C968">
        <v>2</v>
      </c>
      <c r="D968">
        <v>6</v>
      </c>
      <c r="E968">
        <v>1</v>
      </c>
      <c r="F968" t="s">
        <v>3321</v>
      </c>
      <c r="G968" t="s">
        <v>8371</v>
      </c>
      <c r="H968" t="s">
        <v>8371</v>
      </c>
    </row>
    <row r="969" spans="1:8" x14ac:dyDescent="0.25">
      <c r="A969">
        <v>967</v>
      </c>
      <c r="B969">
        <v>999</v>
      </c>
      <c r="C969">
        <v>2</v>
      </c>
      <c r="D969">
        <v>6</v>
      </c>
      <c r="E969">
        <v>1</v>
      </c>
      <c r="F969" t="s">
        <v>3321</v>
      </c>
      <c r="G969" t="s">
        <v>8372</v>
      </c>
      <c r="H969" t="s">
        <v>8372</v>
      </c>
    </row>
    <row r="970" spans="1:8" x14ac:dyDescent="0.25">
      <c r="A970">
        <v>968</v>
      </c>
      <c r="B970">
        <v>999</v>
      </c>
      <c r="C970">
        <v>100</v>
      </c>
      <c r="D970">
        <v>10</v>
      </c>
      <c r="E970">
        <v>1</v>
      </c>
      <c r="F970" t="s">
        <v>3321</v>
      </c>
      <c r="G970" t="s">
        <v>8373</v>
      </c>
      <c r="H970" t="s">
        <v>8373</v>
      </c>
    </row>
    <row r="971" spans="1:8" x14ac:dyDescent="0.25">
      <c r="A971">
        <v>969</v>
      </c>
      <c r="B971">
        <v>999</v>
      </c>
      <c r="C971">
        <v>100</v>
      </c>
      <c r="D971">
        <v>10</v>
      </c>
      <c r="E971">
        <v>1</v>
      </c>
      <c r="F971" t="s">
        <v>3321</v>
      </c>
      <c r="G971" t="s">
        <v>8374</v>
      </c>
      <c r="H971" t="s">
        <v>8374</v>
      </c>
    </row>
    <row r="972" spans="1:8" x14ac:dyDescent="0.25">
      <c r="A972">
        <v>970</v>
      </c>
      <c r="B972">
        <v>999</v>
      </c>
      <c r="C972">
        <v>100</v>
      </c>
      <c r="D972">
        <v>10</v>
      </c>
      <c r="E972">
        <v>1</v>
      </c>
      <c r="F972" t="s">
        <v>3321</v>
      </c>
      <c r="G972" t="s">
        <v>8375</v>
      </c>
      <c r="H972" t="s">
        <v>8375</v>
      </c>
    </row>
    <row r="973" spans="1:8" x14ac:dyDescent="0.25">
      <c r="A973">
        <v>971</v>
      </c>
      <c r="B973">
        <v>999</v>
      </c>
      <c r="C973">
        <v>2</v>
      </c>
      <c r="D973">
        <v>6</v>
      </c>
      <c r="E973">
        <v>0</v>
      </c>
      <c r="F973" t="s">
        <v>8376</v>
      </c>
      <c r="G973" t="s">
        <v>8377</v>
      </c>
      <c r="H973" t="s">
        <v>8377</v>
      </c>
    </row>
    <row r="974" spans="1:8" x14ac:dyDescent="0.25">
      <c r="A974">
        <v>972</v>
      </c>
      <c r="B974">
        <v>999</v>
      </c>
      <c r="C974">
        <v>2</v>
      </c>
      <c r="D974">
        <v>6</v>
      </c>
      <c r="E974">
        <v>1</v>
      </c>
      <c r="F974" t="s">
        <v>3321</v>
      </c>
      <c r="G974" t="s">
        <v>8378</v>
      </c>
      <c r="H974" t="s">
        <v>8378</v>
      </c>
    </row>
    <row r="975" spans="1:8" x14ac:dyDescent="0.25">
      <c r="A975">
        <v>973</v>
      </c>
      <c r="B975">
        <v>999</v>
      </c>
      <c r="C975">
        <v>2</v>
      </c>
      <c r="D975">
        <v>6</v>
      </c>
      <c r="E975">
        <v>0</v>
      </c>
      <c r="F975" t="s">
        <v>7470</v>
      </c>
      <c r="G975" t="s">
        <v>8379</v>
      </c>
      <c r="H975" t="s">
        <v>8379</v>
      </c>
    </row>
    <row r="976" spans="1:8" x14ac:dyDescent="0.25">
      <c r="A976">
        <v>974</v>
      </c>
      <c r="B976">
        <v>999</v>
      </c>
      <c r="C976">
        <v>2</v>
      </c>
      <c r="D976">
        <v>6</v>
      </c>
      <c r="E976">
        <v>1</v>
      </c>
      <c r="F976" t="s">
        <v>3321</v>
      </c>
      <c r="G976" t="s">
        <v>8380</v>
      </c>
      <c r="H976" t="s">
        <v>8380</v>
      </c>
    </row>
    <row r="977" spans="1:8" x14ac:dyDescent="0.25">
      <c r="A977">
        <v>975</v>
      </c>
      <c r="B977">
        <v>999</v>
      </c>
      <c r="C977">
        <v>2</v>
      </c>
      <c r="D977">
        <v>6</v>
      </c>
      <c r="E977">
        <v>1</v>
      </c>
      <c r="F977" t="s">
        <v>3321</v>
      </c>
      <c r="G977" t="s">
        <v>8381</v>
      </c>
      <c r="H977" t="s">
        <v>8381</v>
      </c>
    </row>
    <row r="978" spans="1:8" x14ac:dyDescent="0.25">
      <c r="A978">
        <v>976</v>
      </c>
      <c r="B978">
        <v>999</v>
      </c>
      <c r="C978">
        <v>2</v>
      </c>
      <c r="D978">
        <v>10</v>
      </c>
      <c r="E978">
        <v>1</v>
      </c>
      <c r="F978" t="s">
        <v>3321</v>
      </c>
      <c r="G978" t="s">
        <v>8382</v>
      </c>
      <c r="H978" t="s">
        <v>8382</v>
      </c>
    </row>
    <row r="979" spans="1:8" x14ac:dyDescent="0.25">
      <c r="A979">
        <v>977</v>
      </c>
      <c r="B979">
        <v>999</v>
      </c>
      <c r="C979">
        <v>2</v>
      </c>
      <c r="D979">
        <v>6</v>
      </c>
      <c r="E979">
        <v>1</v>
      </c>
      <c r="F979" t="s">
        <v>3321</v>
      </c>
      <c r="G979" t="s">
        <v>8383</v>
      </c>
      <c r="H979" t="s">
        <v>8383</v>
      </c>
    </row>
    <row r="980" spans="1:8" x14ac:dyDescent="0.25">
      <c r="A980">
        <v>978</v>
      </c>
      <c r="B980">
        <v>999</v>
      </c>
      <c r="C980">
        <v>2</v>
      </c>
      <c r="D980">
        <v>6</v>
      </c>
      <c r="E980">
        <v>1</v>
      </c>
      <c r="F980" t="s">
        <v>3321</v>
      </c>
      <c r="G980" t="s">
        <v>8384</v>
      </c>
      <c r="H980" t="s">
        <v>8385</v>
      </c>
    </row>
    <row r="981" spans="1:8" x14ac:dyDescent="0.25">
      <c r="A981">
        <v>979</v>
      </c>
      <c r="B981">
        <v>999</v>
      </c>
      <c r="C981">
        <v>2</v>
      </c>
      <c r="D981">
        <v>6</v>
      </c>
      <c r="E981">
        <v>1</v>
      </c>
      <c r="F981" t="s">
        <v>3321</v>
      </c>
      <c r="G981" t="s">
        <v>8386</v>
      </c>
      <c r="H981" t="s">
        <v>8386</v>
      </c>
    </row>
    <row r="982" spans="1:8" x14ac:dyDescent="0.25">
      <c r="A982">
        <v>980</v>
      </c>
      <c r="B982">
        <v>999</v>
      </c>
      <c r="C982">
        <v>100</v>
      </c>
      <c r="D982">
        <v>10</v>
      </c>
      <c r="E982">
        <v>0</v>
      </c>
      <c r="F982" t="s">
        <v>7474</v>
      </c>
      <c r="G982" t="s">
        <v>8387</v>
      </c>
      <c r="H982" t="s">
        <v>8387</v>
      </c>
    </row>
    <row r="983" spans="1:8" x14ac:dyDescent="0.25">
      <c r="A983">
        <v>981</v>
      </c>
      <c r="B983">
        <v>999</v>
      </c>
      <c r="C983">
        <v>2</v>
      </c>
      <c r="D983">
        <v>6</v>
      </c>
      <c r="E983">
        <v>1</v>
      </c>
      <c r="F983" t="s">
        <v>8388</v>
      </c>
      <c r="G983" t="s">
        <v>8389</v>
      </c>
      <c r="H983" t="s">
        <v>8389</v>
      </c>
    </row>
    <row r="984" spans="1:8" x14ac:dyDescent="0.25">
      <c r="A984">
        <v>982</v>
      </c>
      <c r="B984">
        <v>999</v>
      </c>
      <c r="C984">
        <v>2</v>
      </c>
      <c r="D984">
        <v>6</v>
      </c>
      <c r="E984">
        <v>1</v>
      </c>
      <c r="F984" t="s">
        <v>3321</v>
      </c>
      <c r="G984" t="s">
        <v>8390</v>
      </c>
      <c r="H984" t="s">
        <v>8390</v>
      </c>
    </row>
    <row r="985" spans="1:8" x14ac:dyDescent="0.25">
      <c r="A985">
        <v>983</v>
      </c>
      <c r="B985">
        <v>999</v>
      </c>
      <c r="C985">
        <v>2</v>
      </c>
      <c r="D985">
        <v>6</v>
      </c>
      <c r="E985">
        <v>1</v>
      </c>
      <c r="F985" t="s">
        <v>3321</v>
      </c>
      <c r="G985" t="s">
        <v>8391</v>
      </c>
      <c r="H985" t="s">
        <v>8391</v>
      </c>
    </row>
    <row r="986" spans="1:8" x14ac:dyDescent="0.25">
      <c r="A986">
        <v>984</v>
      </c>
      <c r="B986">
        <v>999</v>
      </c>
      <c r="C986">
        <v>2</v>
      </c>
      <c r="D986">
        <v>6</v>
      </c>
      <c r="E986">
        <v>1</v>
      </c>
      <c r="F986" t="s">
        <v>8392</v>
      </c>
      <c r="G986" t="s">
        <v>8393</v>
      </c>
      <c r="H986" t="s">
        <v>8393</v>
      </c>
    </row>
    <row r="987" spans="1:8" x14ac:dyDescent="0.25">
      <c r="A987">
        <v>985</v>
      </c>
      <c r="B987">
        <v>999</v>
      </c>
      <c r="C987">
        <v>2</v>
      </c>
      <c r="D987">
        <v>6</v>
      </c>
      <c r="E987">
        <v>1</v>
      </c>
      <c r="F987" t="s">
        <v>3321</v>
      </c>
      <c r="G987" t="s">
        <v>8394</v>
      </c>
      <c r="H987" t="s">
        <v>8394</v>
      </c>
    </row>
    <row r="988" spans="1:8" x14ac:dyDescent="0.25">
      <c r="A988">
        <v>986</v>
      </c>
      <c r="B988">
        <v>999</v>
      </c>
      <c r="C988">
        <v>2</v>
      </c>
      <c r="D988">
        <v>6</v>
      </c>
      <c r="E988">
        <v>1</v>
      </c>
      <c r="F988" t="s">
        <v>3321</v>
      </c>
      <c r="G988" t="s">
        <v>8395</v>
      </c>
      <c r="H988" t="s">
        <v>8395</v>
      </c>
    </row>
    <row r="989" spans="1:8" x14ac:dyDescent="0.25">
      <c r="A989">
        <v>987</v>
      </c>
      <c r="B989">
        <v>999</v>
      </c>
      <c r="C989">
        <v>2</v>
      </c>
      <c r="D989">
        <v>6</v>
      </c>
      <c r="E989">
        <v>1</v>
      </c>
      <c r="F989" t="s">
        <v>3321</v>
      </c>
      <c r="G989" t="s">
        <v>8396</v>
      </c>
      <c r="H989" t="s">
        <v>8396</v>
      </c>
    </row>
    <row r="990" spans="1:8" x14ac:dyDescent="0.25">
      <c r="A990">
        <v>988</v>
      </c>
      <c r="B990">
        <v>999</v>
      </c>
      <c r="C990">
        <v>2</v>
      </c>
      <c r="D990">
        <v>6</v>
      </c>
      <c r="E990">
        <v>1</v>
      </c>
      <c r="F990" t="s">
        <v>3321</v>
      </c>
      <c r="G990" t="s">
        <v>8397</v>
      </c>
      <c r="H990" t="s">
        <v>8397</v>
      </c>
    </row>
    <row r="991" spans="1:8" x14ac:dyDescent="0.25">
      <c r="A991">
        <v>989</v>
      </c>
      <c r="B991">
        <v>999</v>
      </c>
      <c r="C991">
        <v>2</v>
      </c>
      <c r="D991">
        <v>6</v>
      </c>
      <c r="E991">
        <v>1</v>
      </c>
      <c r="F991" t="s">
        <v>3321</v>
      </c>
      <c r="G991" t="s">
        <v>8398</v>
      </c>
      <c r="H991" t="s">
        <v>8398</v>
      </c>
    </row>
    <row r="992" spans="1:8" x14ac:dyDescent="0.25">
      <c r="A992">
        <v>990</v>
      </c>
      <c r="B992">
        <v>999</v>
      </c>
      <c r="C992">
        <v>2</v>
      </c>
      <c r="D992">
        <v>6</v>
      </c>
      <c r="E992">
        <v>1</v>
      </c>
      <c r="F992" t="s">
        <v>3321</v>
      </c>
      <c r="G992" t="s">
        <v>8399</v>
      </c>
      <c r="H992" t="s">
        <v>8399</v>
      </c>
    </row>
    <row r="993" spans="1:8" x14ac:dyDescent="0.25">
      <c r="A993">
        <v>991</v>
      </c>
      <c r="B993">
        <v>999</v>
      </c>
      <c r="C993">
        <v>1</v>
      </c>
      <c r="D993">
        <v>10</v>
      </c>
      <c r="E993">
        <v>1</v>
      </c>
      <c r="F993" t="s">
        <v>3321</v>
      </c>
      <c r="G993" t="s">
        <v>8400</v>
      </c>
      <c r="H993" t="s">
        <v>8400</v>
      </c>
    </row>
    <row r="994" spans="1:8" x14ac:dyDescent="0.25">
      <c r="A994">
        <v>992</v>
      </c>
      <c r="C994">
        <v>1</v>
      </c>
      <c r="D994">
        <v>10</v>
      </c>
      <c r="E994">
        <v>0</v>
      </c>
      <c r="F994" t="s">
        <v>8401</v>
      </c>
      <c r="G994" t="s">
        <v>7406</v>
      </c>
      <c r="H994" t="s">
        <v>7406</v>
      </c>
    </row>
    <row r="995" spans="1:8" x14ac:dyDescent="0.25">
      <c r="A995">
        <v>993</v>
      </c>
      <c r="B995">
        <v>999</v>
      </c>
      <c r="C995">
        <v>2</v>
      </c>
      <c r="D995">
        <v>7</v>
      </c>
      <c r="E995">
        <v>1</v>
      </c>
      <c r="G995" t="s">
        <v>8402</v>
      </c>
    </row>
    <row r="996" spans="1:8" x14ac:dyDescent="0.25">
      <c r="A996">
        <v>994</v>
      </c>
      <c r="B996">
        <v>228</v>
      </c>
      <c r="C996">
        <v>2</v>
      </c>
      <c r="D996">
        <v>7</v>
      </c>
      <c r="E996">
        <v>1</v>
      </c>
      <c r="G996" t="s">
        <v>8403</v>
      </c>
    </row>
    <row r="997" spans="1:8" x14ac:dyDescent="0.25">
      <c r="A997">
        <v>995</v>
      </c>
      <c r="B997">
        <v>999</v>
      </c>
      <c r="C997">
        <v>2</v>
      </c>
      <c r="D997">
        <v>7</v>
      </c>
      <c r="E997">
        <v>1</v>
      </c>
      <c r="G997" t="s">
        <v>8404</v>
      </c>
    </row>
    <row r="998" spans="1:8" x14ac:dyDescent="0.25">
      <c r="A998">
        <v>996</v>
      </c>
      <c r="B998">
        <v>228</v>
      </c>
      <c r="C998">
        <v>100</v>
      </c>
      <c r="D998">
        <v>5</v>
      </c>
      <c r="E998">
        <v>1</v>
      </c>
      <c r="G998" t="s">
        <v>8405</v>
      </c>
    </row>
    <row r="999" spans="1:8" x14ac:dyDescent="0.25">
      <c r="A999">
        <v>997</v>
      </c>
      <c r="B999">
        <v>100</v>
      </c>
      <c r="C999">
        <v>1</v>
      </c>
      <c r="D999">
        <v>5</v>
      </c>
      <c r="E999">
        <v>1</v>
      </c>
      <c r="G999" t="s">
        <v>8406</v>
      </c>
    </row>
    <row r="1000" spans="1:8" x14ac:dyDescent="0.25">
      <c r="A1000">
        <v>998</v>
      </c>
      <c r="B1000">
        <v>999</v>
      </c>
      <c r="C1000">
        <v>100</v>
      </c>
      <c r="D1000">
        <v>10</v>
      </c>
      <c r="E1000">
        <v>1</v>
      </c>
      <c r="F1000" t="s">
        <v>8407</v>
      </c>
      <c r="G1000" t="s">
        <v>8408</v>
      </c>
      <c r="H1000" t="s">
        <v>8408</v>
      </c>
    </row>
    <row r="1001" spans="1:8" x14ac:dyDescent="0.25">
      <c r="A1001">
        <v>999</v>
      </c>
      <c r="B1001">
        <v>999</v>
      </c>
      <c r="C1001">
        <v>2</v>
      </c>
      <c r="D1001">
        <v>5</v>
      </c>
      <c r="E1001">
        <v>1</v>
      </c>
      <c r="F1001" t="s">
        <v>8409</v>
      </c>
      <c r="G1001" t="s">
        <v>8410</v>
      </c>
      <c r="H1001" t="s">
        <v>8410</v>
      </c>
    </row>
    <row r="1002" spans="1:8" x14ac:dyDescent="0.25">
      <c r="A1002">
        <v>1000</v>
      </c>
      <c r="B1002">
        <v>999</v>
      </c>
      <c r="C1002">
        <v>2</v>
      </c>
      <c r="D1002">
        <v>5</v>
      </c>
      <c r="E1002">
        <v>1</v>
      </c>
      <c r="F1002" t="s">
        <v>8411</v>
      </c>
      <c r="G1002" t="s">
        <v>8412</v>
      </c>
      <c r="H1002" t="s">
        <v>8412</v>
      </c>
    </row>
    <row r="1003" spans="1:8" x14ac:dyDescent="0.25">
      <c r="A1003">
        <v>1001</v>
      </c>
      <c r="B1003">
        <v>999</v>
      </c>
      <c r="C1003">
        <v>2</v>
      </c>
      <c r="D1003">
        <v>5</v>
      </c>
      <c r="E1003">
        <v>1</v>
      </c>
      <c r="F1003" t="s">
        <v>8411</v>
      </c>
      <c r="G1003" t="s">
        <v>8413</v>
      </c>
      <c r="H1003" t="s">
        <v>8414</v>
      </c>
    </row>
    <row r="1004" spans="1:8" x14ac:dyDescent="0.25">
      <c r="A1004">
        <v>1002</v>
      </c>
      <c r="B1004">
        <v>999</v>
      </c>
      <c r="C1004">
        <v>2</v>
      </c>
      <c r="D1004">
        <v>5</v>
      </c>
      <c r="E1004">
        <v>1</v>
      </c>
      <c r="F1004" t="s">
        <v>8411</v>
      </c>
      <c r="G1004" t="s">
        <v>8415</v>
      </c>
      <c r="H1004" t="s">
        <v>8415</v>
      </c>
    </row>
    <row r="1005" spans="1:8" x14ac:dyDescent="0.25">
      <c r="A1005">
        <v>1003</v>
      </c>
      <c r="B1005">
        <v>999</v>
      </c>
      <c r="C1005">
        <v>2</v>
      </c>
      <c r="D1005">
        <v>5</v>
      </c>
      <c r="E1005">
        <v>1</v>
      </c>
      <c r="F1005" t="s">
        <v>8416</v>
      </c>
      <c r="G1005" t="s">
        <v>8417</v>
      </c>
      <c r="H1005" t="s">
        <v>8418</v>
      </c>
    </row>
    <row r="1006" spans="1:8" x14ac:dyDescent="0.25">
      <c r="A1006">
        <v>1004</v>
      </c>
      <c r="B1006">
        <v>999</v>
      </c>
      <c r="C1006">
        <v>2</v>
      </c>
      <c r="D1006">
        <v>5</v>
      </c>
      <c r="E1006">
        <v>1</v>
      </c>
      <c r="F1006" t="s">
        <v>8419</v>
      </c>
      <c r="G1006" t="s">
        <v>8420</v>
      </c>
      <c r="H1006" t="s">
        <v>8420</v>
      </c>
    </row>
    <row r="1007" spans="1:8" x14ac:dyDescent="0.25">
      <c r="A1007">
        <v>1005</v>
      </c>
      <c r="B1007">
        <v>999</v>
      </c>
      <c r="C1007">
        <v>2</v>
      </c>
      <c r="D1007">
        <v>5</v>
      </c>
      <c r="E1007">
        <v>1</v>
      </c>
      <c r="F1007" t="s">
        <v>8421</v>
      </c>
      <c r="G1007" t="s">
        <v>8422</v>
      </c>
      <c r="H1007" t="s">
        <v>8422</v>
      </c>
    </row>
    <row r="1008" spans="1:8" x14ac:dyDescent="0.25">
      <c r="A1008">
        <v>1006</v>
      </c>
      <c r="B1008">
        <v>999</v>
      </c>
      <c r="C1008">
        <v>2</v>
      </c>
      <c r="D1008">
        <v>5</v>
      </c>
      <c r="E1008">
        <v>1</v>
      </c>
      <c r="F1008" t="s">
        <v>8421</v>
      </c>
      <c r="G1008" t="s">
        <v>8423</v>
      </c>
      <c r="H1008" t="s">
        <v>8423</v>
      </c>
    </row>
    <row r="1009" spans="1:8" x14ac:dyDescent="0.25">
      <c r="A1009">
        <v>1007</v>
      </c>
      <c r="B1009">
        <v>999</v>
      </c>
      <c r="C1009">
        <v>2</v>
      </c>
      <c r="D1009">
        <v>5</v>
      </c>
      <c r="E1009">
        <v>0</v>
      </c>
      <c r="F1009" t="s">
        <v>7804</v>
      </c>
      <c r="G1009" t="s">
        <v>269</v>
      </c>
      <c r="H1009" t="s">
        <v>269</v>
      </c>
    </row>
    <row r="1010" spans="1:8" x14ac:dyDescent="0.25">
      <c r="A1010">
        <v>1008</v>
      </c>
      <c r="B1010">
        <v>302</v>
      </c>
      <c r="C1010">
        <v>100</v>
      </c>
      <c r="D1010">
        <v>10</v>
      </c>
      <c r="E1010">
        <v>0</v>
      </c>
      <c r="F1010" t="s">
        <v>8424</v>
      </c>
      <c r="G1010" t="s">
        <v>8425</v>
      </c>
      <c r="H1010" t="s">
        <v>8426</v>
      </c>
    </row>
    <row r="1011" spans="1:8" x14ac:dyDescent="0.25">
      <c r="A1011">
        <v>1009</v>
      </c>
      <c r="B1011">
        <v>999</v>
      </c>
      <c r="C1011">
        <v>2</v>
      </c>
      <c r="D1011">
        <v>5</v>
      </c>
      <c r="E1011">
        <v>1</v>
      </c>
      <c r="F1011" t="s">
        <v>8427</v>
      </c>
      <c r="G1011" t="s">
        <v>8428</v>
      </c>
      <c r="H1011" t="s">
        <v>8428</v>
      </c>
    </row>
    <row r="1012" spans="1:8" x14ac:dyDescent="0.25">
      <c r="A1012">
        <v>1010</v>
      </c>
      <c r="B1012">
        <v>999</v>
      </c>
      <c r="C1012">
        <v>2</v>
      </c>
      <c r="D1012">
        <v>5</v>
      </c>
      <c r="E1012">
        <v>1</v>
      </c>
      <c r="F1012" t="s">
        <v>8429</v>
      </c>
      <c r="G1012" t="s">
        <v>8430</v>
      </c>
      <c r="H1012" t="s">
        <v>8431</v>
      </c>
    </row>
    <row r="1013" spans="1:8" x14ac:dyDescent="0.25">
      <c r="A1013">
        <v>1011</v>
      </c>
      <c r="B1013">
        <v>999</v>
      </c>
      <c r="C1013">
        <v>2</v>
      </c>
      <c r="D1013">
        <v>5</v>
      </c>
      <c r="E1013">
        <v>1</v>
      </c>
      <c r="F1013" t="s">
        <v>8432</v>
      </c>
      <c r="G1013" t="s">
        <v>8433</v>
      </c>
      <c r="H1013" t="s">
        <v>8433</v>
      </c>
    </row>
    <row r="1014" spans="1:8" x14ac:dyDescent="0.25">
      <c r="A1014">
        <v>1012</v>
      </c>
      <c r="B1014">
        <v>999</v>
      </c>
      <c r="C1014">
        <v>2</v>
      </c>
      <c r="D1014">
        <v>4</v>
      </c>
      <c r="E1014">
        <v>1</v>
      </c>
      <c r="G1014" t="s">
        <v>8434</v>
      </c>
    </row>
    <row r="1015" spans="1:8" x14ac:dyDescent="0.25">
      <c r="A1015">
        <v>1013</v>
      </c>
      <c r="B1015">
        <v>999</v>
      </c>
      <c r="C1015">
        <v>2</v>
      </c>
      <c r="D1015">
        <v>3</v>
      </c>
      <c r="E1015">
        <v>1</v>
      </c>
      <c r="G1015" t="s">
        <v>8435</v>
      </c>
    </row>
    <row r="1016" spans="1:8" x14ac:dyDescent="0.25">
      <c r="A1016">
        <v>1014</v>
      </c>
      <c r="B1016">
        <v>999</v>
      </c>
      <c r="C1016">
        <v>2</v>
      </c>
      <c r="D1016">
        <v>3</v>
      </c>
      <c r="E1016">
        <v>1</v>
      </c>
      <c r="G1016" t="s">
        <v>8436</v>
      </c>
    </row>
    <row r="1017" spans="1:8" x14ac:dyDescent="0.25">
      <c r="A1017">
        <v>1015</v>
      </c>
      <c r="B1017">
        <v>999</v>
      </c>
      <c r="C1017">
        <v>2</v>
      </c>
      <c r="D1017">
        <v>3</v>
      </c>
      <c r="E1017">
        <v>1</v>
      </c>
      <c r="G1017" t="s">
        <v>8437</v>
      </c>
    </row>
    <row r="1018" spans="1:8" x14ac:dyDescent="0.25">
      <c r="A1018">
        <v>1016</v>
      </c>
      <c r="B1018">
        <v>999</v>
      </c>
      <c r="C1018">
        <v>2</v>
      </c>
      <c r="D1018">
        <v>4</v>
      </c>
      <c r="E1018">
        <v>1</v>
      </c>
      <c r="F1018" t="s">
        <v>8438</v>
      </c>
      <c r="G1018" t="s">
        <v>8439</v>
      </c>
    </row>
    <row r="1019" spans="1:8" x14ac:dyDescent="0.25">
      <c r="A1019">
        <v>1017</v>
      </c>
      <c r="B1019">
        <v>999</v>
      </c>
      <c r="C1019">
        <v>2</v>
      </c>
      <c r="D1019">
        <v>7</v>
      </c>
      <c r="E1019">
        <v>1</v>
      </c>
      <c r="G1019" t="s">
        <v>8440</v>
      </c>
      <c r="H1019" t="s">
        <v>8440</v>
      </c>
    </row>
    <row r="1020" spans="1:8" x14ac:dyDescent="0.25">
      <c r="A1020">
        <v>1018</v>
      </c>
      <c r="B1020">
        <v>238</v>
      </c>
      <c r="C1020">
        <v>1</v>
      </c>
      <c r="D1020">
        <v>5</v>
      </c>
      <c r="E1020">
        <v>1</v>
      </c>
      <c r="G1020" t="s">
        <v>8441</v>
      </c>
    </row>
    <row r="1021" spans="1:8" x14ac:dyDescent="0.25">
      <c r="A1021">
        <v>1019</v>
      </c>
      <c r="B1021">
        <v>999</v>
      </c>
      <c r="C1021">
        <v>2</v>
      </c>
      <c r="D1021">
        <v>5</v>
      </c>
      <c r="E1021">
        <v>1</v>
      </c>
      <c r="G1021" t="s">
        <v>8442</v>
      </c>
    </row>
    <row r="1022" spans="1:8" x14ac:dyDescent="0.25">
      <c r="A1022">
        <v>1020</v>
      </c>
      <c r="B1022">
        <v>999</v>
      </c>
      <c r="C1022">
        <v>2</v>
      </c>
      <c r="D1022">
        <v>7</v>
      </c>
      <c r="E1022">
        <v>1</v>
      </c>
      <c r="G1022" t="s">
        <v>8140</v>
      </c>
    </row>
    <row r="1023" spans="1:8" x14ac:dyDescent="0.25">
      <c r="A1023">
        <v>1021</v>
      </c>
      <c r="B1023">
        <v>254</v>
      </c>
      <c r="C1023">
        <v>2</v>
      </c>
      <c r="D1023">
        <v>5</v>
      </c>
      <c r="E1023">
        <v>1</v>
      </c>
      <c r="G1023" t="s">
        <v>8443</v>
      </c>
    </row>
    <row r="1024" spans="1:8" x14ac:dyDescent="0.25">
      <c r="A1024">
        <v>1022</v>
      </c>
      <c r="C1024">
        <v>1</v>
      </c>
      <c r="D1024">
        <v>5</v>
      </c>
      <c r="E1024">
        <v>1</v>
      </c>
      <c r="G1024" t="s">
        <v>8444</v>
      </c>
      <c r="H1024" t="s">
        <v>8444</v>
      </c>
    </row>
    <row r="1025" spans="1:7" x14ac:dyDescent="0.25">
      <c r="A1025">
        <v>1023</v>
      </c>
      <c r="B1025">
        <v>999</v>
      </c>
      <c r="C1025">
        <v>2</v>
      </c>
      <c r="D1025">
        <v>3</v>
      </c>
      <c r="E1025">
        <v>1</v>
      </c>
      <c r="G1025" t="s">
        <v>8445</v>
      </c>
    </row>
    <row r="1026" spans="1:7" x14ac:dyDescent="0.25">
      <c r="A1026">
        <v>1024</v>
      </c>
      <c r="B1026">
        <v>223</v>
      </c>
      <c r="C1026">
        <v>1</v>
      </c>
      <c r="D1026">
        <v>5</v>
      </c>
      <c r="E1026">
        <v>1</v>
      </c>
      <c r="G1026" t="s">
        <v>8446</v>
      </c>
    </row>
    <row r="1027" spans="1:7" x14ac:dyDescent="0.25">
      <c r="A1027">
        <v>1025</v>
      </c>
      <c r="B1027">
        <v>100</v>
      </c>
      <c r="C1027">
        <v>1</v>
      </c>
      <c r="D1027">
        <v>5</v>
      </c>
      <c r="E1027">
        <v>1</v>
      </c>
      <c r="G1027" t="s">
        <v>8447</v>
      </c>
    </row>
    <row r="1028" spans="1:7" x14ac:dyDescent="0.25">
      <c r="A1028">
        <v>1026</v>
      </c>
      <c r="B1028">
        <v>999</v>
      </c>
      <c r="C1028">
        <v>2</v>
      </c>
      <c r="D1028">
        <v>3</v>
      </c>
      <c r="E1028">
        <v>1</v>
      </c>
      <c r="G1028" t="s">
        <v>8448</v>
      </c>
    </row>
    <row r="1029" spans="1:7" x14ac:dyDescent="0.25">
      <c r="A1029">
        <v>1027</v>
      </c>
      <c r="B1029">
        <v>100</v>
      </c>
      <c r="C1029">
        <v>1</v>
      </c>
      <c r="D1029">
        <v>5</v>
      </c>
      <c r="E1029">
        <v>1</v>
      </c>
      <c r="G1029" t="s">
        <v>8449</v>
      </c>
    </row>
    <row r="1030" spans="1:7" x14ac:dyDescent="0.25">
      <c r="A1030">
        <v>1028</v>
      </c>
      <c r="B1030">
        <v>228</v>
      </c>
      <c r="C1030">
        <v>1</v>
      </c>
      <c r="D1030">
        <v>5</v>
      </c>
      <c r="E1030">
        <v>1</v>
      </c>
      <c r="G1030" t="s">
        <v>8450</v>
      </c>
    </row>
    <row r="1031" spans="1:7" x14ac:dyDescent="0.25">
      <c r="A1031">
        <v>1029</v>
      </c>
      <c r="B1031">
        <v>999</v>
      </c>
      <c r="C1031">
        <v>2</v>
      </c>
      <c r="D1031">
        <v>3</v>
      </c>
      <c r="E1031">
        <v>1</v>
      </c>
      <c r="G1031" t="s">
        <v>8451</v>
      </c>
    </row>
    <row r="1032" spans="1:7" x14ac:dyDescent="0.25">
      <c r="A1032">
        <v>1030</v>
      </c>
      <c r="B1032">
        <v>999</v>
      </c>
      <c r="C1032">
        <v>2</v>
      </c>
      <c r="D1032">
        <v>3</v>
      </c>
      <c r="E1032">
        <v>1</v>
      </c>
      <c r="G1032" t="s">
        <v>8452</v>
      </c>
    </row>
    <row r="1033" spans="1:7" x14ac:dyDescent="0.25">
      <c r="A1033">
        <v>1031</v>
      </c>
      <c r="B1033">
        <v>999</v>
      </c>
      <c r="C1033">
        <v>2</v>
      </c>
      <c r="D1033">
        <v>5</v>
      </c>
      <c r="E1033">
        <v>1</v>
      </c>
      <c r="G1033" t="s">
        <v>8453</v>
      </c>
    </row>
    <row r="1034" spans="1:7" x14ac:dyDescent="0.25">
      <c r="A1034">
        <v>1032</v>
      </c>
      <c r="B1034">
        <v>100</v>
      </c>
      <c r="C1034">
        <v>100</v>
      </c>
      <c r="D1034">
        <v>5</v>
      </c>
      <c r="E1034">
        <v>0</v>
      </c>
      <c r="F1034" t="s">
        <v>8454</v>
      </c>
      <c r="G1034" t="s">
        <v>8455</v>
      </c>
    </row>
    <row r="1035" spans="1:7" x14ac:dyDescent="0.25">
      <c r="A1035">
        <v>1033</v>
      </c>
      <c r="B1035">
        <v>149</v>
      </c>
      <c r="C1035">
        <v>100</v>
      </c>
      <c r="D1035">
        <v>5</v>
      </c>
      <c r="E1035">
        <v>1</v>
      </c>
      <c r="G1035" t="s">
        <v>8426</v>
      </c>
    </row>
    <row r="1036" spans="1:7" x14ac:dyDescent="0.25">
      <c r="A1036">
        <v>1034</v>
      </c>
      <c r="B1036">
        <v>999</v>
      </c>
      <c r="C1036">
        <v>2</v>
      </c>
      <c r="D1036">
        <v>3</v>
      </c>
      <c r="E1036">
        <v>1</v>
      </c>
      <c r="G1036" t="s">
        <v>8456</v>
      </c>
    </row>
    <row r="1037" spans="1:7" x14ac:dyDescent="0.25">
      <c r="A1037">
        <v>1035</v>
      </c>
      <c r="B1037">
        <v>999</v>
      </c>
      <c r="C1037">
        <v>2</v>
      </c>
      <c r="D1037">
        <v>3</v>
      </c>
      <c r="E1037">
        <v>1</v>
      </c>
      <c r="G1037" t="s">
        <v>8457</v>
      </c>
    </row>
    <row r="1038" spans="1:7" x14ac:dyDescent="0.25">
      <c r="A1038">
        <v>1036</v>
      </c>
      <c r="B1038">
        <v>999</v>
      </c>
      <c r="C1038">
        <v>2</v>
      </c>
      <c r="D1038">
        <v>3</v>
      </c>
      <c r="E1038">
        <v>1</v>
      </c>
      <c r="G1038" t="s">
        <v>8458</v>
      </c>
    </row>
    <row r="1039" spans="1:7" x14ac:dyDescent="0.25">
      <c r="A1039">
        <v>1037</v>
      </c>
      <c r="B1039">
        <v>999</v>
      </c>
      <c r="C1039">
        <v>2</v>
      </c>
      <c r="D1039">
        <v>3</v>
      </c>
      <c r="E1039">
        <v>1</v>
      </c>
      <c r="G1039" t="s">
        <v>8459</v>
      </c>
    </row>
    <row r="1040" spans="1:7" x14ac:dyDescent="0.25">
      <c r="A1040">
        <v>1038</v>
      </c>
      <c r="B1040">
        <v>999</v>
      </c>
      <c r="C1040">
        <v>2</v>
      </c>
      <c r="D1040">
        <v>3</v>
      </c>
      <c r="E1040">
        <v>1</v>
      </c>
      <c r="G1040" t="s">
        <v>8460</v>
      </c>
    </row>
    <row r="1041" spans="1:8" x14ac:dyDescent="0.25">
      <c r="A1041">
        <v>1039</v>
      </c>
      <c r="B1041">
        <v>999</v>
      </c>
      <c r="C1041">
        <v>2</v>
      </c>
      <c r="D1041">
        <v>3</v>
      </c>
      <c r="E1041">
        <v>1</v>
      </c>
      <c r="G1041" t="s">
        <v>8461</v>
      </c>
    </row>
    <row r="1042" spans="1:8" x14ac:dyDescent="0.25">
      <c r="A1042">
        <v>1040</v>
      </c>
      <c r="B1042">
        <v>999</v>
      </c>
      <c r="C1042">
        <v>2</v>
      </c>
      <c r="D1042">
        <v>3</v>
      </c>
      <c r="E1042">
        <v>1</v>
      </c>
      <c r="G1042" t="s">
        <v>8462</v>
      </c>
    </row>
    <row r="1043" spans="1:8" x14ac:dyDescent="0.25">
      <c r="A1043">
        <v>1041</v>
      </c>
      <c r="B1043">
        <v>999</v>
      </c>
      <c r="C1043">
        <v>2</v>
      </c>
      <c r="D1043">
        <v>3</v>
      </c>
      <c r="E1043">
        <v>1</v>
      </c>
      <c r="G1043" t="s">
        <v>8463</v>
      </c>
    </row>
    <row r="1044" spans="1:8" x14ac:dyDescent="0.25">
      <c r="A1044">
        <v>1042</v>
      </c>
      <c r="B1044">
        <v>999</v>
      </c>
      <c r="C1044">
        <v>2</v>
      </c>
      <c r="D1044">
        <v>3</v>
      </c>
      <c r="E1044">
        <v>1</v>
      </c>
      <c r="G1044" t="s">
        <v>8464</v>
      </c>
      <c r="H1044" t="s">
        <v>8464</v>
      </c>
    </row>
    <row r="1045" spans="1:8" x14ac:dyDescent="0.25">
      <c r="A1045">
        <v>1043</v>
      </c>
      <c r="B1045">
        <v>999</v>
      </c>
      <c r="C1045">
        <v>2</v>
      </c>
      <c r="D1045">
        <v>3</v>
      </c>
      <c r="E1045">
        <v>1</v>
      </c>
      <c r="G1045" t="s">
        <v>8465</v>
      </c>
    </row>
    <row r="1046" spans="1:8" x14ac:dyDescent="0.25">
      <c r="A1046">
        <v>1044</v>
      </c>
      <c r="B1046">
        <v>999</v>
      </c>
      <c r="C1046">
        <v>2</v>
      </c>
      <c r="D1046">
        <v>3</v>
      </c>
      <c r="E1046">
        <v>1</v>
      </c>
      <c r="G1046" t="s">
        <v>8466</v>
      </c>
    </row>
    <row r="1047" spans="1:8" x14ac:dyDescent="0.25">
      <c r="A1047">
        <v>1045</v>
      </c>
      <c r="B1047">
        <v>999</v>
      </c>
      <c r="C1047">
        <v>2</v>
      </c>
      <c r="D1047">
        <v>3</v>
      </c>
      <c r="E1047">
        <v>1</v>
      </c>
      <c r="G1047" t="s">
        <v>8467</v>
      </c>
    </row>
    <row r="1048" spans="1:8" x14ac:dyDescent="0.25">
      <c r="A1048">
        <v>1046</v>
      </c>
      <c r="B1048">
        <v>999</v>
      </c>
      <c r="C1048">
        <v>2</v>
      </c>
      <c r="D1048">
        <v>3</v>
      </c>
      <c r="E1048">
        <v>1</v>
      </c>
      <c r="G1048" t="s">
        <v>8468</v>
      </c>
    </row>
    <row r="1049" spans="1:8" x14ac:dyDescent="0.25">
      <c r="A1049">
        <v>1047</v>
      </c>
      <c r="B1049">
        <v>999</v>
      </c>
      <c r="C1049">
        <v>2</v>
      </c>
      <c r="D1049">
        <v>3</v>
      </c>
      <c r="E1049">
        <v>1</v>
      </c>
      <c r="G1049" t="s">
        <v>8469</v>
      </c>
    </row>
    <row r="1050" spans="1:8" x14ac:dyDescent="0.25">
      <c r="A1050">
        <v>1048</v>
      </c>
      <c r="B1050">
        <v>999</v>
      </c>
      <c r="C1050">
        <v>2</v>
      </c>
      <c r="D1050">
        <v>3</v>
      </c>
      <c r="E1050">
        <v>1</v>
      </c>
      <c r="G1050" t="s">
        <v>8470</v>
      </c>
    </row>
    <row r="1051" spans="1:8" x14ac:dyDescent="0.25">
      <c r="A1051">
        <v>1049</v>
      </c>
      <c r="B1051">
        <v>999</v>
      </c>
      <c r="C1051">
        <v>2</v>
      </c>
      <c r="D1051">
        <v>3</v>
      </c>
      <c r="E1051">
        <v>1</v>
      </c>
      <c r="G1051" t="s">
        <v>8471</v>
      </c>
    </row>
    <row r="1052" spans="1:8" x14ac:dyDescent="0.25">
      <c r="A1052">
        <v>1050</v>
      </c>
      <c r="B1052">
        <v>999</v>
      </c>
      <c r="C1052">
        <v>2</v>
      </c>
      <c r="D1052">
        <v>3</v>
      </c>
      <c r="E1052">
        <v>1</v>
      </c>
      <c r="F1052" t="s">
        <v>8472</v>
      </c>
      <c r="G1052" t="s">
        <v>8473</v>
      </c>
      <c r="H1052" t="s">
        <v>8473</v>
      </c>
    </row>
    <row r="1053" spans="1:8" x14ac:dyDescent="0.25">
      <c r="A1053">
        <v>1051</v>
      </c>
      <c r="B1053">
        <v>238</v>
      </c>
      <c r="C1053">
        <v>2</v>
      </c>
      <c r="D1053">
        <v>7</v>
      </c>
      <c r="E1053">
        <v>1</v>
      </c>
      <c r="G1053" t="s">
        <v>8474</v>
      </c>
    </row>
    <row r="1054" spans="1:8" x14ac:dyDescent="0.25">
      <c r="A1054">
        <v>1052</v>
      </c>
      <c r="B1054">
        <v>228</v>
      </c>
      <c r="C1054">
        <v>1</v>
      </c>
      <c r="D1054">
        <v>5</v>
      </c>
      <c r="E1054">
        <v>1</v>
      </c>
      <c r="G1054" t="s">
        <v>8475</v>
      </c>
    </row>
    <row r="1055" spans="1:8" x14ac:dyDescent="0.25">
      <c r="A1055">
        <v>1053</v>
      </c>
      <c r="B1055">
        <v>999</v>
      </c>
      <c r="C1055">
        <v>2</v>
      </c>
      <c r="D1055">
        <v>3</v>
      </c>
      <c r="E1055">
        <v>0</v>
      </c>
      <c r="F1055" t="s">
        <v>7803</v>
      </c>
      <c r="G1055" t="s">
        <v>8476</v>
      </c>
    </row>
    <row r="1056" spans="1:8" x14ac:dyDescent="0.25">
      <c r="A1056">
        <v>1054</v>
      </c>
      <c r="B1056">
        <v>999</v>
      </c>
      <c r="C1056">
        <v>2</v>
      </c>
      <c r="D1056">
        <v>3</v>
      </c>
      <c r="E1056">
        <v>1</v>
      </c>
      <c r="G1056" t="s">
        <v>8477</v>
      </c>
    </row>
    <row r="1057" spans="1:8" x14ac:dyDescent="0.25">
      <c r="A1057">
        <v>1055</v>
      </c>
      <c r="B1057">
        <v>238</v>
      </c>
      <c r="C1057">
        <v>100</v>
      </c>
      <c r="D1057">
        <v>5</v>
      </c>
      <c r="E1057">
        <v>1</v>
      </c>
      <c r="F1057" t="s">
        <v>8478</v>
      </c>
      <c r="G1057" t="s">
        <v>8479</v>
      </c>
      <c r="H1057" t="s">
        <v>8479</v>
      </c>
    </row>
    <row r="1058" spans="1:8" x14ac:dyDescent="0.25">
      <c r="A1058">
        <v>1056</v>
      </c>
      <c r="B1058">
        <v>999</v>
      </c>
      <c r="C1058">
        <v>2</v>
      </c>
      <c r="D1058">
        <v>3</v>
      </c>
      <c r="E1058">
        <v>1</v>
      </c>
      <c r="G1058" t="s">
        <v>8480</v>
      </c>
    </row>
    <row r="1059" spans="1:8" x14ac:dyDescent="0.25">
      <c r="A1059">
        <v>1057</v>
      </c>
      <c r="B1059">
        <v>999</v>
      </c>
      <c r="C1059">
        <v>2</v>
      </c>
      <c r="D1059">
        <v>4</v>
      </c>
      <c r="E1059">
        <v>1</v>
      </c>
      <c r="G1059" t="s">
        <v>8466</v>
      </c>
    </row>
    <row r="1060" spans="1:8" x14ac:dyDescent="0.25">
      <c r="A1060">
        <v>1058</v>
      </c>
      <c r="B1060">
        <v>302</v>
      </c>
      <c r="C1060">
        <v>100</v>
      </c>
      <c r="D1060">
        <v>5</v>
      </c>
      <c r="E1060">
        <v>1</v>
      </c>
      <c r="G1060" t="s">
        <v>8408</v>
      </c>
    </row>
    <row r="1061" spans="1:8" x14ac:dyDescent="0.25">
      <c r="A1061">
        <v>1059</v>
      </c>
      <c r="B1061">
        <v>255</v>
      </c>
      <c r="C1061">
        <v>2</v>
      </c>
      <c r="D1061">
        <v>3</v>
      </c>
      <c r="E1061">
        <v>1</v>
      </c>
      <c r="G1061" t="s">
        <v>8481</v>
      </c>
      <c r="H1061" t="s">
        <v>8481</v>
      </c>
    </row>
    <row r="1062" spans="1:8" x14ac:dyDescent="0.25">
      <c r="A1062">
        <v>1060</v>
      </c>
      <c r="B1062">
        <v>100</v>
      </c>
      <c r="C1062">
        <v>2</v>
      </c>
      <c r="D1062">
        <v>4</v>
      </c>
      <c r="E1062">
        <v>1</v>
      </c>
      <c r="G1062" t="s">
        <v>8473</v>
      </c>
      <c r="H1062" t="s">
        <v>8473</v>
      </c>
    </row>
    <row r="1063" spans="1:8" x14ac:dyDescent="0.25">
      <c r="A1063">
        <v>1061</v>
      </c>
      <c r="B1063">
        <v>228</v>
      </c>
      <c r="C1063">
        <v>2</v>
      </c>
      <c r="D1063">
        <v>4</v>
      </c>
      <c r="E1063">
        <v>1</v>
      </c>
      <c r="G1063" t="s">
        <v>8465</v>
      </c>
    </row>
    <row r="1064" spans="1:8" x14ac:dyDescent="0.25">
      <c r="A1064">
        <v>1062</v>
      </c>
      <c r="B1064">
        <v>999</v>
      </c>
      <c r="C1064">
        <v>2</v>
      </c>
      <c r="D1064">
        <v>8</v>
      </c>
      <c r="E1064">
        <v>1</v>
      </c>
      <c r="G1064" t="s">
        <v>8482</v>
      </c>
    </row>
    <row r="1065" spans="1:8" x14ac:dyDescent="0.25">
      <c r="A1065">
        <v>1063</v>
      </c>
      <c r="B1065">
        <v>999</v>
      </c>
      <c r="C1065">
        <v>2</v>
      </c>
      <c r="D1065">
        <v>4</v>
      </c>
      <c r="E1065">
        <v>1</v>
      </c>
      <c r="G1065" t="s">
        <v>8483</v>
      </c>
    </row>
    <row r="1066" spans="1:8" x14ac:dyDescent="0.25">
      <c r="A1066">
        <v>1064</v>
      </c>
      <c r="B1066">
        <v>999</v>
      </c>
      <c r="C1066">
        <v>2</v>
      </c>
      <c r="D1066">
        <v>3</v>
      </c>
      <c r="E1066">
        <v>1</v>
      </c>
      <c r="G1066" t="s">
        <v>8484</v>
      </c>
    </row>
    <row r="1067" spans="1:8" x14ac:dyDescent="0.25">
      <c r="A1067">
        <v>1065</v>
      </c>
      <c r="B1067">
        <v>999</v>
      </c>
      <c r="C1067">
        <v>2</v>
      </c>
      <c r="D1067">
        <v>3</v>
      </c>
      <c r="E1067">
        <v>1</v>
      </c>
      <c r="G1067" t="s">
        <v>8485</v>
      </c>
    </row>
    <row r="1068" spans="1:8" x14ac:dyDescent="0.25">
      <c r="A1068">
        <v>1066</v>
      </c>
      <c r="B1068">
        <v>999</v>
      </c>
      <c r="C1068">
        <v>2</v>
      </c>
      <c r="D1068">
        <v>3</v>
      </c>
      <c r="E1068">
        <v>1</v>
      </c>
      <c r="F1068" t="s">
        <v>8486</v>
      </c>
      <c r="G1068" t="s">
        <v>8487</v>
      </c>
    </row>
    <row r="1069" spans="1:8" x14ac:dyDescent="0.25">
      <c r="A1069">
        <v>1067</v>
      </c>
      <c r="B1069">
        <v>999</v>
      </c>
      <c r="C1069">
        <v>2</v>
      </c>
      <c r="D1069">
        <v>6</v>
      </c>
      <c r="E1069">
        <v>1</v>
      </c>
      <c r="G1069" t="s">
        <v>8488</v>
      </c>
    </row>
    <row r="1070" spans="1:8" x14ac:dyDescent="0.25">
      <c r="A1070">
        <v>1068</v>
      </c>
      <c r="B1070">
        <v>999</v>
      </c>
      <c r="C1070">
        <v>2</v>
      </c>
      <c r="D1070">
        <v>7</v>
      </c>
      <c r="E1070">
        <v>1</v>
      </c>
      <c r="G1070" t="s">
        <v>8489</v>
      </c>
      <c r="H1070" t="s">
        <v>8489</v>
      </c>
    </row>
    <row r="1071" spans="1:8" x14ac:dyDescent="0.25">
      <c r="A1071">
        <v>1069</v>
      </c>
      <c r="B1071">
        <v>999</v>
      </c>
      <c r="C1071">
        <v>2</v>
      </c>
      <c r="D1071">
        <v>4</v>
      </c>
      <c r="E1071">
        <v>1</v>
      </c>
      <c r="G1071" t="s">
        <v>8490</v>
      </c>
    </row>
    <row r="1072" spans="1:8" x14ac:dyDescent="0.25">
      <c r="A1072">
        <v>1070</v>
      </c>
      <c r="B1072">
        <v>289</v>
      </c>
      <c r="C1072">
        <v>1</v>
      </c>
      <c r="D1072">
        <v>5</v>
      </c>
      <c r="E1072">
        <v>1</v>
      </c>
      <c r="G1072" t="s">
        <v>8491</v>
      </c>
      <c r="H1072" t="s">
        <v>8491</v>
      </c>
    </row>
    <row r="1073" spans="1:8" x14ac:dyDescent="0.25">
      <c r="A1073">
        <v>1071</v>
      </c>
      <c r="B1073">
        <v>999</v>
      </c>
      <c r="C1073">
        <v>2</v>
      </c>
      <c r="D1073">
        <v>3</v>
      </c>
      <c r="E1073">
        <v>1</v>
      </c>
      <c r="G1073" t="s">
        <v>8492</v>
      </c>
    </row>
    <row r="1074" spans="1:8" x14ac:dyDescent="0.25">
      <c r="A1074">
        <v>1072</v>
      </c>
      <c r="B1074">
        <v>149</v>
      </c>
      <c r="C1074">
        <v>100</v>
      </c>
      <c r="D1074">
        <v>5</v>
      </c>
      <c r="E1074">
        <v>1</v>
      </c>
      <c r="G1074" t="s">
        <v>8493</v>
      </c>
    </row>
    <row r="1075" spans="1:8" x14ac:dyDescent="0.25">
      <c r="A1075">
        <v>1073</v>
      </c>
      <c r="B1075">
        <v>999</v>
      </c>
      <c r="C1075">
        <v>2</v>
      </c>
      <c r="D1075">
        <v>4</v>
      </c>
      <c r="E1075">
        <v>1</v>
      </c>
      <c r="G1075" t="s">
        <v>8494</v>
      </c>
    </row>
    <row r="1076" spans="1:8" x14ac:dyDescent="0.25">
      <c r="A1076">
        <v>1074</v>
      </c>
      <c r="B1076">
        <v>999</v>
      </c>
      <c r="C1076">
        <v>2</v>
      </c>
      <c r="D1076">
        <v>4</v>
      </c>
      <c r="E1076">
        <v>1</v>
      </c>
      <c r="G1076" t="s">
        <v>8495</v>
      </c>
      <c r="H1076" t="s">
        <v>8495</v>
      </c>
    </row>
    <row r="1077" spans="1:8" x14ac:dyDescent="0.25">
      <c r="A1077">
        <v>1075</v>
      </c>
      <c r="B1077">
        <v>254</v>
      </c>
      <c r="C1077">
        <v>1</v>
      </c>
      <c r="D1077">
        <v>5</v>
      </c>
      <c r="E1077">
        <v>1</v>
      </c>
      <c r="F1077" t="s">
        <v>8496</v>
      </c>
      <c r="G1077" t="s">
        <v>8497</v>
      </c>
    </row>
    <row r="1078" spans="1:8" x14ac:dyDescent="0.25">
      <c r="A1078">
        <v>1076</v>
      </c>
      <c r="B1078">
        <v>999</v>
      </c>
      <c r="C1078">
        <v>2</v>
      </c>
      <c r="D1078">
        <v>3</v>
      </c>
      <c r="E1078">
        <v>1</v>
      </c>
      <c r="G1078" t="s">
        <v>8470</v>
      </c>
      <c r="H1078" t="s">
        <v>8470</v>
      </c>
    </row>
    <row r="1079" spans="1:8" x14ac:dyDescent="0.25">
      <c r="A1079">
        <v>1077</v>
      </c>
      <c r="B1079">
        <v>289</v>
      </c>
      <c r="C1079">
        <v>1</v>
      </c>
      <c r="D1079">
        <v>5</v>
      </c>
      <c r="E1079">
        <v>1</v>
      </c>
      <c r="G1079" t="s">
        <v>8498</v>
      </c>
      <c r="H1079" t="s">
        <v>8498</v>
      </c>
    </row>
    <row r="1080" spans="1:8" x14ac:dyDescent="0.25">
      <c r="A1080">
        <v>1078</v>
      </c>
      <c r="B1080">
        <v>999</v>
      </c>
      <c r="C1080">
        <v>2</v>
      </c>
      <c r="D1080">
        <v>5</v>
      </c>
      <c r="E1080">
        <v>1</v>
      </c>
      <c r="G1080" t="s">
        <v>8499</v>
      </c>
    </row>
    <row r="1081" spans="1:8" x14ac:dyDescent="0.25">
      <c r="A1081">
        <v>1079</v>
      </c>
      <c r="B1081">
        <v>999</v>
      </c>
      <c r="C1081">
        <v>2</v>
      </c>
      <c r="D1081">
        <v>5</v>
      </c>
      <c r="E1081">
        <v>1</v>
      </c>
      <c r="F1081" t="s">
        <v>8500</v>
      </c>
      <c r="G1081" t="s">
        <v>8501</v>
      </c>
      <c r="H1081" t="s">
        <v>8501</v>
      </c>
    </row>
    <row r="1082" spans="1:8" x14ac:dyDescent="0.25">
      <c r="A1082">
        <v>1080</v>
      </c>
      <c r="B1082">
        <v>999</v>
      </c>
      <c r="C1082">
        <v>2</v>
      </c>
      <c r="D1082">
        <v>5</v>
      </c>
      <c r="E1082">
        <v>1</v>
      </c>
      <c r="F1082" t="s">
        <v>8500</v>
      </c>
      <c r="G1082" t="s">
        <v>8502</v>
      </c>
      <c r="H1082" t="s">
        <v>8503</v>
      </c>
    </row>
    <row r="1083" spans="1:8" x14ac:dyDescent="0.25">
      <c r="A1083">
        <v>1081</v>
      </c>
      <c r="B1083">
        <v>999</v>
      </c>
      <c r="C1083">
        <v>2</v>
      </c>
      <c r="D1083">
        <v>4</v>
      </c>
      <c r="E1083">
        <v>1</v>
      </c>
      <c r="G1083" t="s">
        <v>8504</v>
      </c>
    </row>
    <row r="1084" spans="1:8" x14ac:dyDescent="0.25">
      <c r="A1084">
        <v>1082</v>
      </c>
      <c r="B1084">
        <v>255</v>
      </c>
      <c r="C1084">
        <v>100</v>
      </c>
      <c r="D1084">
        <v>5</v>
      </c>
      <c r="E1084">
        <v>1</v>
      </c>
      <c r="G1084" t="s">
        <v>8505</v>
      </c>
    </row>
    <row r="1085" spans="1:8" x14ac:dyDescent="0.25">
      <c r="A1085">
        <v>1083</v>
      </c>
      <c r="B1085">
        <v>999</v>
      </c>
      <c r="C1085">
        <v>2</v>
      </c>
      <c r="D1085">
        <v>3</v>
      </c>
      <c r="E1085">
        <v>1</v>
      </c>
      <c r="G1085" t="s">
        <v>8506</v>
      </c>
      <c r="H1085" t="s">
        <v>8506</v>
      </c>
    </row>
    <row r="1086" spans="1:8" x14ac:dyDescent="0.25">
      <c r="A1086">
        <v>1084</v>
      </c>
      <c r="B1086">
        <v>218</v>
      </c>
      <c r="C1086">
        <v>100</v>
      </c>
      <c r="D1086">
        <v>5</v>
      </c>
      <c r="E1086">
        <v>0</v>
      </c>
      <c r="F1086" t="s">
        <v>8507</v>
      </c>
      <c r="G1086" t="s">
        <v>8508</v>
      </c>
    </row>
    <row r="1087" spans="1:8" x14ac:dyDescent="0.25">
      <c r="A1087">
        <v>1085</v>
      </c>
      <c r="B1087">
        <v>149</v>
      </c>
      <c r="C1087">
        <v>2</v>
      </c>
      <c r="D1087">
        <v>8</v>
      </c>
      <c r="E1087">
        <v>1</v>
      </c>
      <c r="G1087" t="s">
        <v>7465</v>
      </c>
    </row>
    <row r="1088" spans="1:8" x14ac:dyDescent="0.25">
      <c r="A1088">
        <v>1086</v>
      </c>
      <c r="B1088">
        <v>238</v>
      </c>
      <c r="C1088">
        <v>2</v>
      </c>
      <c r="D1088">
        <v>3</v>
      </c>
      <c r="E1088">
        <v>1</v>
      </c>
      <c r="G1088" t="s">
        <v>8509</v>
      </c>
    </row>
    <row r="1089" spans="1:8" x14ac:dyDescent="0.25">
      <c r="A1089">
        <v>1087</v>
      </c>
      <c r="B1089">
        <v>228</v>
      </c>
      <c r="C1089">
        <v>2</v>
      </c>
      <c r="D1089">
        <v>3</v>
      </c>
      <c r="E1089">
        <v>1</v>
      </c>
      <c r="G1089" t="s">
        <v>8510</v>
      </c>
    </row>
    <row r="1090" spans="1:8" x14ac:dyDescent="0.25">
      <c r="A1090">
        <v>1088</v>
      </c>
      <c r="B1090">
        <v>100</v>
      </c>
      <c r="C1090">
        <v>2</v>
      </c>
      <c r="D1090">
        <v>7</v>
      </c>
      <c r="E1090">
        <v>1</v>
      </c>
      <c r="G1090" t="s">
        <v>8511</v>
      </c>
    </row>
    <row r="1091" spans="1:8" x14ac:dyDescent="0.25">
      <c r="A1091">
        <v>1089</v>
      </c>
      <c r="B1091">
        <v>115</v>
      </c>
      <c r="C1091">
        <v>2</v>
      </c>
      <c r="D1091">
        <v>7</v>
      </c>
      <c r="E1091">
        <v>1</v>
      </c>
      <c r="G1091" t="s">
        <v>8467</v>
      </c>
    </row>
    <row r="1092" spans="1:8" x14ac:dyDescent="0.25">
      <c r="A1092">
        <v>1090</v>
      </c>
      <c r="B1092">
        <v>115</v>
      </c>
      <c r="C1092">
        <v>2</v>
      </c>
      <c r="D1092">
        <v>7</v>
      </c>
      <c r="E1092">
        <v>1</v>
      </c>
      <c r="G1092" t="s">
        <v>8512</v>
      </c>
    </row>
    <row r="1093" spans="1:8" x14ac:dyDescent="0.25">
      <c r="A1093">
        <v>1091</v>
      </c>
      <c r="B1093">
        <v>100</v>
      </c>
      <c r="C1093">
        <v>1</v>
      </c>
      <c r="D1093">
        <v>5</v>
      </c>
      <c r="E1093">
        <v>1</v>
      </c>
      <c r="G1093" t="s">
        <v>8513</v>
      </c>
    </row>
    <row r="1094" spans="1:8" x14ac:dyDescent="0.25">
      <c r="A1094">
        <v>1092</v>
      </c>
      <c r="B1094">
        <v>238</v>
      </c>
      <c r="C1094">
        <v>2</v>
      </c>
      <c r="D1094">
        <v>7</v>
      </c>
      <c r="E1094">
        <v>1</v>
      </c>
      <c r="G1094" t="s">
        <v>8514</v>
      </c>
    </row>
    <row r="1095" spans="1:8" x14ac:dyDescent="0.25">
      <c r="A1095">
        <v>1093</v>
      </c>
      <c r="B1095">
        <v>218</v>
      </c>
      <c r="C1095">
        <v>2</v>
      </c>
      <c r="D1095">
        <v>7</v>
      </c>
      <c r="E1095">
        <v>1</v>
      </c>
      <c r="G1095" t="s">
        <v>8515</v>
      </c>
    </row>
    <row r="1096" spans="1:8" x14ac:dyDescent="0.25">
      <c r="A1096">
        <v>1094</v>
      </c>
      <c r="B1096">
        <v>100</v>
      </c>
      <c r="C1096">
        <v>2</v>
      </c>
      <c r="D1096">
        <v>6</v>
      </c>
      <c r="E1096">
        <v>1</v>
      </c>
      <c r="G1096" t="s">
        <v>8516</v>
      </c>
    </row>
    <row r="1097" spans="1:8" x14ac:dyDescent="0.25">
      <c r="A1097">
        <v>1095</v>
      </c>
      <c r="B1097">
        <v>100</v>
      </c>
      <c r="C1097">
        <v>2</v>
      </c>
      <c r="D1097">
        <v>7</v>
      </c>
      <c r="E1097">
        <v>1</v>
      </c>
      <c r="G1097" t="s">
        <v>8517</v>
      </c>
      <c r="H1097" t="s">
        <v>8517</v>
      </c>
    </row>
    <row r="1098" spans="1:8" x14ac:dyDescent="0.25">
      <c r="A1098">
        <v>1096</v>
      </c>
      <c r="B1098">
        <v>100</v>
      </c>
      <c r="C1098">
        <v>2</v>
      </c>
      <c r="D1098">
        <v>7</v>
      </c>
      <c r="E1098">
        <v>1</v>
      </c>
      <c r="G1098" t="s">
        <v>8518</v>
      </c>
    </row>
    <row r="1099" spans="1:8" x14ac:dyDescent="0.25">
      <c r="A1099">
        <v>1097</v>
      </c>
      <c r="B1099">
        <v>228</v>
      </c>
      <c r="C1099">
        <v>2</v>
      </c>
      <c r="D1099">
        <v>4</v>
      </c>
      <c r="E1099">
        <v>1</v>
      </c>
      <c r="G1099" t="s">
        <v>8519</v>
      </c>
    </row>
    <row r="1100" spans="1:8" x14ac:dyDescent="0.25">
      <c r="A1100">
        <v>1098</v>
      </c>
      <c r="B1100">
        <v>228</v>
      </c>
      <c r="C1100">
        <v>2</v>
      </c>
      <c r="D1100">
        <v>3</v>
      </c>
      <c r="E1100">
        <v>1</v>
      </c>
      <c r="G1100" t="s">
        <v>8520</v>
      </c>
      <c r="H1100" t="s">
        <v>8520</v>
      </c>
    </row>
    <row r="1101" spans="1:8" x14ac:dyDescent="0.25">
      <c r="A1101">
        <v>1099</v>
      </c>
      <c r="B1101">
        <v>110</v>
      </c>
      <c r="C1101">
        <v>2</v>
      </c>
      <c r="D1101">
        <v>4</v>
      </c>
      <c r="E1101">
        <v>1</v>
      </c>
      <c r="G1101" t="s">
        <v>8521</v>
      </c>
    </row>
    <row r="1102" spans="1:8" x14ac:dyDescent="0.25">
      <c r="A1102">
        <v>1100</v>
      </c>
      <c r="B1102">
        <v>228</v>
      </c>
      <c r="C1102">
        <v>2</v>
      </c>
      <c r="D1102">
        <v>4</v>
      </c>
      <c r="E1102">
        <v>1</v>
      </c>
      <c r="G1102" t="s">
        <v>8522</v>
      </c>
    </row>
    <row r="1103" spans="1:8" x14ac:dyDescent="0.25">
      <c r="A1103">
        <v>1101</v>
      </c>
      <c r="B1103">
        <v>100</v>
      </c>
      <c r="C1103">
        <v>2</v>
      </c>
      <c r="D1103">
        <v>3</v>
      </c>
      <c r="E1103">
        <v>1</v>
      </c>
      <c r="G1103" t="s">
        <v>8523</v>
      </c>
    </row>
    <row r="1104" spans="1:8" x14ac:dyDescent="0.25">
      <c r="A1104">
        <v>1102</v>
      </c>
      <c r="B1104">
        <v>100</v>
      </c>
      <c r="C1104">
        <v>2</v>
      </c>
      <c r="D1104">
        <v>3</v>
      </c>
      <c r="E1104">
        <v>1</v>
      </c>
      <c r="G1104" t="s">
        <v>8524</v>
      </c>
    </row>
    <row r="1105" spans="1:8" x14ac:dyDescent="0.25">
      <c r="A1105">
        <v>1103</v>
      </c>
      <c r="B1105">
        <v>100</v>
      </c>
      <c r="C1105">
        <v>2</v>
      </c>
      <c r="D1105">
        <v>3</v>
      </c>
      <c r="E1105">
        <v>1</v>
      </c>
      <c r="G1105" t="s">
        <v>8525</v>
      </c>
      <c r="H1105" t="s">
        <v>8525</v>
      </c>
    </row>
    <row r="1106" spans="1:8" x14ac:dyDescent="0.25">
      <c r="A1106">
        <v>1104</v>
      </c>
      <c r="B1106">
        <v>115</v>
      </c>
      <c r="C1106">
        <v>2</v>
      </c>
      <c r="D1106">
        <v>4</v>
      </c>
      <c r="E1106">
        <v>1</v>
      </c>
      <c r="F1106" t="s">
        <v>8526</v>
      </c>
      <c r="G1106" t="s">
        <v>8527</v>
      </c>
    </row>
    <row r="1107" spans="1:8" x14ac:dyDescent="0.25">
      <c r="A1107">
        <v>1105</v>
      </c>
      <c r="B1107">
        <v>228</v>
      </c>
      <c r="C1107">
        <v>2</v>
      </c>
      <c r="D1107">
        <v>3</v>
      </c>
      <c r="E1107">
        <v>1</v>
      </c>
      <c r="G1107" t="s">
        <v>8528</v>
      </c>
    </row>
    <row r="1108" spans="1:8" x14ac:dyDescent="0.25">
      <c r="A1108">
        <v>1106</v>
      </c>
      <c r="B1108">
        <v>115</v>
      </c>
      <c r="C1108">
        <v>2</v>
      </c>
      <c r="D1108">
        <v>3</v>
      </c>
      <c r="E1108">
        <v>1</v>
      </c>
      <c r="G1108" t="s">
        <v>8529</v>
      </c>
    </row>
    <row r="1109" spans="1:8" x14ac:dyDescent="0.25">
      <c r="A1109">
        <v>1107</v>
      </c>
      <c r="B1109">
        <v>115</v>
      </c>
      <c r="C1109">
        <v>2</v>
      </c>
      <c r="D1109">
        <v>3</v>
      </c>
      <c r="E1109">
        <v>1</v>
      </c>
      <c r="G1109" t="s">
        <v>8530</v>
      </c>
    </row>
    <row r="1110" spans="1:8" x14ac:dyDescent="0.25">
      <c r="A1110">
        <v>1108</v>
      </c>
      <c r="B1110">
        <v>100</v>
      </c>
      <c r="C1110">
        <v>2</v>
      </c>
      <c r="D1110">
        <v>3</v>
      </c>
      <c r="E1110">
        <v>1</v>
      </c>
      <c r="G1110" t="s">
        <v>8531</v>
      </c>
    </row>
    <row r="1111" spans="1:8" x14ac:dyDescent="0.25">
      <c r="A1111">
        <v>1109</v>
      </c>
      <c r="B1111">
        <v>115</v>
      </c>
      <c r="C1111">
        <v>2</v>
      </c>
      <c r="D1111">
        <v>3</v>
      </c>
      <c r="E1111">
        <v>0</v>
      </c>
      <c r="F1111" t="s">
        <v>8532</v>
      </c>
      <c r="G1111" t="s">
        <v>8533</v>
      </c>
      <c r="H1111" t="s">
        <v>8533</v>
      </c>
    </row>
    <row r="1112" spans="1:8" x14ac:dyDescent="0.25">
      <c r="A1112">
        <v>1110</v>
      </c>
      <c r="B1112">
        <v>255</v>
      </c>
      <c r="C1112">
        <v>2</v>
      </c>
      <c r="D1112">
        <v>7</v>
      </c>
      <c r="E1112">
        <v>1</v>
      </c>
      <c r="G1112" t="s">
        <v>8534</v>
      </c>
    </row>
    <row r="1113" spans="1:8" x14ac:dyDescent="0.25">
      <c r="A1113">
        <v>1111</v>
      </c>
      <c r="B1113">
        <v>115</v>
      </c>
      <c r="C1113">
        <v>2</v>
      </c>
      <c r="D1113">
        <v>4</v>
      </c>
      <c r="E1113">
        <v>1</v>
      </c>
      <c r="G1113" t="s">
        <v>8535</v>
      </c>
      <c r="H1113" t="s">
        <v>8535</v>
      </c>
    </row>
    <row r="1114" spans="1:8" x14ac:dyDescent="0.25">
      <c r="A1114">
        <v>1112</v>
      </c>
      <c r="B1114">
        <v>238</v>
      </c>
      <c r="C1114">
        <v>1</v>
      </c>
      <c r="D1114">
        <v>5</v>
      </c>
      <c r="E1114">
        <v>1</v>
      </c>
      <c r="G1114" t="s">
        <v>8536</v>
      </c>
    </row>
    <row r="1115" spans="1:8" x14ac:dyDescent="0.25">
      <c r="A1115">
        <v>1113</v>
      </c>
      <c r="B1115">
        <v>255</v>
      </c>
      <c r="C1115">
        <v>2</v>
      </c>
      <c r="D1115">
        <v>7</v>
      </c>
      <c r="E1115">
        <v>1</v>
      </c>
      <c r="G1115" t="s">
        <v>8518</v>
      </c>
    </row>
    <row r="1116" spans="1:8" x14ac:dyDescent="0.25">
      <c r="A1116">
        <v>1114</v>
      </c>
      <c r="B1116">
        <v>238</v>
      </c>
      <c r="C1116">
        <v>2</v>
      </c>
      <c r="D1116">
        <v>6</v>
      </c>
      <c r="E1116">
        <v>1</v>
      </c>
      <c r="G1116" t="s">
        <v>8537</v>
      </c>
    </row>
    <row r="1117" spans="1:8" x14ac:dyDescent="0.25">
      <c r="A1117">
        <v>1115</v>
      </c>
      <c r="B1117">
        <v>100</v>
      </c>
      <c r="C1117">
        <v>1</v>
      </c>
      <c r="D1117">
        <v>5</v>
      </c>
      <c r="E1117">
        <v>1</v>
      </c>
      <c r="G1117" t="s">
        <v>8538</v>
      </c>
    </row>
    <row r="1118" spans="1:8" x14ac:dyDescent="0.25">
      <c r="A1118">
        <v>1116</v>
      </c>
      <c r="B1118">
        <v>238</v>
      </c>
      <c r="C1118">
        <v>2</v>
      </c>
      <c r="D1118">
        <v>4</v>
      </c>
      <c r="E1118">
        <v>1</v>
      </c>
      <c r="G1118" t="s">
        <v>8539</v>
      </c>
    </row>
    <row r="1119" spans="1:8" x14ac:dyDescent="0.25">
      <c r="A1119">
        <v>1117</v>
      </c>
      <c r="B1119">
        <v>238</v>
      </c>
      <c r="C1119">
        <v>100</v>
      </c>
      <c r="D1119">
        <v>5</v>
      </c>
      <c r="E1119">
        <v>1</v>
      </c>
      <c r="G1119" t="s">
        <v>8540</v>
      </c>
    </row>
    <row r="1120" spans="1:8" x14ac:dyDescent="0.25">
      <c r="A1120">
        <v>1118</v>
      </c>
      <c r="B1120">
        <v>115</v>
      </c>
      <c r="C1120">
        <v>2</v>
      </c>
      <c r="D1120">
        <v>3</v>
      </c>
      <c r="E1120">
        <v>1</v>
      </c>
      <c r="G1120" t="s">
        <v>8541</v>
      </c>
    </row>
    <row r="1121" spans="1:8" x14ac:dyDescent="0.25">
      <c r="A1121">
        <v>1119</v>
      </c>
      <c r="B1121">
        <v>238</v>
      </c>
      <c r="C1121">
        <v>2</v>
      </c>
      <c r="D1121">
        <v>3</v>
      </c>
      <c r="E1121">
        <v>1</v>
      </c>
      <c r="G1121" t="s">
        <v>8542</v>
      </c>
      <c r="H1121" t="s">
        <v>8542</v>
      </c>
    </row>
    <row r="1122" spans="1:8" x14ac:dyDescent="0.25">
      <c r="A1122">
        <v>1120</v>
      </c>
      <c r="B1122">
        <v>238</v>
      </c>
      <c r="C1122">
        <v>2</v>
      </c>
      <c r="D1122">
        <v>4</v>
      </c>
      <c r="E1122">
        <v>1</v>
      </c>
      <c r="G1122" t="s">
        <v>8543</v>
      </c>
      <c r="H1122" t="s">
        <v>8543</v>
      </c>
    </row>
    <row r="1123" spans="1:8" x14ac:dyDescent="0.25">
      <c r="A1123">
        <v>1121</v>
      </c>
      <c r="C1123">
        <v>2</v>
      </c>
      <c r="D1123">
        <v>4</v>
      </c>
      <c r="E1123">
        <v>0</v>
      </c>
      <c r="F1123" t="s">
        <v>8401</v>
      </c>
      <c r="G1123" t="s">
        <v>8544</v>
      </c>
    </row>
    <row r="1124" spans="1:8" x14ac:dyDescent="0.25">
      <c r="A1124">
        <v>1122</v>
      </c>
      <c r="C1124">
        <v>2</v>
      </c>
      <c r="D1124">
        <v>4</v>
      </c>
      <c r="E1124">
        <v>0</v>
      </c>
      <c r="F1124" t="s">
        <v>8401</v>
      </c>
      <c r="G1124" t="s">
        <v>8545</v>
      </c>
    </row>
    <row r="1125" spans="1:8" x14ac:dyDescent="0.25">
      <c r="A1125">
        <v>1123</v>
      </c>
      <c r="B1125">
        <v>100</v>
      </c>
      <c r="C1125">
        <v>2</v>
      </c>
      <c r="D1125">
        <v>4</v>
      </c>
      <c r="E1125">
        <v>1</v>
      </c>
      <c r="G1125" t="s">
        <v>8546</v>
      </c>
    </row>
    <row r="1126" spans="1:8" x14ac:dyDescent="0.25">
      <c r="A1126">
        <v>1124</v>
      </c>
      <c r="B1126">
        <v>228</v>
      </c>
      <c r="C1126">
        <v>1</v>
      </c>
      <c r="D1126">
        <v>5</v>
      </c>
      <c r="E1126">
        <v>1</v>
      </c>
      <c r="G1126" t="s">
        <v>8547</v>
      </c>
    </row>
    <row r="1127" spans="1:8" x14ac:dyDescent="0.25">
      <c r="A1127">
        <v>1125</v>
      </c>
      <c r="B1127">
        <v>238</v>
      </c>
      <c r="C1127">
        <v>2</v>
      </c>
      <c r="D1127">
        <v>7</v>
      </c>
      <c r="E1127">
        <v>1</v>
      </c>
      <c r="G1127" t="s">
        <v>8548</v>
      </c>
    </row>
    <row r="1128" spans="1:8" x14ac:dyDescent="0.25">
      <c r="A1128">
        <v>1126</v>
      </c>
      <c r="B1128">
        <v>228</v>
      </c>
      <c r="C1128">
        <v>2</v>
      </c>
      <c r="D1128">
        <v>7</v>
      </c>
      <c r="E1128">
        <v>0</v>
      </c>
      <c r="F1128" t="s">
        <v>8549</v>
      </c>
      <c r="G1128" t="s">
        <v>8550</v>
      </c>
    </row>
    <row r="1129" spans="1:8" x14ac:dyDescent="0.25">
      <c r="A1129">
        <v>1127</v>
      </c>
      <c r="B1129">
        <v>228</v>
      </c>
      <c r="C1129">
        <v>2</v>
      </c>
      <c r="D1129">
        <v>7</v>
      </c>
      <c r="E1129">
        <v>1</v>
      </c>
      <c r="G1129" t="s">
        <v>8417</v>
      </c>
    </row>
    <row r="1130" spans="1:8" x14ac:dyDescent="0.25">
      <c r="A1130">
        <v>1128</v>
      </c>
      <c r="B1130">
        <v>999</v>
      </c>
      <c r="C1130">
        <v>2</v>
      </c>
      <c r="D1130">
        <v>3</v>
      </c>
      <c r="E1130">
        <v>1</v>
      </c>
      <c r="G1130" t="s">
        <v>8551</v>
      </c>
    </row>
    <row r="1131" spans="1:8" x14ac:dyDescent="0.25">
      <c r="A1131">
        <v>1129</v>
      </c>
      <c r="B1131">
        <v>999</v>
      </c>
      <c r="C1131">
        <v>2</v>
      </c>
      <c r="D1131">
        <v>3</v>
      </c>
      <c r="E1131">
        <v>1</v>
      </c>
      <c r="G1131" t="s">
        <v>8552</v>
      </c>
    </row>
    <row r="1132" spans="1:8" x14ac:dyDescent="0.25">
      <c r="A1132">
        <v>1130</v>
      </c>
      <c r="B1132">
        <v>999</v>
      </c>
      <c r="C1132">
        <v>2</v>
      </c>
      <c r="D1132">
        <v>3</v>
      </c>
      <c r="E1132">
        <v>1</v>
      </c>
      <c r="G1132" t="s">
        <v>8553</v>
      </c>
    </row>
    <row r="1133" spans="1:8" x14ac:dyDescent="0.25">
      <c r="A1133">
        <v>1131</v>
      </c>
      <c r="B1133">
        <v>149</v>
      </c>
      <c r="C1133">
        <v>2</v>
      </c>
      <c r="D1133">
        <v>7</v>
      </c>
      <c r="E1133">
        <v>1</v>
      </c>
      <c r="G1133" t="s">
        <v>8554</v>
      </c>
    </row>
    <row r="1134" spans="1:8" x14ac:dyDescent="0.25">
      <c r="A1134">
        <v>1132</v>
      </c>
      <c r="B1134">
        <v>999</v>
      </c>
      <c r="C1134">
        <v>2</v>
      </c>
      <c r="D1134">
        <v>3</v>
      </c>
      <c r="E1134">
        <v>1</v>
      </c>
      <c r="G1134" t="s">
        <v>8555</v>
      </c>
    </row>
    <row r="1135" spans="1:8" x14ac:dyDescent="0.25">
      <c r="A1135">
        <v>1133</v>
      </c>
      <c r="B1135">
        <v>999</v>
      </c>
      <c r="C1135">
        <v>2</v>
      </c>
      <c r="D1135">
        <v>7</v>
      </c>
      <c r="E1135">
        <v>1</v>
      </c>
      <c r="G1135" t="s">
        <v>8530</v>
      </c>
    </row>
    <row r="1136" spans="1:8" x14ac:dyDescent="0.25">
      <c r="A1136">
        <v>1134</v>
      </c>
      <c r="B1136">
        <v>255</v>
      </c>
      <c r="C1136">
        <v>2</v>
      </c>
      <c r="D1136">
        <v>7</v>
      </c>
      <c r="E1136">
        <v>1</v>
      </c>
      <c r="G1136" t="s">
        <v>8556</v>
      </c>
    </row>
    <row r="1137" spans="1:8" x14ac:dyDescent="0.25">
      <c r="A1137">
        <v>1135</v>
      </c>
      <c r="B1137">
        <v>228</v>
      </c>
      <c r="C1137">
        <v>100</v>
      </c>
      <c r="D1137">
        <v>5</v>
      </c>
      <c r="E1137">
        <v>1</v>
      </c>
      <c r="G1137" t="s">
        <v>8557</v>
      </c>
      <c r="H1137" t="s">
        <v>8557</v>
      </c>
    </row>
    <row r="1138" spans="1:8" x14ac:dyDescent="0.25">
      <c r="A1138">
        <v>1136</v>
      </c>
      <c r="B1138">
        <v>238</v>
      </c>
      <c r="C1138">
        <v>2</v>
      </c>
      <c r="D1138">
        <v>7</v>
      </c>
      <c r="E1138">
        <v>1</v>
      </c>
      <c r="G1138" t="s">
        <v>8558</v>
      </c>
    </row>
    <row r="1139" spans="1:8" x14ac:dyDescent="0.25">
      <c r="A1139">
        <v>1137</v>
      </c>
      <c r="B1139">
        <v>200</v>
      </c>
      <c r="C1139">
        <v>2</v>
      </c>
      <c r="D1139">
        <v>7</v>
      </c>
      <c r="E1139">
        <v>1</v>
      </c>
      <c r="G1139" t="s">
        <v>8559</v>
      </c>
    </row>
    <row r="1140" spans="1:8" x14ac:dyDescent="0.25">
      <c r="A1140">
        <v>1138</v>
      </c>
      <c r="B1140">
        <v>238</v>
      </c>
      <c r="C1140">
        <v>2</v>
      </c>
      <c r="D1140">
        <v>6</v>
      </c>
      <c r="E1140">
        <v>1</v>
      </c>
      <c r="G1140" t="s">
        <v>8560</v>
      </c>
    </row>
    <row r="1141" spans="1:8" x14ac:dyDescent="0.25">
      <c r="A1141">
        <v>1139</v>
      </c>
      <c r="B1141">
        <v>100</v>
      </c>
      <c r="C1141">
        <v>2</v>
      </c>
      <c r="D1141">
        <v>7</v>
      </c>
      <c r="E1141">
        <v>1</v>
      </c>
      <c r="G1141" t="s">
        <v>8561</v>
      </c>
    </row>
    <row r="1142" spans="1:8" x14ac:dyDescent="0.25">
      <c r="A1142">
        <v>1140</v>
      </c>
      <c r="B1142">
        <v>100</v>
      </c>
      <c r="C1142">
        <v>2</v>
      </c>
      <c r="D1142">
        <v>7</v>
      </c>
      <c r="E1142">
        <v>1</v>
      </c>
      <c r="G1142" t="s">
        <v>8562</v>
      </c>
    </row>
    <row r="1143" spans="1:8" x14ac:dyDescent="0.25">
      <c r="A1143">
        <v>1141</v>
      </c>
      <c r="B1143">
        <v>100</v>
      </c>
      <c r="C1143">
        <v>2</v>
      </c>
      <c r="D1143">
        <v>6</v>
      </c>
      <c r="E1143">
        <v>1</v>
      </c>
      <c r="G1143" t="s">
        <v>8563</v>
      </c>
    </row>
    <row r="1144" spans="1:8" x14ac:dyDescent="0.25">
      <c r="A1144">
        <v>1142</v>
      </c>
      <c r="B1144">
        <v>115</v>
      </c>
      <c r="C1144">
        <v>2</v>
      </c>
      <c r="D1144">
        <v>7</v>
      </c>
      <c r="E1144">
        <v>1</v>
      </c>
      <c r="G1144" t="s">
        <v>8564</v>
      </c>
    </row>
    <row r="1145" spans="1:8" x14ac:dyDescent="0.25">
      <c r="A1145">
        <v>1143</v>
      </c>
      <c r="B1145">
        <v>100</v>
      </c>
      <c r="C1145">
        <v>2</v>
      </c>
      <c r="D1145">
        <v>7</v>
      </c>
      <c r="E1145">
        <v>1</v>
      </c>
      <c r="G1145" t="s">
        <v>8565</v>
      </c>
    </row>
    <row r="1146" spans="1:8" x14ac:dyDescent="0.25">
      <c r="A1146">
        <v>1144</v>
      </c>
      <c r="B1146">
        <v>228</v>
      </c>
      <c r="C1146">
        <v>2</v>
      </c>
      <c r="D1146">
        <v>6</v>
      </c>
      <c r="E1146">
        <v>1</v>
      </c>
      <c r="G1146" t="s">
        <v>8566</v>
      </c>
    </row>
    <row r="1147" spans="1:8" x14ac:dyDescent="0.25">
      <c r="A1147">
        <v>1145</v>
      </c>
      <c r="B1147">
        <v>115</v>
      </c>
      <c r="C1147">
        <v>2</v>
      </c>
      <c r="D1147">
        <v>7</v>
      </c>
      <c r="E1147">
        <v>1</v>
      </c>
      <c r="G1147" t="s">
        <v>8567</v>
      </c>
    </row>
    <row r="1148" spans="1:8" x14ac:dyDescent="0.25">
      <c r="A1148">
        <v>1146</v>
      </c>
      <c r="B1148">
        <v>100</v>
      </c>
      <c r="C1148">
        <v>1</v>
      </c>
      <c r="D1148">
        <v>5</v>
      </c>
      <c r="E1148">
        <v>1</v>
      </c>
      <c r="G1148" t="s">
        <v>8568</v>
      </c>
    </row>
    <row r="1149" spans="1:8" x14ac:dyDescent="0.25">
      <c r="A1149">
        <v>1147</v>
      </c>
      <c r="B1149">
        <v>254</v>
      </c>
      <c r="C1149">
        <v>100</v>
      </c>
      <c r="D1149">
        <v>5</v>
      </c>
      <c r="E1149">
        <v>1</v>
      </c>
      <c r="G1149" t="s">
        <v>8569</v>
      </c>
      <c r="H1149" t="s">
        <v>8569</v>
      </c>
    </row>
    <row r="1150" spans="1:8" x14ac:dyDescent="0.25">
      <c r="A1150">
        <v>1148</v>
      </c>
      <c r="B1150">
        <v>100</v>
      </c>
      <c r="C1150">
        <v>2</v>
      </c>
      <c r="D1150">
        <v>7</v>
      </c>
      <c r="E1150">
        <v>1</v>
      </c>
      <c r="G1150" t="s">
        <v>8570</v>
      </c>
    </row>
    <row r="1151" spans="1:8" x14ac:dyDescent="0.25">
      <c r="A1151">
        <v>1149</v>
      </c>
      <c r="B1151">
        <v>238</v>
      </c>
      <c r="C1151">
        <v>2</v>
      </c>
      <c r="D1151">
        <v>3</v>
      </c>
      <c r="E1151">
        <v>1</v>
      </c>
      <c r="G1151" t="s">
        <v>8571</v>
      </c>
    </row>
    <row r="1152" spans="1:8" x14ac:dyDescent="0.25">
      <c r="A1152">
        <v>1150</v>
      </c>
      <c r="B1152">
        <v>238</v>
      </c>
      <c r="C1152">
        <v>2</v>
      </c>
      <c r="D1152">
        <v>3</v>
      </c>
      <c r="E1152">
        <v>1</v>
      </c>
      <c r="G1152" t="s">
        <v>8572</v>
      </c>
    </row>
    <row r="1153" spans="1:8" x14ac:dyDescent="0.25">
      <c r="A1153">
        <v>1151</v>
      </c>
      <c r="B1153">
        <v>100</v>
      </c>
      <c r="C1153">
        <v>2</v>
      </c>
      <c r="D1153">
        <v>3</v>
      </c>
      <c r="E1153">
        <v>1</v>
      </c>
      <c r="G1153" t="s">
        <v>8573</v>
      </c>
    </row>
    <row r="1154" spans="1:8" x14ac:dyDescent="0.25">
      <c r="A1154">
        <v>1152</v>
      </c>
      <c r="B1154">
        <v>200</v>
      </c>
      <c r="C1154">
        <v>2</v>
      </c>
      <c r="D1154">
        <v>7</v>
      </c>
      <c r="E1154">
        <v>1</v>
      </c>
      <c r="G1154" t="s">
        <v>8574</v>
      </c>
    </row>
    <row r="1155" spans="1:8" x14ac:dyDescent="0.25">
      <c r="A1155">
        <v>1153</v>
      </c>
      <c r="B1155">
        <v>115</v>
      </c>
      <c r="C1155">
        <v>100</v>
      </c>
      <c r="D1155">
        <v>5</v>
      </c>
      <c r="E1155">
        <v>0</v>
      </c>
      <c r="G1155" t="s">
        <v>7840</v>
      </c>
    </row>
    <row r="1156" spans="1:8" x14ac:dyDescent="0.25">
      <c r="A1156">
        <v>1154</v>
      </c>
      <c r="B1156">
        <v>289</v>
      </c>
      <c r="C1156">
        <v>2</v>
      </c>
      <c r="D1156">
        <v>6</v>
      </c>
      <c r="E1156">
        <v>1</v>
      </c>
      <c r="G1156" t="s">
        <v>8575</v>
      </c>
    </row>
    <row r="1157" spans="1:8" x14ac:dyDescent="0.25">
      <c r="A1157">
        <v>1155</v>
      </c>
      <c r="B1157">
        <v>999</v>
      </c>
      <c r="C1157">
        <v>2</v>
      </c>
      <c r="D1157">
        <v>4</v>
      </c>
      <c r="E1157">
        <v>1</v>
      </c>
      <c r="G1157" t="s">
        <v>8576</v>
      </c>
    </row>
    <row r="1158" spans="1:8" x14ac:dyDescent="0.25">
      <c r="A1158">
        <v>1156</v>
      </c>
      <c r="B1158">
        <v>228</v>
      </c>
      <c r="C1158">
        <v>2</v>
      </c>
      <c r="D1158">
        <v>4</v>
      </c>
      <c r="E1158">
        <v>1</v>
      </c>
      <c r="G1158" t="s">
        <v>8577</v>
      </c>
    </row>
    <row r="1159" spans="1:8" x14ac:dyDescent="0.25">
      <c r="A1159">
        <v>1157</v>
      </c>
      <c r="B1159">
        <v>238</v>
      </c>
      <c r="C1159">
        <v>2</v>
      </c>
      <c r="D1159">
        <v>4</v>
      </c>
      <c r="E1159">
        <v>1</v>
      </c>
      <c r="G1159" t="s">
        <v>8578</v>
      </c>
    </row>
    <row r="1160" spans="1:8" x14ac:dyDescent="0.25">
      <c r="A1160">
        <v>1158</v>
      </c>
      <c r="B1160">
        <v>100</v>
      </c>
      <c r="C1160">
        <v>2</v>
      </c>
      <c r="D1160">
        <v>3</v>
      </c>
      <c r="E1160">
        <v>1</v>
      </c>
      <c r="G1160" t="s">
        <v>8579</v>
      </c>
    </row>
    <row r="1161" spans="1:8" x14ac:dyDescent="0.25">
      <c r="A1161">
        <v>1159</v>
      </c>
      <c r="B1161">
        <v>115</v>
      </c>
      <c r="C1161">
        <v>2</v>
      </c>
      <c r="D1161">
        <v>4</v>
      </c>
      <c r="E1161">
        <v>1</v>
      </c>
      <c r="G1161" t="s">
        <v>8580</v>
      </c>
    </row>
    <row r="1162" spans="1:8" x14ac:dyDescent="0.25">
      <c r="A1162">
        <v>1160</v>
      </c>
      <c r="B1162">
        <v>115</v>
      </c>
      <c r="C1162">
        <v>2</v>
      </c>
      <c r="D1162">
        <v>4</v>
      </c>
      <c r="E1162">
        <v>1</v>
      </c>
      <c r="G1162" t="s">
        <v>8581</v>
      </c>
    </row>
    <row r="1163" spans="1:8" x14ac:dyDescent="0.25">
      <c r="A1163">
        <v>1161</v>
      </c>
      <c r="B1163">
        <v>238</v>
      </c>
      <c r="C1163">
        <v>100</v>
      </c>
      <c r="D1163">
        <v>5</v>
      </c>
      <c r="E1163">
        <v>1</v>
      </c>
      <c r="G1163" t="s">
        <v>8582</v>
      </c>
    </row>
    <row r="1164" spans="1:8" x14ac:dyDescent="0.25">
      <c r="A1164">
        <v>1162</v>
      </c>
      <c r="B1164">
        <v>238</v>
      </c>
      <c r="C1164">
        <v>2</v>
      </c>
      <c r="D1164">
        <v>3</v>
      </c>
      <c r="E1164">
        <v>1</v>
      </c>
      <c r="G1164" t="s">
        <v>8583</v>
      </c>
    </row>
    <row r="1165" spans="1:8" x14ac:dyDescent="0.25">
      <c r="A1165">
        <v>1163</v>
      </c>
      <c r="B1165">
        <v>228</v>
      </c>
      <c r="C1165">
        <v>2</v>
      </c>
      <c r="D1165">
        <v>4</v>
      </c>
      <c r="E1165">
        <v>1</v>
      </c>
      <c r="G1165" t="s">
        <v>8584</v>
      </c>
      <c r="H1165" t="s">
        <v>8584</v>
      </c>
    </row>
    <row r="1166" spans="1:8" x14ac:dyDescent="0.25">
      <c r="A1166">
        <v>1164</v>
      </c>
      <c r="B1166">
        <v>149</v>
      </c>
      <c r="C1166">
        <v>2</v>
      </c>
      <c r="D1166">
        <v>7</v>
      </c>
      <c r="E1166">
        <v>1</v>
      </c>
      <c r="G1166" t="s">
        <v>8585</v>
      </c>
      <c r="H1166" t="s">
        <v>8585</v>
      </c>
    </row>
    <row r="1167" spans="1:8" x14ac:dyDescent="0.25">
      <c r="A1167">
        <v>1165</v>
      </c>
      <c r="B1167">
        <v>149</v>
      </c>
      <c r="C1167">
        <v>2</v>
      </c>
      <c r="D1167">
        <v>6</v>
      </c>
      <c r="E1167">
        <v>1</v>
      </c>
      <c r="F1167" t="s">
        <v>3321</v>
      </c>
      <c r="G1167" t="s">
        <v>8586</v>
      </c>
    </row>
    <row r="1168" spans="1:8" x14ac:dyDescent="0.25">
      <c r="A1168">
        <v>1166</v>
      </c>
      <c r="B1168">
        <v>149</v>
      </c>
      <c r="C1168">
        <v>2</v>
      </c>
      <c r="D1168">
        <v>6</v>
      </c>
      <c r="E1168">
        <v>1</v>
      </c>
      <c r="F1168" t="s">
        <v>3321</v>
      </c>
      <c r="G1168" t="s">
        <v>8587</v>
      </c>
    </row>
    <row r="1169" spans="1:8" x14ac:dyDescent="0.25">
      <c r="A1169">
        <v>1167</v>
      </c>
      <c r="B1169">
        <v>149</v>
      </c>
      <c r="C1169">
        <v>2</v>
      </c>
      <c r="D1169">
        <v>7</v>
      </c>
      <c r="E1169">
        <v>1</v>
      </c>
      <c r="F1169" t="s">
        <v>3321</v>
      </c>
      <c r="G1169" t="s">
        <v>8588</v>
      </c>
    </row>
    <row r="1170" spans="1:8" x14ac:dyDescent="0.25">
      <c r="A1170">
        <v>1168</v>
      </c>
      <c r="B1170">
        <v>149</v>
      </c>
      <c r="C1170">
        <v>2</v>
      </c>
      <c r="D1170">
        <v>6</v>
      </c>
      <c r="E1170">
        <v>1</v>
      </c>
      <c r="F1170" t="s">
        <v>3321</v>
      </c>
      <c r="G1170" t="s">
        <v>8589</v>
      </c>
    </row>
    <row r="1171" spans="1:8" x14ac:dyDescent="0.25">
      <c r="A1171">
        <v>1169</v>
      </c>
      <c r="B1171">
        <v>149</v>
      </c>
      <c r="C1171">
        <v>2</v>
      </c>
      <c r="D1171">
        <v>7</v>
      </c>
      <c r="E1171">
        <v>1</v>
      </c>
      <c r="F1171" t="s">
        <v>3321</v>
      </c>
      <c r="G1171" t="s">
        <v>8590</v>
      </c>
    </row>
    <row r="1172" spans="1:8" x14ac:dyDescent="0.25">
      <c r="A1172">
        <v>1170</v>
      </c>
      <c r="B1172">
        <v>149</v>
      </c>
      <c r="C1172">
        <v>2</v>
      </c>
      <c r="D1172">
        <v>7</v>
      </c>
      <c r="E1172">
        <v>1</v>
      </c>
      <c r="G1172" t="s">
        <v>8591</v>
      </c>
    </row>
    <row r="1173" spans="1:8" x14ac:dyDescent="0.25">
      <c r="A1173">
        <v>1171</v>
      </c>
      <c r="B1173">
        <v>149</v>
      </c>
      <c r="C1173">
        <v>2</v>
      </c>
      <c r="D1173">
        <v>7</v>
      </c>
      <c r="E1173">
        <v>1</v>
      </c>
      <c r="G1173" t="s">
        <v>8592</v>
      </c>
      <c r="H1173" t="s">
        <v>8592</v>
      </c>
    </row>
    <row r="1174" spans="1:8" x14ac:dyDescent="0.25">
      <c r="A1174">
        <v>1172</v>
      </c>
      <c r="C1174">
        <v>2</v>
      </c>
      <c r="D1174">
        <v>3</v>
      </c>
      <c r="E1174">
        <v>1</v>
      </c>
      <c r="F1174" t="s">
        <v>3321</v>
      </c>
      <c r="G1174" t="s">
        <v>8593</v>
      </c>
      <c r="H1174" t="s">
        <v>8593</v>
      </c>
    </row>
    <row r="1175" spans="1:8" x14ac:dyDescent="0.25">
      <c r="A1175">
        <v>1173</v>
      </c>
      <c r="B1175">
        <v>149</v>
      </c>
      <c r="C1175">
        <v>2</v>
      </c>
      <c r="D1175">
        <v>7</v>
      </c>
      <c r="E1175">
        <v>1</v>
      </c>
      <c r="F1175" t="s">
        <v>3321</v>
      </c>
      <c r="G1175" t="s">
        <v>8594</v>
      </c>
      <c r="H1175" t="s">
        <v>8594</v>
      </c>
    </row>
    <row r="1176" spans="1:8" x14ac:dyDescent="0.25">
      <c r="A1176">
        <v>1174</v>
      </c>
      <c r="B1176">
        <v>149</v>
      </c>
      <c r="C1176">
        <v>2</v>
      </c>
      <c r="D1176">
        <v>7</v>
      </c>
      <c r="E1176">
        <v>1</v>
      </c>
      <c r="F1176" t="s">
        <v>3321</v>
      </c>
      <c r="G1176" t="s">
        <v>8595</v>
      </c>
      <c r="H1176" t="s">
        <v>8595</v>
      </c>
    </row>
    <row r="1177" spans="1:8" x14ac:dyDescent="0.25">
      <c r="A1177">
        <v>1175</v>
      </c>
      <c r="B1177">
        <v>149</v>
      </c>
      <c r="C1177">
        <v>1</v>
      </c>
      <c r="D1177">
        <v>10</v>
      </c>
      <c r="E1177">
        <v>1</v>
      </c>
      <c r="F1177" t="s">
        <v>7413</v>
      </c>
      <c r="G1177" t="s">
        <v>8596</v>
      </c>
      <c r="H1177" t="s">
        <v>8596</v>
      </c>
    </row>
    <row r="1178" spans="1:8" x14ac:dyDescent="0.25">
      <c r="A1178">
        <v>1176</v>
      </c>
      <c r="B1178">
        <v>149</v>
      </c>
      <c r="C1178">
        <v>2</v>
      </c>
      <c r="D1178">
        <v>6</v>
      </c>
      <c r="E1178">
        <v>1</v>
      </c>
      <c r="G1178" t="s">
        <v>8597</v>
      </c>
      <c r="H1178" t="s">
        <v>8597</v>
      </c>
    </row>
    <row r="1179" spans="1:8" x14ac:dyDescent="0.25">
      <c r="A1179">
        <v>1177</v>
      </c>
      <c r="B1179">
        <v>149</v>
      </c>
      <c r="C1179">
        <v>1</v>
      </c>
      <c r="D1179">
        <v>10</v>
      </c>
      <c r="E1179">
        <v>1</v>
      </c>
      <c r="F1179" t="s">
        <v>3321</v>
      </c>
      <c r="G1179" t="s">
        <v>8598</v>
      </c>
      <c r="H1179" t="s">
        <v>8598</v>
      </c>
    </row>
    <row r="1180" spans="1:8" x14ac:dyDescent="0.25">
      <c r="A1180">
        <v>1178</v>
      </c>
      <c r="B1180">
        <v>149</v>
      </c>
      <c r="C1180">
        <v>2</v>
      </c>
      <c r="D1180">
        <v>7</v>
      </c>
      <c r="E1180">
        <v>1</v>
      </c>
      <c r="G1180" t="s">
        <v>8599</v>
      </c>
      <c r="H1180" t="s">
        <v>8599</v>
      </c>
    </row>
    <row r="1181" spans="1:8" x14ac:dyDescent="0.25">
      <c r="A1181">
        <v>1179</v>
      </c>
      <c r="B1181">
        <v>149</v>
      </c>
      <c r="C1181">
        <v>2</v>
      </c>
      <c r="D1181">
        <v>7</v>
      </c>
      <c r="E1181">
        <v>1</v>
      </c>
      <c r="G1181" t="s">
        <v>8600</v>
      </c>
      <c r="H1181" t="s">
        <v>8600</v>
      </c>
    </row>
    <row r="1182" spans="1:8" x14ac:dyDescent="0.25">
      <c r="A1182">
        <v>1180</v>
      </c>
      <c r="B1182">
        <v>149</v>
      </c>
      <c r="C1182">
        <v>1</v>
      </c>
      <c r="D1182">
        <v>10</v>
      </c>
      <c r="E1182">
        <v>1</v>
      </c>
      <c r="G1182" t="s">
        <v>8601</v>
      </c>
      <c r="H1182" t="s">
        <v>8601</v>
      </c>
    </row>
    <row r="1183" spans="1:8" x14ac:dyDescent="0.25">
      <c r="A1183">
        <v>1181</v>
      </c>
      <c r="B1183">
        <v>149</v>
      </c>
      <c r="C1183">
        <v>2</v>
      </c>
      <c r="D1183">
        <v>7</v>
      </c>
      <c r="E1183">
        <v>1</v>
      </c>
      <c r="G1183" t="s">
        <v>8602</v>
      </c>
      <c r="H1183" t="s">
        <v>8602</v>
      </c>
    </row>
    <row r="1184" spans="1:8" x14ac:dyDescent="0.25">
      <c r="A1184">
        <v>1182</v>
      </c>
      <c r="B1184">
        <v>149</v>
      </c>
      <c r="C1184">
        <v>2</v>
      </c>
      <c r="D1184">
        <v>7</v>
      </c>
      <c r="E1184">
        <v>1</v>
      </c>
      <c r="G1184" t="s">
        <v>8603</v>
      </c>
      <c r="H1184" t="s">
        <v>8603</v>
      </c>
    </row>
    <row r="1185" spans="1:8" x14ac:dyDescent="0.25">
      <c r="A1185">
        <v>1183</v>
      </c>
      <c r="B1185">
        <v>149</v>
      </c>
      <c r="C1185">
        <v>2</v>
      </c>
      <c r="D1185">
        <v>7</v>
      </c>
      <c r="E1185">
        <v>1</v>
      </c>
      <c r="G1185" t="s">
        <v>8604</v>
      </c>
      <c r="H1185" t="s">
        <v>8604</v>
      </c>
    </row>
    <row r="1186" spans="1:8" x14ac:dyDescent="0.25">
      <c r="A1186">
        <v>1184</v>
      </c>
      <c r="B1186">
        <v>149</v>
      </c>
      <c r="C1186">
        <v>2</v>
      </c>
      <c r="D1186">
        <v>7</v>
      </c>
      <c r="E1186">
        <v>1</v>
      </c>
      <c r="G1186" t="s">
        <v>8605</v>
      </c>
      <c r="H1186" t="s">
        <v>8605</v>
      </c>
    </row>
    <row r="1187" spans="1:8" x14ac:dyDescent="0.25">
      <c r="A1187">
        <v>1185</v>
      </c>
      <c r="B1187">
        <v>149</v>
      </c>
      <c r="C1187">
        <v>2</v>
      </c>
      <c r="D1187">
        <v>7</v>
      </c>
      <c r="E1187">
        <v>1</v>
      </c>
      <c r="G1187" t="s">
        <v>8606</v>
      </c>
      <c r="H1187" t="s">
        <v>8606</v>
      </c>
    </row>
    <row r="1188" spans="1:8" x14ac:dyDescent="0.25">
      <c r="A1188">
        <v>1186</v>
      </c>
      <c r="B1188">
        <v>149</v>
      </c>
      <c r="C1188">
        <v>2</v>
      </c>
      <c r="D1188">
        <v>7</v>
      </c>
      <c r="E1188">
        <v>1</v>
      </c>
      <c r="G1188" t="s">
        <v>8607</v>
      </c>
      <c r="H1188" t="s">
        <v>8607</v>
      </c>
    </row>
    <row r="1189" spans="1:8" x14ac:dyDescent="0.25">
      <c r="A1189">
        <v>1187</v>
      </c>
      <c r="B1189">
        <v>149</v>
      </c>
      <c r="C1189">
        <v>2</v>
      </c>
      <c r="D1189">
        <v>7</v>
      </c>
      <c r="E1189">
        <v>1</v>
      </c>
      <c r="G1189" t="s">
        <v>8608</v>
      </c>
      <c r="H1189" t="s">
        <v>8608</v>
      </c>
    </row>
    <row r="1190" spans="1:8" x14ac:dyDescent="0.25">
      <c r="A1190">
        <v>1188</v>
      </c>
      <c r="B1190">
        <v>149</v>
      </c>
      <c r="C1190">
        <v>100</v>
      </c>
      <c r="D1190">
        <v>7</v>
      </c>
      <c r="E1190">
        <v>0</v>
      </c>
      <c r="F1190" t="s">
        <v>8322</v>
      </c>
      <c r="G1190" t="s">
        <v>8609</v>
      </c>
      <c r="H1190" t="s">
        <v>8609</v>
      </c>
    </row>
    <row r="1191" spans="1:8" x14ac:dyDescent="0.25">
      <c r="A1191">
        <v>1189</v>
      </c>
      <c r="B1191">
        <v>149</v>
      </c>
      <c r="C1191">
        <v>1</v>
      </c>
      <c r="D1191">
        <v>10</v>
      </c>
      <c r="E1191">
        <v>1</v>
      </c>
      <c r="G1191" t="s">
        <v>8610</v>
      </c>
      <c r="H1191" t="s">
        <v>8610</v>
      </c>
    </row>
    <row r="1192" spans="1:8" x14ac:dyDescent="0.25">
      <c r="A1192">
        <v>1190</v>
      </c>
      <c r="B1192">
        <v>149</v>
      </c>
      <c r="C1192">
        <v>2</v>
      </c>
      <c r="D1192">
        <v>7</v>
      </c>
      <c r="E1192">
        <v>1</v>
      </c>
      <c r="G1192" t="s">
        <v>8611</v>
      </c>
      <c r="H1192" t="s">
        <v>8611</v>
      </c>
    </row>
    <row r="1193" spans="1:8" x14ac:dyDescent="0.25">
      <c r="A1193">
        <v>1191</v>
      </c>
      <c r="B1193">
        <v>149</v>
      </c>
      <c r="C1193">
        <v>2</v>
      </c>
      <c r="D1193">
        <v>7</v>
      </c>
      <c r="E1193">
        <v>1</v>
      </c>
      <c r="G1193" t="s">
        <v>8018</v>
      </c>
      <c r="H1193" t="s">
        <v>8018</v>
      </c>
    </row>
    <row r="1194" spans="1:8" x14ac:dyDescent="0.25">
      <c r="A1194">
        <v>1192</v>
      </c>
      <c r="B1194">
        <v>149</v>
      </c>
      <c r="C1194">
        <v>2</v>
      </c>
      <c r="D1194">
        <v>7</v>
      </c>
      <c r="E1194">
        <v>1</v>
      </c>
      <c r="G1194" t="s">
        <v>8612</v>
      </c>
      <c r="H1194" t="s">
        <v>8612</v>
      </c>
    </row>
    <row r="1195" spans="1:8" x14ac:dyDescent="0.25">
      <c r="A1195">
        <v>1193</v>
      </c>
      <c r="B1195">
        <v>149</v>
      </c>
      <c r="C1195">
        <v>2</v>
      </c>
      <c r="D1195">
        <v>7</v>
      </c>
      <c r="E1195">
        <v>1</v>
      </c>
      <c r="G1195" t="s">
        <v>8613</v>
      </c>
      <c r="H1195" t="s">
        <v>8613</v>
      </c>
    </row>
    <row r="1196" spans="1:8" x14ac:dyDescent="0.25">
      <c r="A1196">
        <v>1194</v>
      </c>
      <c r="B1196">
        <v>149</v>
      </c>
      <c r="C1196">
        <v>2</v>
      </c>
      <c r="D1196">
        <v>7</v>
      </c>
      <c r="E1196">
        <v>1</v>
      </c>
      <c r="G1196" t="s">
        <v>8614</v>
      </c>
      <c r="H1196" t="s">
        <v>8614</v>
      </c>
    </row>
    <row r="1197" spans="1:8" x14ac:dyDescent="0.25">
      <c r="A1197">
        <v>1195</v>
      </c>
      <c r="B1197">
        <v>149</v>
      </c>
      <c r="C1197">
        <v>2</v>
      </c>
      <c r="D1197">
        <v>7</v>
      </c>
      <c r="E1197">
        <v>1</v>
      </c>
      <c r="G1197" t="s">
        <v>8615</v>
      </c>
      <c r="H1197" t="s">
        <v>8615</v>
      </c>
    </row>
    <row r="1198" spans="1:8" x14ac:dyDescent="0.25">
      <c r="A1198">
        <v>1196</v>
      </c>
      <c r="B1198">
        <v>149</v>
      </c>
      <c r="C1198">
        <v>1</v>
      </c>
      <c r="D1198">
        <v>10</v>
      </c>
      <c r="E1198">
        <v>1</v>
      </c>
      <c r="G1198" t="s">
        <v>8616</v>
      </c>
      <c r="H1198" t="s">
        <v>8616</v>
      </c>
    </row>
    <row r="1199" spans="1:8" x14ac:dyDescent="0.25">
      <c r="A1199">
        <v>1197</v>
      </c>
      <c r="B1199">
        <v>149</v>
      </c>
      <c r="C1199">
        <v>2</v>
      </c>
      <c r="D1199">
        <v>6</v>
      </c>
      <c r="E1199">
        <v>1</v>
      </c>
      <c r="G1199" t="s">
        <v>8617</v>
      </c>
      <c r="H1199" t="s">
        <v>8617</v>
      </c>
    </row>
    <row r="1200" spans="1:8" x14ac:dyDescent="0.25">
      <c r="A1200">
        <v>1198</v>
      </c>
      <c r="B1200">
        <v>149</v>
      </c>
      <c r="C1200">
        <v>2</v>
      </c>
      <c r="D1200">
        <v>7</v>
      </c>
      <c r="E1200">
        <v>1</v>
      </c>
      <c r="G1200" t="s">
        <v>8618</v>
      </c>
      <c r="H1200" t="s">
        <v>8619</v>
      </c>
    </row>
    <row r="1201" spans="1:8" x14ac:dyDescent="0.25">
      <c r="A1201">
        <v>1199</v>
      </c>
      <c r="B1201">
        <v>149</v>
      </c>
      <c r="C1201">
        <v>2</v>
      </c>
      <c r="D1201">
        <v>7</v>
      </c>
      <c r="E1201">
        <v>1</v>
      </c>
      <c r="G1201" t="s">
        <v>8620</v>
      </c>
      <c r="H1201" t="s">
        <v>8621</v>
      </c>
    </row>
    <row r="1202" spans="1:8" x14ac:dyDescent="0.25">
      <c r="A1202">
        <v>1200</v>
      </c>
      <c r="B1202">
        <v>149</v>
      </c>
      <c r="C1202">
        <v>2</v>
      </c>
      <c r="D1202">
        <v>7</v>
      </c>
      <c r="E1202">
        <v>1</v>
      </c>
      <c r="G1202" t="s">
        <v>8622</v>
      </c>
      <c r="H1202" t="s">
        <v>8622</v>
      </c>
    </row>
    <row r="1203" spans="1:8" x14ac:dyDescent="0.25">
      <c r="A1203">
        <v>1201</v>
      </c>
      <c r="B1203">
        <v>149</v>
      </c>
      <c r="C1203">
        <v>2</v>
      </c>
      <c r="D1203">
        <v>7</v>
      </c>
      <c r="E1203">
        <v>1</v>
      </c>
      <c r="G1203" t="s">
        <v>8623</v>
      </c>
      <c r="H1203" t="s">
        <v>8623</v>
      </c>
    </row>
    <row r="1204" spans="1:8" x14ac:dyDescent="0.25">
      <c r="A1204">
        <v>1202</v>
      </c>
      <c r="B1204">
        <v>149</v>
      </c>
      <c r="C1204">
        <v>2</v>
      </c>
      <c r="D1204">
        <v>7</v>
      </c>
      <c r="E1204">
        <v>1</v>
      </c>
      <c r="G1204" t="s">
        <v>8624</v>
      </c>
      <c r="H1204" t="s">
        <v>8624</v>
      </c>
    </row>
    <row r="1205" spans="1:8" x14ac:dyDescent="0.25">
      <c r="A1205">
        <v>1203</v>
      </c>
      <c r="B1205">
        <v>149</v>
      </c>
      <c r="C1205">
        <v>2</v>
      </c>
      <c r="D1205">
        <v>7</v>
      </c>
      <c r="E1205">
        <v>1</v>
      </c>
      <c r="G1205" t="s">
        <v>8625</v>
      </c>
      <c r="H1205" t="s">
        <v>8625</v>
      </c>
    </row>
    <row r="1206" spans="1:8" x14ac:dyDescent="0.25">
      <c r="A1206">
        <v>1204</v>
      </c>
      <c r="B1206">
        <v>149</v>
      </c>
      <c r="C1206">
        <v>2</v>
      </c>
      <c r="D1206">
        <v>7</v>
      </c>
      <c r="E1206">
        <v>1</v>
      </c>
      <c r="G1206" t="s">
        <v>8626</v>
      </c>
      <c r="H1206" t="s">
        <v>8626</v>
      </c>
    </row>
    <row r="1207" spans="1:8" x14ac:dyDescent="0.25">
      <c r="A1207">
        <v>1205</v>
      </c>
      <c r="B1207">
        <v>149</v>
      </c>
      <c r="C1207">
        <v>2</v>
      </c>
      <c r="D1207">
        <v>7</v>
      </c>
      <c r="E1207">
        <v>1</v>
      </c>
      <c r="G1207" t="s">
        <v>8627</v>
      </c>
      <c r="H1207" t="s">
        <v>8627</v>
      </c>
    </row>
    <row r="1208" spans="1:8" x14ac:dyDescent="0.25">
      <c r="A1208">
        <v>1206</v>
      </c>
      <c r="B1208">
        <v>149</v>
      </c>
      <c r="C1208">
        <v>2</v>
      </c>
      <c r="D1208">
        <v>6</v>
      </c>
      <c r="E1208">
        <v>1</v>
      </c>
      <c r="G1208" t="s">
        <v>8628</v>
      </c>
      <c r="H1208" t="s">
        <v>8628</v>
      </c>
    </row>
    <row r="1209" spans="1:8" x14ac:dyDescent="0.25">
      <c r="A1209">
        <v>1207</v>
      </c>
      <c r="B1209">
        <v>149</v>
      </c>
      <c r="C1209">
        <v>1</v>
      </c>
      <c r="D1209">
        <v>10</v>
      </c>
      <c r="E1209">
        <v>1</v>
      </c>
      <c r="G1209" t="s">
        <v>8629</v>
      </c>
      <c r="H1209" t="s">
        <v>8629</v>
      </c>
    </row>
    <row r="1210" spans="1:8" x14ac:dyDescent="0.25">
      <c r="A1210">
        <v>1208</v>
      </c>
      <c r="B1210">
        <v>149</v>
      </c>
      <c r="C1210">
        <v>1</v>
      </c>
      <c r="D1210">
        <v>10</v>
      </c>
      <c r="E1210">
        <v>1</v>
      </c>
      <c r="G1210" t="s">
        <v>8630</v>
      </c>
      <c r="H1210" t="s">
        <v>8630</v>
      </c>
    </row>
    <row r="1211" spans="1:8" x14ac:dyDescent="0.25">
      <c r="A1211">
        <v>1209</v>
      </c>
      <c r="B1211">
        <v>149</v>
      </c>
      <c r="C1211">
        <v>2</v>
      </c>
      <c r="D1211">
        <v>7</v>
      </c>
      <c r="E1211">
        <v>1</v>
      </c>
      <c r="G1211" t="s">
        <v>8631</v>
      </c>
      <c r="H1211" t="s">
        <v>8631</v>
      </c>
    </row>
    <row r="1212" spans="1:8" x14ac:dyDescent="0.25">
      <c r="A1212">
        <v>1210</v>
      </c>
      <c r="B1212">
        <v>149</v>
      </c>
      <c r="C1212">
        <v>2</v>
      </c>
      <c r="D1212">
        <v>7</v>
      </c>
      <c r="E1212">
        <v>1</v>
      </c>
      <c r="G1212" t="s">
        <v>8632</v>
      </c>
      <c r="H1212" t="s">
        <v>8632</v>
      </c>
    </row>
    <row r="1213" spans="1:8" x14ac:dyDescent="0.25">
      <c r="A1213">
        <v>1211</v>
      </c>
      <c r="B1213">
        <v>149</v>
      </c>
      <c r="C1213">
        <v>2</v>
      </c>
      <c r="D1213">
        <v>7</v>
      </c>
      <c r="E1213">
        <v>1</v>
      </c>
      <c r="G1213" t="s">
        <v>8633</v>
      </c>
      <c r="H1213" t="s">
        <v>8633</v>
      </c>
    </row>
    <row r="1214" spans="1:8" x14ac:dyDescent="0.25">
      <c r="A1214">
        <v>1212</v>
      </c>
      <c r="B1214">
        <v>149</v>
      </c>
      <c r="C1214">
        <v>1</v>
      </c>
      <c r="D1214">
        <v>10</v>
      </c>
      <c r="E1214">
        <v>1</v>
      </c>
      <c r="G1214" t="s">
        <v>8634</v>
      </c>
      <c r="H1214" t="s">
        <v>8634</v>
      </c>
    </row>
    <row r="1215" spans="1:8" x14ac:dyDescent="0.25">
      <c r="A1215">
        <v>1213</v>
      </c>
      <c r="B1215">
        <v>149</v>
      </c>
      <c r="C1215">
        <v>2</v>
      </c>
      <c r="D1215">
        <v>6</v>
      </c>
      <c r="E1215">
        <v>1</v>
      </c>
      <c r="G1215" t="s">
        <v>8635</v>
      </c>
      <c r="H1215" t="s">
        <v>8635</v>
      </c>
    </row>
    <row r="1216" spans="1:8" x14ac:dyDescent="0.25">
      <c r="A1216">
        <v>1214</v>
      </c>
      <c r="B1216">
        <v>149</v>
      </c>
      <c r="C1216">
        <v>1</v>
      </c>
      <c r="D1216">
        <v>10</v>
      </c>
      <c r="E1216">
        <v>1</v>
      </c>
      <c r="G1216" t="s">
        <v>8636</v>
      </c>
      <c r="H1216" t="s">
        <v>8636</v>
      </c>
    </row>
    <row r="1217" spans="1:8" x14ac:dyDescent="0.25">
      <c r="A1217">
        <v>1215</v>
      </c>
      <c r="B1217">
        <v>149</v>
      </c>
      <c r="C1217">
        <v>2</v>
      </c>
      <c r="D1217">
        <v>7</v>
      </c>
      <c r="E1217">
        <v>1</v>
      </c>
      <c r="G1217" t="s">
        <v>8637</v>
      </c>
      <c r="H1217" t="s">
        <v>8637</v>
      </c>
    </row>
    <row r="1218" spans="1:8" x14ac:dyDescent="0.25">
      <c r="A1218">
        <v>1216</v>
      </c>
      <c r="C1218">
        <v>2</v>
      </c>
      <c r="D1218">
        <v>6</v>
      </c>
      <c r="E1218">
        <v>1</v>
      </c>
      <c r="G1218" t="s">
        <v>8638</v>
      </c>
      <c r="H1218" t="s">
        <v>8638</v>
      </c>
    </row>
    <row r="1219" spans="1:8" x14ac:dyDescent="0.25">
      <c r="A1219">
        <v>1217</v>
      </c>
      <c r="B1219">
        <v>149</v>
      </c>
      <c r="C1219">
        <v>1</v>
      </c>
      <c r="D1219">
        <v>10</v>
      </c>
      <c r="E1219">
        <v>1</v>
      </c>
      <c r="G1219" t="s">
        <v>8639</v>
      </c>
      <c r="H1219" t="s">
        <v>8639</v>
      </c>
    </row>
    <row r="1220" spans="1:8" x14ac:dyDescent="0.25">
      <c r="A1220">
        <v>1218</v>
      </c>
      <c r="B1220">
        <v>149</v>
      </c>
      <c r="C1220">
        <v>2</v>
      </c>
      <c r="D1220">
        <v>6</v>
      </c>
      <c r="E1220">
        <v>1</v>
      </c>
      <c r="G1220" t="s">
        <v>8640</v>
      </c>
      <c r="H1220" t="s">
        <v>8641</v>
      </c>
    </row>
    <row r="1221" spans="1:8" x14ac:dyDescent="0.25">
      <c r="A1221">
        <v>1219</v>
      </c>
      <c r="B1221">
        <v>149</v>
      </c>
      <c r="C1221">
        <v>2</v>
      </c>
      <c r="D1221">
        <v>6</v>
      </c>
      <c r="E1221">
        <v>1</v>
      </c>
      <c r="G1221" t="s">
        <v>8642</v>
      </c>
      <c r="H1221" t="s">
        <v>8642</v>
      </c>
    </row>
    <row r="1222" spans="1:8" x14ac:dyDescent="0.25">
      <c r="A1222">
        <v>1220</v>
      </c>
      <c r="B1222">
        <v>149</v>
      </c>
      <c r="C1222">
        <v>2</v>
      </c>
      <c r="D1222">
        <v>7</v>
      </c>
      <c r="E1222">
        <v>1</v>
      </c>
      <c r="G1222" t="s">
        <v>8643</v>
      </c>
      <c r="H1222" t="s">
        <v>8643</v>
      </c>
    </row>
    <row r="1223" spans="1:8" x14ac:dyDescent="0.25">
      <c r="A1223">
        <v>1221</v>
      </c>
      <c r="B1223">
        <v>149</v>
      </c>
      <c r="C1223">
        <v>2</v>
      </c>
      <c r="D1223">
        <v>7</v>
      </c>
      <c r="E1223">
        <v>1</v>
      </c>
      <c r="G1223" t="s">
        <v>8644</v>
      </c>
      <c r="H1223" t="s">
        <v>8644</v>
      </c>
    </row>
    <row r="1224" spans="1:8" x14ac:dyDescent="0.25">
      <c r="A1224">
        <v>1222</v>
      </c>
      <c r="B1224">
        <v>149</v>
      </c>
      <c r="C1224">
        <v>2</v>
      </c>
      <c r="D1224">
        <v>6</v>
      </c>
      <c r="E1224">
        <v>1</v>
      </c>
      <c r="G1224" t="s">
        <v>8645</v>
      </c>
      <c r="H1224" t="s">
        <v>8646</v>
      </c>
    </row>
    <row r="1225" spans="1:8" x14ac:dyDescent="0.25">
      <c r="A1225">
        <v>1223</v>
      </c>
      <c r="B1225">
        <v>149</v>
      </c>
      <c r="C1225">
        <v>2</v>
      </c>
      <c r="D1225">
        <v>7</v>
      </c>
      <c r="E1225">
        <v>1</v>
      </c>
      <c r="G1225" t="s">
        <v>8647</v>
      </c>
      <c r="H1225" t="s">
        <v>8647</v>
      </c>
    </row>
    <row r="1226" spans="1:8" x14ac:dyDescent="0.25">
      <c r="A1226">
        <v>1224</v>
      </c>
      <c r="B1226">
        <v>149</v>
      </c>
      <c r="C1226">
        <v>100</v>
      </c>
      <c r="D1226">
        <v>10</v>
      </c>
      <c r="E1226">
        <v>1</v>
      </c>
      <c r="G1226" t="s">
        <v>8648</v>
      </c>
      <c r="H1226" t="s">
        <v>8648</v>
      </c>
    </row>
    <row r="1227" spans="1:8" x14ac:dyDescent="0.25">
      <c r="A1227">
        <v>1225</v>
      </c>
      <c r="B1227">
        <v>149</v>
      </c>
      <c r="C1227">
        <v>2</v>
      </c>
      <c r="D1227">
        <v>6</v>
      </c>
      <c r="E1227">
        <v>1</v>
      </c>
      <c r="G1227" t="s">
        <v>8649</v>
      </c>
      <c r="H1227" t="s">
        <v>8649</v>
      </c>
    </row>
    <row r="1228" spans="1:8" x14ac:dyDescent="0.25">
      <c r="A1228">
        <v>1226</v>
      </c>
      <c r="B1228">
        <v>149</v>
      </c>
      <c r="C1228">
        <v>2</v>
      </c>
      <c r="D1228">
        <v>7</v>
      </c>
      <c r="E1228">
        <v>1</v>
      </c>
      <c r="G1228" t="s">
        <v>8650</v>
      </c>
      <c r="H1228" t="s">
        <v>8650</v>
      </c>
    </row>
    <row r="1229" spans="1:8" x14ac:dyDescent="0.25">
      <c r="A1229">
        <v>1227</v>
      </c>
      <c r="B1229">
        <v>149</v>
      </c>
      <c r="C1229">
        <v>2</v>
      </c>
      <c r="D1229">
        <v>7</v>
      </c>
      <c r="E1229">
        <v>1</v>
      </c>
      <c r="G1229" t="s">
        <v>8585</v>
      </c>
      <c r="H1229" t="s">
        <v>8585</v>
      </c>
    </row>
    <row r="1230" spans="1:8" x14ac:dyDescent="0.25">
      <c r="A1230">
        <v>1228</v>
      </c>
      <c r="B1230">
        <v>149</v>
      </c>
      <c r="C1230">
        <v>2</v>
      </c>
      <c r="D1230">
        <v>7</v>
      </c>
      <c r="E1230">
        <v>1</v>
      </c>
      <c r="G1230" t="s">
        <v>8651</v>
      </c>
      <c r="H1230" t="s">
        <v>8651</v>
      </c>
    </row>
    <row r="1231" spans="1:8" x14ac:dyDescent="0.25">
      <c r="A1231">
        <v>1229</v>
      </c>
      <c r="B1231">
        <v>149</v>
      </c>
      <c r="C1231">
        <v>2</v>
      </c>
      <c r="D1231">
        <v>7</v>
      </c>
      <c r="E1231">
        <v>1</v>
      </c>
      <c r="G1231" t="s">
        <v>8652</v>
      </c>
      <c r="H1231" t="s">
        <v>8652</v>
      </c>
    </row>
    <row r="1232" spans="1:8" x14ac:dyDescent="0.25">
      <c r="A1232">
        <v>1230</v>
      </c>
      <c r="B1232">
        <v>149</v>
      </c>
      <c r="C1232">
        <v>2</v>
      </c>
      <c r="D1232">
        <v>7</v>
      </c>
      <c r="E1232">
        <v>1</v>
      </c>
      <c r="G1232" t="s">
        <v>8653</v>
      </c>
      <c r="H1232" t="s">
        <v>8653</v>
      </c>
    </row>
    <row r="1233" spans="1:8" x14ac:dyDescent="0.25">
      <c r="A1233">
        <v>1231</v>
      </c>
      <c r="B1233">
        <v>149</v>
      </c>
      <c r="C1233">
        <v>2</v>
      </c>
      <c r="D1233">
        <v>6</v>
      </c>
      <c r="E1233">
        <v>1</v>
      </c>
      <c r="G1233" t="s">
        <v>8654</v>
      </c>
      <c r="H1233" t="s">
        <v>8654</v>
      </c>
    </row>
    <row r="1234" spans="1:8" x14ac:dyDescent="0.25">
      <c r="A1234">
        <v>1232</v>
      </c>
      <c r="B1234">
        <v>999</v>
      </c>
      <c r="C1234">
        <v>2</v>
      </c>
      <c r="D1234">
        <v>7</v>
      </c>
      <c r="E1234">
        <v>1</v>
      </c>
      <c r="G1234" t="s">
        <v>8655</v>
      </c>
      <c r="H1234" t="s">
        <v>8655</v>
      </c>
    </row>
    <row r="1235" spans="1:8" x14ac:dyDescent="0.25">
      <c r="A1235">
        <v>1233</v>
      </c>
      <c r="B1235">
        <v>999</v>
      </c>
      <c r="C1235">
        <v>2</v>
      </c>
      <c r="D1235">
        <v>6</v>
      </c>
      <c r="E1235">
        <v>1</v>
      </c>
      <c r="G1235" t="s">
        <v>8656</v>
      </c>
      <c r="H1235" t="s">
        <v>8656</v>
      </c>
    </row>
    <row r="1236" spans="1:8" x14ac:dyDescent="0.25">
      <c r="A1236">
        <v>1234</v>
      </c>
      <c r="B1236">
        <v>999</v>
      </c>
      <c r="C1236">
        <v>2</v>
      </c>
      <c r="D1236">
        <v>7</v>
      </c>
      <c r="E1236">
        <v>1</v>
      </c>
      <c r="G1236" t="s">
        <v>8657</v>
      </c>
      <c r="H1236" t="s">
        <v>8658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864"/>
  <sheetViews>
    <sheetView topLeftCell="A1832" workbookViewId="0">
      <selection activeCell="A1851" sqref="A1851"/>
    </sheetView>
  </sheetViews>
  <sheetFormatPr baseColWidth="10" defaultRowHeight="15" x14ac:dyDescent="0.25"/>
  <cols>
    <col min="1" max="1" width="17.42578125" bestFit="1" customWidth="1"/>
    <col min="2" max="2" width="9.140625" bestFit="1" customWidth="1"/>
    <col min="3" max="3" width="22.140625" bestFit="1" customWidth="1"/>
    <col min="4" max="5" width="81.140625" bestFit="1" customWidth="1"/>
    <col min="6" max="6" width="15" bestFit="1" customWidth="1"/>
    <col min="7" max="7" width="12.140625" bestFit="1" customWidth="1"/>
  </cols>
  <sheetData>
    <row r="1" spans="1:7" x14ac:dyDescent="0.25">
      <c r="A1" t="s">
        <v>8659</v>
      </c>
      <c r="B1" t="s">
        <v>8660</v>
      </c>
      <c r="C1" t="s">
        <v>8661</v>
      </c>
      <c r="D1" t="s">
        <v>8662</v>
      </c>
      <c r="E1" t="s">
        <v>8663</v>
      </c>
      <c r="F1" t="s">
        <v>8664</v>
      </c>
      <c r="G1" t="s">
        <v>8665</v>
      </c>
    </row>
    <row r="2" spans="1:7" x14ac:dyDescent="0.25">
      <c r="A2">
        <v>0</v>
      </c>
      <c r="B2">
        <v>0</v>
      </c>
      <c r="C2">
        <v>0</v>
      </c>
      <c r="D2" t="s">
        <v>8666</v>
      </c>
      <c r="E2" t="s">
        <v>8667</v>
      </c>
      <c r="F2">
        <v>0</v>
      </c>
      <c r="G2">
        <v>0</v>
      </c>
    </row>
    <row r="3" spans="1:7" x14ac:dyDescent="0.25">
      <c r="A3">
        <v>1</v>
      </c>
      <c r="B3">
        <v>40</v>
      </c>
      <c r="C3">
        <v>0</v>
      </c>
      <c r="D3" t="s">
        <v>8668</v>
      </c>
      <c r="E3" t="s">
        <v>8668</v>
      </c>
      <c r="F3">
        <v>31</v>
      </c>
      <c r="G3">
        <v>37</v>
      </c>
    </row>
    <row r="4" spans="1:7" x14ac:dyDescent="0.25">
      <c r="A4">
        <v>2</v>
      </c>
      <c r="B4">
        <v>40</v>
      </c>
      <c r="C4">
        <v>0</v>
      </c>
      <c r="D4" t="s">
        <v>8669</v>
      </c>
      <c r="E4" t="s">
        <v>8669</v>
      </c>
      <c r="F4">
        <v>31</v>
      </c>
      <c r="G4">
        <v>37</v>
      </c>
    </row>
    <row r="5" spans="1:7" x14ac:dyDescent="0.25">
      <c r="A5">
        <v>3</v>
      </c>
      <c r="B5">
        <v>40</v>
      </c>
      <c r="C5">
        <v>0</v>
      </c>
      <c r="D5" t="s">
        <v>1650</v>
      </c>
      <c r="E5" t="s">
        <v>1650</v>
      </c>
      <c r="F5">
        <v>31</v>
      </c>
      <c r="G5">
        <v>37</v>
      </c>
    </row>
    <row r="6" spans="1:7" x14ac:dyDescent="0.25">
      <c r="A6">
        <v>4</v>
      </c>
      <c r="B6">
        <v>40</v>
      </c>
      <c r="C6">
        <v>0</v>
      </c>
      <c r="D6" t="s">
        <v>8670</v>
      </c>
      <c r="E6" t="s">
        <v>8670</v>
      </c>
      <c r="F6">
        <v>31</v>
      </c>
      <c r="G6">
        <v>37</v>
      </c>
    </row>
    <row r="7" spans="1:7" x14ac:dyDescent="0.25">
      <c r="A7">
        <v>5</v>
      </c>
      <c r="B7">
        <v>40</v>
      </c>
      <c r="C7">
        <v>0</v>
      </c>
      <c r="D7" t="s">
        <v>8671</v>
      </c>
      <c r="E7" t="s">
        <v>8671</v>
      </c>
      <c r="F7">
        <v>31</v>
      </c>
      <c r="G7">
        <v>37</v>
      </c>
    </row>
    <row r="8" spans="1:7" x14ac:dyDescent="0.25">
      <c r="A8">
        <v>6</v>
      </c>
      <c r="B8">
        <v>84</v>
      </c>
      <c r="C8">
        <v>0</v>
      </c>
      <c r="D8" t="s">
        <v>8672</v>
      </c>
      <c r="E8" t="s">
        <v>8672</v>
      </c>
      <c r="F8">
        <v>32</v>
      </c>
      <c r="G8">
        <v>37</v>
      </c>
    </row>
    <row r="9" spans="1:7" x14ac:dyDescent="0.25">
      <c r="A9">
        <v>7</v>
      </c>
      <c r="B9">
        <v>40</v>
      </c>
      <c r="C9">
        <v>0</v>
      </c>
      <c r="D9" t="s">
        <v>1446</v>
      </c>
      <c r="E9" t="s">
        <v>1446</v>
      </c>
      <c r="F9">
        <v>31</v>
      </c>
      <c r="G9">
        <v>37</v>
      </c>
    </row>
    <row r="10" spans="1:7" x14ac:dyDescent="0.25">
      <c r="A10">
        <v>8</v>
      </c>
      <c r="B10">
        <v>40</v>
      </c>
      <c r="C10">
        <v>0</v>
      </c>
      <c r="D10" t="s">
        <v>8673</v>
      </c>
      <c r="E10" t="s">
        <v>8673</v>
      </c>
      <c r="F10">
        <v>31</v>
      </c>
      <c r="G10">
        <v>37</v>
      </c>
    </row>
    <row r="11" spans="1:7" x14ac:dyDescent="0.25">
      <c r="A11">
        <v>9</v>
      </c>
      <c r="B11">
        <v>40</v>
      </c>
      <c r="C11">
        <v>0</v>
      </c>
      <c r="D11" t="s">
        <v>1629</v>
      </c>
      <c r="E11" t="s">
        <v>1629</v>
      </c>
      <c r="F11">
        <v>31</v>
      </c>
      <c r="G11">
        <v>37</v>
      </c>
    </row>
    <row r="12" spans="1:7" x14ac:dyDescent="0.25">
      <c r="A12">
        <v>10</v>
      </c>
      <c r="B12">
        <v>40</v>
      </c>
      <c r="C12">
        <v>0</v>
      </c>
      <c r="D12" t="s">
        <v>8674</v>
      </c>
      <c r="E12" t="s">
        <v>8674</v>
      </c>
      <c r="F12">
        <v>31</v>
      </c>
      <c r="G12">
        <v>37</v>
      </c>
    </row>
    <row r="13" spans="1:7" x14ac:dyDescent="0.25">
      <c r="A13">
        <v>11</v>
      </c>
      <c r="B13">
        <v>40</v>
      </c>
      <c r="C13">
        <v>0</v>
      </c>
      <c r="D13" t="s">
        <v>8675</v>
      </c>
      <c r="E13" t="s">
        <v>8675</v>
      </c>
      <c r="F13">
        <v>31</v>
      </c>
      <c r="G13">
        <v>37</v>
      </c>
    </row>
    <row r="14" spans="1:7" x14ac:dyDescent="0.25">
      <c r="A14">
        <v>12</v>
      </c>
      <c r="B14">
        <v>40</v>
      </c>
      <c r="C14">
        <v>0</v>
      </c>
      <c r="D14" t="s">
        <v>8676</v>
      </c>
      <c r="E14" t="s">
        <v>8676</v>
      </c>
      <c r="F14">
        <v>31</v>
      </c>
      <c r="G14">
        <v>37</v>
      </c>
    </row>
    <row r="15" spans="1:7" x14ac:dyDescent="0.25">
      <c r="A15">
        <v>13</v>
      </c>
      <c r="B15">
        <v>40</v>
      </c>
      <c r="C15">
        <v>0</v>
      </c>
      <c r="D15" t="s">
        <v>8677</v>
      </c>
      <c r="E15" t="s">
        <v>8677</v>
      </c>
      <c r="F15">
        <v>31</v>
      </c>
      <c r="G15">
        <v>37</v>
      </c>
    </row>
    <row r="16" spans="1:7" x14ac:dyDescent="0.25">
      <c r="A16">
        <v>14</v>
      </c>
      <c r="B16">
        <v>40</v>
      </c>
      <c r="C16">
        <v>0</v>
      </c>
      <c r="D16" t="s">
        <v>8678</v>
      </c>
      <c r="E16" t="s">
        <v>8678</v>
      </c>
      <c r="F16">
        <v>31</v>
      </c>
      <c r="G16">
        <v>37</v>
      </c>
    </row>
    <row r="17" spans="1:7" x14ac:dyDescent="0.25">
      <c r="A17">
        <v>15</v>
      </c>
      <c r="B17">
        <v>40</v>
      </c>
      <c r="C17">
        <v>0</v>
      </c>
      <c r="D17" t="s">
        <v>8679</v>
      </c>
      <c r="E17" t="s">
        <v>8679</v>
      </c>
      <c r="F17">
        <v>31</v>
      </c>
      <c r="G17">
        <v>37</v>
      </c>
    </row>
    <row r="18" spans="1:7" x14ac:dyDescent="0.25">
      <c r="A18">
        <v>16</v>
      </c>
      <c r="B18">
        <v>40</v>
      </c>
      <c r="C18">
        <v>0</v>
      </c>
      <c r="D18" t="s">
        <v>8680</v>
      </c>
      <c r="E18" t="s">
        <v>8680</v>
      </c>
      <c r="F18">
        <v>31</v>
      </c>
      <c r="G18">
        <v>37</v>
      </c>
    </row>
    <row r="19" spans="1:7" x14ac:dyDescent="0.25">
      <c r="A19">
        <v>17</v>
      </c>
      <c r="B19">
        <v>40</v>
      </c>
      <c r="C19">
        <v>0</v>
      </c>
      <c r="D19" t="s">
        <v>8681</v>
      </c>
      <c r="E19" t="s">
        <v>8681</v>
      </c>
      <c r="F19">
        <v>31</v>
      </c>
      <c r="G19">
        <v>37</v>
      </c>
    </row>
    <row r="20" spans="1:7" x14ac:dyDescent="0.25">
      <c r="A20">
        <v>18</v>
      </c>
      <c r="B20">
        <v>40</v>
      </c>
      <c r="C20">
        <v>0</v>
      </c>
      <c r="D20" t="s">
        <v>8682</v>
      </c>
      <c r="E20" t="s">
        <v>8682</v>
      </c>
      <c r="F20">
        <v>31</v>
      </c>
      <c r="G20">
        <v>37</v>
      </c>
    </row>
    <row r="21" spans="1:7" x14ac:dyDescent="0.25">
      <c r="A21">
        <v>19</v>
      </c>
      <c r="B21">
        <v>40</v>
      </c>
      <c r="C21">
        <v>0</v>
      </c>
      <c r="D21" t="s">
        <v>8683</v>
      </c>
      <c r="E21" t="s">
        <v>8683</v>
      </c>
      <c r="F21">
        <v>31</v>
      </c>
      <c r="G21">
        <v>37</v>
      </c>
    </row>
    <row r="22" spans="1:7" x14ac:dyDescent="0.25">
      <c r="A22">
        <v>20</v>
      </c>
      <c r="B22">
        <v>40</v>
      </c>
      <c r="C22">
        <v>0</v>
      </c>
      <c r="D22" t="s">
        <v>8684</v>
      </c>
      <c r="E22" t="s">
        <v>8684</v>
      </c>
      <c r="F22">
        <v>31</v>
      </c>
      <c r="G22">
        <v>37</v>
      </c>
    </row>
    <row r="23" spans="1:7" x14ac:dyDescent="0.25">
      <c r="A23">
        <v>21</v>
      </c>
      <c r="B23">
        <v>40</v>
      </c>
      <c r="C23">
        <v>0</v>
      </c>
      <c r="D23" t="s">
        <v>8685</v>
      </c>
      <c r="E23" t="s">
        <v>8685</v>
      </c>
      <c r="F23">
        <v>31</v>
      </c>
      <c r="G23">
        <v>37</v>
      </c>
    </row>
    <row r="24" spans="1:7" x14ac:dyDescent="0.25">
      <c r="A24">
        <v>22</v>
      </c>
      <c r="B24">
        <v>40</v>
      </c>
      <c r="C24">
        <v>0</v>
      </c>
      <c r="D24" t="s">
        <v>8686</v>
      </c>
      <c r="E24" t="s">
        <v>8686</v>
      </c>
      <c r="F24">
        <v>31</v>
      </c>
      <c r="G24">
        <v>37</v>
      </c>
    </row>
    <row r="25" spans="1:7" x14ac:dyDescent="0.25">
      <c r="A25">
        <v>23</v>
      </c>
      <c r="B25">
        <v>40</v>
      </c>
      <c r="C25">
        <v>0</v>
      </c>
      <c r="D25" t="s">
        <v>8687</v>
      </c>
      <c r="E25" t="s">
        <v>8687</v>
      </c>
      <c r="F25">
        <v>31</v>
      </c>
      <c r="G25">
        <v>37</v>
      </c>
    </row>
    <row r="26" spans="1:7" x14ac:dyDescent="0.25">
      <c r="A26">
        <v>24</v>
      </c>
      <c r="B26">
        <v>40</v>
      </c>
      <c r="C26">
        <v>0</v>
      </c>
      <c r="D26" t="s">
        <v>8688</v>
      </c>
      <c r="E26" t="s">
        <v>8688</v>
      </c>
      <c r="F26">
        <v>31</v>
      </c>
      <c r="G26">
        <v>37</v>
      </c>
    </row>
    <row r="27" spans="1:7" x14ac:dyDescent="0.25">
      <c r="A27">
        <v>25</v>
      </c>
      <c r="B27">
        <v>40</v>
      </c>
      <c r="C27">
        <v>0</v>
      </c>
      <c r="D27" t="s">
        <v>7344</v>
      </c>
      <c r="E27" t="s">
        <v>7344</v>
      </c>
      <c r="F27">
        <v>31</v>
      </c>
      <c r="G27">
        <v>37</v>
      </c>
    </row>
    <row r="28" spans="1:7" x14ac:dyDescent="0.25">
      <c r="A28">
        <v>26</v>
      </c>
      <c r="B28">
        <v>40</v>
      </c>
      <c r="C28">
        <v>0</v>
      </c>
      <c r="D28" t="s">
        <v>8689</v>
      </c>
      <c r="E28" t="s">
        <v>8689</v>
      </c>
      <c r="F28">
        <v>31</v>
      </c>
      <c r="G28">
        <v>37</v>
      </c>
    </row>
    <row r="29" spans="1:7" x14ac:dyDescent="0.25">
      <c r="A29">
        <v>27</v>
      </c>
      <c r="B29">
        <v>40</v>
      </c>
      <c r="C29">
        <v>0</v>
      </c>
      <c r="D29" t="s">
        <v>8690</v>
      </c>
      <c r="E29" t="s">
        <v>8690</v>
      </c>
      <c r="F29">
        <v>31</v>
      </c>
      <c r="G29">
        <v>37</v>
      </c>
    </row>
    <row r="30" spans="1:7" x14ac:dyDescent="0.25">
      <c r="A30">
        <v>28</v>
      </c>
      <c r="B30">
        <v>40</v>
      </c>
      <c r="C30">
        <v>0</v>
      </c>
      <c r="D30" t="s">
        <v>8691</v>
      </c>
      <c r="E30" t="s">
        <v>8691</v>
      </c>
      <c r="F30">
        <v>31</v>
      </c>
      <c r="G30">
        <v>37</v>
      </c>
    </row>
    <row r="31" spans="1:7" x14ac:dyDescent="0.25">
      <c r="A31">
        <v>29</v>
      </c>
      <c r="B31">
        <v>40</v>
      </c>
      <c r="C31">
        <v>0</v>
      </c>
      <c r="D31" t="s">
        <v>8692</v>
      </c>
      <c r="E31" t="s">
        <v>8692</v>
      </c>
      <c r="F31">
        <v>31</v>
      </c>
      <c r="G31">
        <v>37</v>
      </c>
    </row>
    <row r="32" spans="1:7" x14ac:dyDescent="0.25">
      <c r="A32">
        <v>30</v>
      </c>
      <c r="B32">
        <v>40</v>
      </c>
      <c r="C32">
        <v>0</v>
      </c>
      <c r="D32" t="s">
        <v>8693</v>
      </c>
      <c r="E32" t="s">
        <v>8693</v>
      </c>
      <c r="F32">
        <v>31</v>
      </c>
      <c r="G32">
        <v>37</v>
      </c>
    </row>
    <row r="33" spans="1:7" x14ac:dyDescent="0.25">
      <c r="A33">
        <v>31</v>
      </c>
      <c r="B33">
        <v>40</v>
      </c>
      <c r="C33">
        <v>0</v>
      </c>
      <c r="D33" t="s">
        <v>599</v>
      </c>
      <c r="E33" t="s">
        <v>599</v>
      </c>
      <c r="F33">
        <v>31</v>
      </c>
      <c r="G33">
        <v>37</v>
      </c>
    </row>
    <row r="34" spans="1:7" x14ac:dyDescent="0.25">
      <c r="A34">
        <v>32</v>
      </c>
      <c r="B34">
        <v>40</v>
      </c>
      <c r="C34">
        <v>0</v>
      </c>
      <c r="D34" t="s">
        <v>1105</v>
      </c>
      <c r="E34" t="s">
        <v>1105</v>
      </c>
      <c r="F34">
        <v>31</v>
      </c>
      <c r="G34">
        <v>38</v>
      </c>
    </row>
    <row r="35" spans="1:7" x14ac:dyDescent="0.25">
      <c r="A35">
        <v>33</v>
      </c>
      <c r="B35">
        <v>40</v>
      </c>
      <c r="C35">
        <v>0</v>
      </c>
      <c r="D35" t="s">
        <v>8694</v>
      </c>
      <c r="E35" t="s">
        <v>8694</v>
      </c>
      <c r="F35">
        <v>31</v>
      </c>
      <c r="G35">
        <v>37</v>
      </c>
    </row>
    <row r="36" spans="1:7" x14ac:dyDescent="0.25">
      <c r="A36">
        <v>34</v>
      </c>
      <c r="B36">
        <v>40</v>
      </c>
      <c r="C36">
        <v>0</v>
      </c>
      <c r="D36" t="s">
        <v>8695</v>
      </c>
      <c r="E36" t="s">
        <v>8695</v>
      </c>
      <c r="F36">
        <v>31</v>
      </c>
      <c r="G36">
        <v>37</v>
      </c>
    </row>
    <row r="37" spans="1:7" x14ac:dyDescent="0.25">
      <c r="A37">
        <v>35</v>
      </c>
      <c r="B37">
        <v>40</v>
      </c>
      <c r="C37">
        <v>0</v>
      </c>
      <c r="D37" t="s">
        <v>8696</v>
      </c>
      <c r="E37" t="s">
        <v>8696</v>
      </c>
      <c r="F37">
        <v>31</v>
      </c>
      <c r="G37">
        <v>37</v>
      </c>
    </row>
    <row r="38" spans="1:7" x14ac:dyDescent="0.25">
      <c r="A38">
        <v>36</v>
      </c>
      <c r="B38">
        <v>54</v>
      </c>
      <c r="C38">
        <v>0</v>
      </c>
      <c r="D38" t="s">
        <v>8697</v>
      </c>
      <c r="E38" t="s">
        <v>8697</v>
      </c>
      <c r="F38">
        <v>32</v>
      </c>
      <c r="G38">
        <v>37</v>
      </c>
    </row>
    <row r="39" spans="1:7" x14ac:dyDescent="0.25">
      <c r="A39">
        <v>37</v>
      </c>
      <c r="B39">
        <v>40</v>
      </c>
      <c r="C39">
        <v>0</v>
      </c>
      <c r="D39" t="s">
        <v>8698</v>
      </c>
      <c r="E39" t="s">
        <v>8698</v>
      </c>
      <c r="F39">
        <v>31</v>
      </c>
      <c r="G39">
        <v>37</v>
      </c>
    </row>
    <row r="40" spans="1:7" x14ac:dyDescent="0.25">
      <c r="A40">
        <v>38</v>
      </c>
      <c r="B40">
        <v>47</v>
      </c>
      <c r="C40">
        <v>0</v>
      </c>
      <c r="D40" t="s">
        <v>8699</v>
      </c>
      <c r="E40" t="s">
        <v>8699</v>
      </c>
      <c r="F40">
        <v>32</v>
      </c>
      <c r="G40">
        <v>38</v>
      </c>
    </row>
    <row r="41" spans="1:7" x14ac:dyDescent="0.25">
      <c r="A41">
        <v>39</v>
      </c>
      <c r="B41">
        <v>54</v>
      </c>
      <c r="C41">
        <v>300</v>
      </c>
      <c r="D41" t="s">
        <v>8700</v>
      </c>
      <c r="E41" t="s">
        <v>8700</v>
      </c>
      <c r="F41">
        <v>32</v>
      </c>
      <c r="G41">
        <v>37</v>
      </c>
    </row>
    <row r="42" spans="1:7" x14ac:dyDescent="0.25">
      <c r="A42">
        <v>40</v>
      </c>
      <c r="B42">
        <v>54</v>
      </c>
      <c r="C42">
        <v>0</v>
      </c>
      <c r="D42" t="s">
        <v>8701</v>
      </c>
      <c r="E42" t="s">
        <v>8701</v>
      </c>
      <c r="F42">
        <v>32</v>
      </c>
      <c r="G42">
        <v>38</v>
      </c>
    </row>
    <row r="43" spans="1:7" x14ac:dyDescent="0.25">
      <c r="A43">
        <v>41</v>
      </c>
      <c r="B43">
        <v>54</v>
      </c>
      <c r="C43">
        <v>0</v>
      </c>
      <c r="D43" t="s">
        <v>8702</v>
      </c>
      <c r="E43" t="s">
        <v>8702</v>
      </c>
      <c r="F43">
        <v>32</v>
      </c>
      <c r="G43">
        <v>38</v>
      </c>
    </row>
    <row r="44" spans="1:7" x14ac:dyDescent="0.25">
      <c r="A44">
        <v>42</v>
      </c>
      <c r="B44">
        <v>66</v>
      </c>
      <c r="C44">
        <v>0</v>
      </c>
      <c r="D44" t="s">
        <v>8703</v>
      </c>
      <c r="E44" t="s">
        <v>8703</v>
      </c>
      <c r="F44">
        <v>32</v>
      </c>
      <c r="G44">
        <v>37</v>
      </c>
    </row>
    <row r="45" spans="1:7" x14ac:dyDescent="0.25">
      <c r="A45">
        <v>43</v>
      </c>
      <c r="B45">
        <v>66</v>
      </c>
      <c r="C45">
        <v>0</v>
      </c>
      <c r="D45" t="s">
        <v>8704</v>
      </c>
      <c r="E45" t="s">
        <v>8704</v>
      </c>
      <c r="F45">
        <v>32</v>
      </c>
      <c r="G45">
        <v>38</v>
      </c>
    </row>
    <row r="46" spans="1:7" x14ac:dyDescent="0.25">
      <c r="A46">
        <v>44</v>
      </c>
      <c r="B46">
        <v>54</v>
      </c>
      <c r="C46">
        <v>0</v>
      </c>
      <c r="D46" t="s">
        <v>8705</v>
      </c>
      <c r="E46" t="s">
        <v>8705</v>
      </c>
      <c r="F46">
        <v>32</v>
      </c>
      <c r="G46">
        <v>37</v>
      </c>
    </row>
    <row r="47" spans="1:7" x14ac:dyDescent="0.25">
      <c r="A47">
        <v>45</v>
      </c>
      <c r="B47">
        <v>77</v>
      </c>
      <c r="C47">
        <v>300</v>
      </c>
      <c r="D47" t="s">
        <v>8706</v>
      </c>
      <c r="E47" t="s">
        <v>8707</v>
      </c>
      <c r="F47">
        <v>31</v>
      </c>
      <c r="G47">
        <v>38</v>
      </c>
    </row>
    <row r="48" spans="1:7" x14ac:dyDescent="0.25">
      <c r="A48">
        <v>46</v>
      </c>
      <c r="B48">
        <v>54</v>
      </c>
      <c r="C48">
        <v>0</v>
      </c>
      <c r="D48" t="s">
        <v>8708</v>
      </c>
      <c r="E48" t="s">
        <v>8708</v>
      </c>
      <c r="F48">
        <v>32</v>
      </c>
      <c r="G48">
        <v>38</v>
      </c>
    </row>
    <row r="49" spans="1:7" x14ac:dyDescent="0.25">
      <c r="A49">
        <v>47</v>
      </c>
      <c r="B49">
        <v>43</v>
      </c>
      <c r="C49">
        <v>0</v>
      </c>
      <c r="D49" t="s">
        <v>8709</v>
      </c>
      <c r="E49" t="s">
        <v>8709</v>
      </c>
      <c r="F49">
        <v>32</v>
      </c>
      <c r="G49">
        <v>38</v>
      </c>
    </row>
    <row r="50" spans="1:7" x14ac:dyDescent="0.25">
      <c r="A50">
        <v>48</v>
      </c>
      <c r="B50">
        <v>11</v>
      </c>
      <c r="C50">
        <v>0</v>
      </c>
      <c r="D50" t="s">
        <v>8710</v>
      </c>
      <c r="E50" t="s">
        <v>8710</v>
      </c>
      <c r="F50">
        <v>32</v>
      </c>
      <c r="G50">
        <v>38</v>
      </c>
    </row>
    <row r="51" spans="1:7" x14ac:dyDescent="0.25">
      <c r="A51">
        <v>49</v>
      </c>
      <c r="B51">
        <v>52</v>
      </c>
      <c r="C51">
        <v>0</v>
      </c>
      <c r="D51" t="s">
        <v>8711</v>
      </c>
      <c r="E51" t="s">
        <v>8711</v>
      </c>
      <c r="F51">
        <v>32</v>
      </c>
      <c r="G51">
        <v>38</v>
      </c>
    </row>
    <row r="52" spans="1:7" x14ac:dyDescent="0.25">
      <c r="A52">
        <v>50</v>
      </c>
      <c r="B52">
        <v>8</v>
      </c>
      <c r="C52">
        <v>0</v>
      </c>
      <c r="D52" t="s">
        <v>8712</v>
      </c>
      <c r="E52" t="s">
        <v>8712</v>
      </c>
      <c r="F52">
        <v>32</v>
      </c>
      <c r="G52">
        <v>37</v>
      </c>
    </row>
    <row r="53" spans="1:7" x14ac:dyDescent="0.25">
      <c r="A53">
        <v>51</v>
      </c>
      <c r="B53">
        <v>54</v>
      </c>
      <c r="C53">
        <v>0</v>
      </c>
      <c r="D53" t="s">
        <v>8713</v>
      </c>
      <c r="E53" t="s">
        <v>8713</v>
      </c>
      <c r="F53">
        <v>32</v>
      </c>
      <c r="G53">
        <v>38</v>
      </c>
    </row>
    <row r="54" spans="1:7" x14ac:dyDescent="0.25">
      <c r="A54">
        <v>52</v>
      </c>
      <c r="B54">
        <v>54</v>
      </c>
      <c r="C54">
        <v>0</v>
      </c>
      <c r="D54" t="s">
        <v>8714</v>
      </c>
      <c r="E54" t="s">
        <v>8714</v>
      </c>
      <c r="F54">
        <v>32</v>
      </c>
      <c r="G54">
        <v>38</v>
      </c>
    </row>
    <row r="55" spans="1:7" x14ac:dyDescent="0.25">
      <c r="A55">
        <v>53</v>
      </c>
      <c r="B55">
        <v>24</v>
      </c>
      <c r="C55">
        <v>0</v>
      </c>
      <c r="D55" t="s">
        <v>8715</v>
      </c>
      <c r="E55" t="s">
        <v>8715</v>
      </c>
      <c r="F55">
        <v>32</v>
      </c>
      <c r="G55">
        <v>38</v>
      </c>
    </row>
    <row r="56" spans="1:7" x14ac:dyDescent="0.25">
      <c r="A56">
        <v>54</v>
      </c>
      <c r="B56">
        <v>54</v>
      </c>
      <c r="C56">
        <v>0</v>
      </c>
      <c r="D56" t="s">
        <v>8716</v>
      </c>
      <c r="E56" t="s">
        <v>8716</v>
      </c>
      <c r="F56">
        <v>32</v>
      </c>
      <c r="G56">
        <v>38</v>
      </c>
    </row>
    <row r="57" spans="1:7" x14ac:dyDescent="0.25">
      <c r="A57">
        <v>55</v>
      </c>
      <c r="B57">
        <v>14</v>
      </c>
      <c r="C57">
        <v>0</v>
      </c>
      <c r="D57" t="s">
        <v>8717</v>
      </c>
      <c r="E57" t="s">
        <v>8717</v>
      </c>
      <c r="F57">
        <v>32</v>
      </c>
      <c r="G57">
        <v>38</v>
      </c>
    </row>
    <row r="58" spans="1:7" x14ac:dyDescent="0.25">
      <c r="A58">
        <v>56</v>
      </c>
      <c r="B58">
        <v>62</v>
      </c>
      <c r="C58">
        <v>0</v>
      </c>
      <c r="D58" t="s">
        <v>8718</v>
      </c>
      <c r="E58" t="s">
        <v>8718</v>
      </c>
      <c r="F58">
        <v>32</v>
      </c>
      <c r="G58">
        <v>37</v>
      </c>
    </row>
    <row r="59" spans="1:7" x14ac:dyDescent="0.25">
      <c r="A59">
        <v>57</v>
      </c>
      <c r="B59">
        <v>54</v>
      </c>
      <c r="C59">
        <v>0</v>
      </c>
      <c r="D59" t="s">
        <v>8719</v>
      </c>
      <c r="E59" t="s">
        <v>8719</v>
      </c>
      <c r="F59">
        <v>32</v>
      </c>
      <c r="G59">
        <v>38</v>
      </c>
    </row>
    <row r="60" spans="1:7" x14ac:dyDescent="0.25">
      <c r="A60">
        <v>58</v>
      </c>
      <c r="B60">
        <v>19</v>
      </c>
      <c r="C60">
        <v>0</v>
      </c>
      <c r="D60" t="s">
        <v>8720</v>
      </c>
      <c r="E60" t="s">
        <v>8720</v>
      </c>
      <c r="F60">
        <v>32</v>
      </c>
      <c r="G60">
        <v>37</v>
      </c>
    </row>
    <row r="61" spans="1:7" x14ac:dyDescent="0.25">
      <c r="A61">
        <v>59</v>
      </c>
      <c r="B61">
        <v>54</v>
      </c>
      <c r="C61">
        <v>0</v>
      </c>
      <c r="D61" t="s">
        <v>8721</v>
      </c>
      <c r="E61" t="s">
        <v>8721</v>
      </c>
      <c r="F61">
        <v>32</v>
      </c>
      <c r="G61">
        <v>38</v>
      </c>
    </row>
    <row r="62" spans="1:7" x14ac:dyDescent="0.25">
      <c r="A62">
        <v>60</v>
      </c>
      <c r="B62">
        <v>54</v>
      </c>
      <c r="C62">
        <v>0</v>
      </c>
      <c r="D62" t="s">
        <v>8722</v>
      </c>
      <c r="E62" t="s">
        <v>8722</v>
      </c>
      <c r="F62">
        <v>32</v>
      </c>
      <c r="G62">
        <v>38</v>
      </c>
    </row>
    <row r="63" spans="1:7" x14ac:dyDescent="0.25">
      <c r="A63">
        <v>61</v>
      </c>
      <c r="B63">
        <v>54</v>
      </c>
      <c r="C63">
        <v>0</v>
      </c>
      <c r="D63" t="s">
        <v>8723</v>
      </c>
      <c r="E63" t="s">
        <v>8723</v>
      </c>
      <c r="F63">
        <v>32</v>
      </c>
      <c r="G63">
        <v>38</v>
      </c>
    </row>
    <row r="64" spans="1:7" x14ac:dyDescent="0.25">
      <c r="A64">
        <v>62</v>
      </c>
      <c r="B64">
        <v>25</v>
      </c>
      <c r="C64">
        <v>0</v>
      </c>
      <c r="D64" t="s">
        <v>8724</v>
      </c>
      <c r="E64" t="s">
        <v>8724</v>
      </c>
      <c r="F64">
        <v>32</v>
      </c>
      <c r="G64">
        <v>37</v>
      </c>
    </row>
    <row r="65" spans="1:7" x14ac:dyDescent="0.25">
      <c r="A65">
        <v>63</v>
      </c>
      <c r="B65">
        <v>25</v>
      </c>
      <c r="C65">
        <v>0</v>
      </c>
      <c r="D65" t="s">
        <v>8725</v>
      </c>
      <c r="E65" t="s">
        <v>8725</v>
      </c>
      <c r="F65">
        <v>32</v>
      </c>
      <c r="G65">
        <v>38</v>
      </c>
    </row>
    <row r="66" spans="1:7" x14ac:dyDescent="0.25">
      <c r="A66">
        <v>64</v>
      </c>
      <c r="B66">
        <v>25</v>
      </c>
      <c r="C66">
        <v>0</v>
      </c>
      <c r="D66" t="s">
        <v>8726</v>
      </c>
      <c r="E66" t="s">
        <v>8726</v>
      </c>
      <c r="F66">
        <v>32</v>
      </c>
      <c r="G66">
        <v>37</v>
      </c>
    </row>
    <row r="67" spans="1:7" x14ac:dyDescent="0.25">
      <c r="A67">
        <v>65</v>
      </c>
      <c r="B67">
        <v>69</v>
      </c>
      <c r="C67">
        <v>0</v>
      </c>
      <c r="D67" t="s">
        <v>8727</v>
      </c>
      <c r="E67" t="s">
        <v>8727</v>
      </c>
      <c r="F67">
        <v>32</v>
      </c>
      <c r="G67">
        <v>38</v>
      </c>
    </row>
    <row r="68" spans="1:7" x14ac:dyDescent="0.25">
      <c r="A68">
        <v>66</v>
      </c>
      <c r="B68">
        <v>54</v>
      </c>
      <c r="C68">
        <v>0</v>
      </c>
      <c r="D68" t="s">
        <v>8728</v>
      </c>
      <c r="E68" t="s">
        <v>8728</v>
      </c>
      <c r="F68">
        <v>32</v>
      </c>
      <c r="G68">
        <v>38</v>
      </c>
    </row>
    <row r="69" spans="1:7" x14ac:dyDescent="0.25">
      <c r="A69">
        <v>67</v>
      </c>
      <c r="B69">
        <v>2</v>
      </c>
      <c r="C69">
        <v>0</v>
      </c>
      <c r="D69" t="s">
        <v>8729</v>
      </c>
      <c r="E69" t="s">
        <v>8729</v>
      </c>
      <c r="F69">
        <v>32</v>
      </c>
      <c r="G69">
        <v>38</v>
      </c>
    </row>
    <row r="70" spans="1:7" x14ac:dyDescent="0.25">
      <c r="A70">
        <v>68</v>
      </c>
      <c r="B70">
        <v>4</v>
      </c>
      <c r="C70">
        <v>0</v>
      </c>
      <c r="D70" t="s">
        <v>8730</v>
      </c>
      <c r="E70" t="s">
        <v>8730</v>
      </c>
      <c r="F70">
        <v>32</v>
      </c>
      <c r="G70">
        <v>38</v>
      </c>
    </row>
    <row r="71" spans="1:7" x14ac:dyDescent="0.25">
      <c r="A71">
        <v>69</v>
      </c>
      <c r="B71">
        <v>69</v>
      </c>
      <c r="C71">
        <v>0</v>
      </c>
      <c r="D71" t="s">
        <v>8731</v>
      </c>
      <c r="E71" t="s">
        <v>8731</v>
      </c>
      <c r="F71">
        <v>32</v>
      </c>
      <c r="G71">
        <v>37</v>
      </c>
    </row>
    <row r="72" spans="1:7" x14ac:dyDescent="0.25">
      <c r="A72">
        <v>70</v>
      </c>
      <c r="B72">
        <v>40</v>
      </c>
      <c r="C72">
        <v>0</v>
      </c>
      <c r="D72" t="s">
        <v>8732</v>
      </c>
      <c r="E72" t="s">
        <v>8732</v>
      </c>
      <c r="F72">
        <v>31</v>
      </c>
      <c r="G72">
        <v>37</v>
      </c>
    </row>
    <row r="73" spans="1:7" x14ac:dyDescent="0.25">
      <c r="A73">
        <v>71</v>
      </c>
      <c r="B73">
        <v>69</v>
      </c>
      <c r="C73">
        <v>0</v>
      </c>
      <c r="D73" t="s">
        <v>8733</v>
      </c>
      <c r="E73" t="s">
        <v>8733</v>
      </c>
      <c r="F73">
        <v>32</v>
      </c>
      <c r="G73">
        <v>38</v>
      </c>
    </row>
    <row r="74" spans="1:7" x14ac:dyDescent="0.25">
      <c r="A74">
        <v>72</v>
      </c>
      <c r="B74">
        <v>25</v>
      </c>
      <c r="C74">
        <v>0</v>
      </c>
      <c r="D74" t="s">
        <v>8734</v>
      </c>
      <c r="E74" t="s">
        <v>8734</v>
      </c>
      <c r="F74">
        <v>32</v>
      </c>
      <c r="G74">
        <v>38</v>
      </c>
    </row>
    <row r="75" spans="1:7" x14ac:dyDescent="0.25">
      <c r="A75">
        <v>73</v>
      </c>
      <c r="B75">
        <v>54</v>
      </c>
      <c r="C75">
        <v>0</v>
      </c>
      <c r="D75" t="s">
        <v>8735</v>
      </c>
      <c r="F75">
        <v>32</v>
      </c>
      <c r="G75">
        <v>37</v>
      </c>
    </row>
    <row r="76" spans="1:7" x14ac:dyDescent="0.25">
      <c r="A76">
        <v>74</v>
      </c>
      <c r="B76">
        <v>23</v>
      </c>
      <c r="C76">
        <v>0</v>
      </c>
      <c r="D76" t="s">
        <v>8736</v>
      </c>
      <c r="E76" t="s">
        <v>8736</v>
      </c>
      <c r="F76">
        <v>32</v>
      </c>
      <c r="G76">
        <v>38</v>
      </c>
    </row>
    <row r="77" spans="1:7" x14ac:dyDescent="0.25">
      <c r="A77">
        <v>75</v>
      </c>
      <c r="B77">
        <v>54</v>
      </c>
      <c r="C77">
        <v>0</v>
      </c>
      <c r="D77" t="s">
        <v>8737</v>
      </c>
      <c r="E77" t="s">
        <v>8737</v>
      </c>
      <c r="F77">
        <v>32</v>
      </c>
      <c r="G77">
        <v>38</v>
      </c>
    </row>
    <row r="78" spans="1:7" x14ac:dyDescent="0.25">
      <c r="A78">
        <v>76</v>
      </c>
      <c r="B78">
        <v>79</v>
      </c>
      <c r="C78">
        <v>0</v>
      </c>
      <c r="D78" t="s">
        <v>8738</v>
      </c>
      <c r="E78" t="s">
        <v>8738</v>
      </c>
      <c r="F78">
        <v>32</v>
      </c>
      <c r="G78">
        <v>38</v>
      </c>
    </row>
    <row r="79" spans="1:7" x14ac:dyDescent="0.25">
      <c r="A79">
        <v>77</v>
      </c>
      <c r="B79">
        <v>40</v>
      </c>
      <c r="C79">
        <v>0</v>
      </c>
      <c r="D79" t="s">
        <v>8739</v>
      </c>
      <c r="E79" t="s">
        <v>8739</v>
      </c>
      <c r="F79">
        <v>31</v>
      </c>
      <c r="G79">
        <v>37</v>
      </c>
    </row>
    <row r="80" spans="1:7" x14ac:dyDescent="0.25">
      <c r="A80">
        <v>78</v>
      </c>
      <c r="B80">
        <v>40</v>
      </c>
      <c r="C80">
        <v>0</v>
      </c>
      <c r="D80" t="s">
        <v>8740</v>
      </c>
      <c r="E80" t="s">
        <v>8740</v>
      </c>
      <c r="F80">
        <v>31</v>
      </c>
      <c r="G80">
        <v>37</v>
      </c>
    </row>
    <row r="81" spans="1:7" x14ac:dyDescent="0.25">
      <c r="A81">
        <v>79</v>
      </c>
      <c r="B81">
        <v>40</v>
      </c>
      <c r="C81">
        <v>0</v>
      </c>
      <c r="D81" t="s">
        <v>8741</v>
      </c>
      <c r="E81" t="s">
        <v>8741</v>
      </c>
      <c r="F81">
        <v>31</v>
      </c>
      <c r="G81">
        <v>37</v>
      </c>
    </row>
    <row r="82" spans="1:7" x14ac:dyDescent="0.25">
      <c r="A82">
        <v>80</v>
      </c>
      <c r="B82">
        <v>40</v>
      </c>
      <c r="C82">
        <v>0</v>
      </c>
      <c r="D82" t="s">
        <v>8742</v>
      </c>
      <c r="E82" t="s">
        <v>8742</v>
      </c>
      <c r="F82">
        <v>31</v>
      </c>
      <c r="G82">
        <v>37</v>
      </c>
    </row>
    <row r="83" spans="1:7" x14ac:dyDescent="0.25">
      <c r="A83">
        <v>81</v>
      </c>
      <c r="B83">
        <v>40</v>
      </c>
      <c r="C83">
        <v>0</v>
      </c>
      <c r="D83" t="s">
        <v>8743</v>
      </c>
      <c r="E83" t="s">
        <v>8743</v>
      </c>
      <c r="F83">
        <v>31</v>
      </c>
      <c r="G83">
        <v>37</v>
      </c>
    </row>
    <row r="84" spans="1:7" x14ac:dyDescent="0.25">
      <c r="A84">
        <v>82</v>
      </c>
      <c r="B84">
        <v>40</v>
      </c>
      <c r="C84">
        <v>0</v>
      </c>
      <c r="D84" t="s">
        <v>8744</v>
      </c>
      <c r="E84" t="s">
        <v>8744</v>
      </c>
      <c r="F84">
        <v>31</v>
      </c>
      <c r="G84">
        <v>37</v>
      </c>
    </row>
    <row r="85" spans="1:7" x14ac:dyDescent="0.25">
      <c r="A85">
        <v>83</v>
      </c>
      <c r="B85">
        <v>40</v>
      </c>
      <c r="C85">
        <v>0</v>
      </c>
      <c r="D85" t="s">
        <v>8745</v>
      </c>
      <c r="E85" t="s">
        <v>8745</v>
      </c>
      <c r="F85">
        <v>31</v>
      </c>
      <c r="G85">
        <v>37</v>
      </c>
    </row>
    <row r="86" spans="1:7" x14ac:dyDescent="0.25">
      <c r="A86">
        <v>84</v>
      </c>
      <c r="B86">
        <v>40</v>
      </c>
      <c r="C86">
        <v>0</v>
      </c>
      <c r="D86" t="s">
        <v>8746</v>
      </c>
      <c r="E86" t="s">
        <v>8746</v>
      </c>
      <c r="F86">
        <v>31</v>
      </c>
      <c r="G86">
        <v>37</v>
      </c>
    </row>
    <row r="87" spans="1:7" x14ac:dyDescent="0.25">
      <c r="A87">
        <v>85</v>
      </c>
      <c r="B87">
        <v>40</v>
      </c>
      <c r="C87">
        <v>0</v>
      </c>
      <c r="D87" t="s">
        <v>8747</v>
      </c>
      <c r="E87" t="s">
        <v>8747</v>
      </c>
      <c r="F87">
        <v>31</v>
      </c>
      <c r="G87">
        <v>37</v>
      </c>
    </row>
    <row r="88" spans="1:7" x14ac:dyDescent="0.25">
      <c r="A88">
        <v>86</v>
      </c>
      <c r="B88">
        <v>40</v>
      </c>
      <c r="C88">
        <v>0</v>
      </c>
      <c r="D88" t="s">
        <v>8748</v>
      </c>
      <c r="E88" t="s">
        <v>8748</v>
      </c>
      <c r="F88">
        <v>31</v>
      </c>
      <c r="G88">
        <v>37</v>
      </c>
    </row>
    <row r="89" spans="1:7" x14ac:dyDescent="0.25">
      <c r="A89">
        <v>87</v>
      </c>
      <c r="B89">
        <v>40</v>
      </c>
      <c r="C89">
        <v>300</v>
      </c>
      <c r="D89" t="s">
        <v>8749</v>
      </c>
      <c r="E89" t="s">
        <v>8749</v>
      </c>
      <c r="F89">
        <v>31</v>
      </c>
      <c r="G89">
        <v>37</v>
      </c>
    </row>
    <row r="90" spans="1:7" x14ac:dyDescent="0.25">
      <c r="A90">
        <v>88</v>
      </c>
      <c r="B90">
        <v>40</v>
      </c>
      <c r="C90">
        <v>0</v>
      </c>
      <c r="D90" t="s">
        <v>1101</v>
      </c>
      <c r="E90" t="s">
        <v>1101</v>
      </c>
      <c r="F90">
        <v>31</v>
      </c>
      <c r="G90">
        <v>37</v>
      </c>
    </row>
    <row r="91" spans="1:7" x14ac:dyDescent="0.25">
      <c r="A91">
        <v>89</v>
      </c>
      <c r="B91">
        <v>40</v>
      </c>
      <c r="C91">
        <v>200</v>
      </c>
      <c r="D91" t="s">
        <v>1060</v>
      </c>
      <c r="E91" t="s">
        <v>1060</v>
      </c>
      <c r="F91">
        <v>31</v>
      </c>
      <c r="G91">
        <v>37</v>
      </c>
    </row>
    <row r="92" spans="1:7" x14ac:dyDescent="0.25">
      <c r="A92">
        <v>90</v>
      </c>
      <c r="B92">
        <v>40</v>
      </c>
      <c r="C92">
        <v>0</v>
      </c>
      <c r="D92" t="s">
        <v>8750</v>
      </c>
      <c r="E92" t="s">
        <v>8750</v>
      </c>
      <c r="F92">
        <v>31</v>
      </c>
      <c r="G92">
        <v>37</v>
      </c>
    </row>
    <row r="93" spans="1:7" x14ac:dyDescent="0.25">
      <c r="A93">
        <v>91</v>
      </c>
      <c r="B93">
        <v>40</v>
      </c>
      <c r="C93">
        <v>0</v>
      </c>
      <c r="D93" t="s">
        <v>8751</v>
      </c>
      <c r="E93" t="s">
        <v>8751</v>
      </c>
      <c r="F93">
        <v>31</v>
      </c>
      <c r="G93">
        <v>37</v>
      </c>
    </row>
    <row r="94" spans="1:7" x14ac:dyDescent="0.25">
      <c r="A94">
        <v>92</v>
      </c>
      <c r="B94">
        <v>8</v>
      </c>
      <c r="C94">
        <v>0</v>
      </c>
      <c r="D94" t="s">
        <v>8752</v>
      </c>
      <c r="E94" t="s">
        <v>8752</v>
      </c>
      <c r="F94">
        <v>32</v>
      </c>
      <c r="G94">
        <v>37</v>
      </c>
    </row>
    <row r="95" spans="1:7" x14ac:dyDescent="0.25">
      <c r="A95">
        <v>93</v>
      </c>
      <c r="B95">
        <v>40</v>
      </c>
      <c r="C95">
        <v>0</v>
      </c>
      <c r="D95" t="s">
        <v>8753</v>
      </c>
      <c r="E95" t="s">
        <v>8753</v>
      </c>
      <c r="F95">
        <v>31</v>
      </c>
      <c r="G95">
        <v>37</v>
      </c>
    </row>
    <row r="96" spans="1:7" x14ac:dyDescent="0.25">
      <c r="A96">
        <v>94</v>
      </c>
      <c r="B96">
        <v>8</v>
      </c>
      <c r="C96">
        <v>0</v>
      </c>
      <c r="D96" t="s">
        <v>8754</v>
      </c>
      <c r="E96" t="s">
        <v>8754</v>
      </c>
      <c r="F96">
        <v>32</v>
      </c>
      <c r="G96">
        <v>38</v>
      </c>
    </row>
    <row r="97" spans="1:7" x14ac:dyDescent="0.25">
      <c r="A97">
        <v>95</v>
      </c>
      <c r="B97">
        <v>54</v>
      </c>
      <c r="C97">
        <v>0</v>
      </c>
      <c r="D97" t="s">
        <v>8755</v>
      </c>
      <c r="F97">
        <v>32</v>
      </c>
      <c r="G97">
        <v>37</v>
      </c>
    </row>
    <row r="98" spans="1:7" x14ac:dyDescent="0.25">
      <c r="A98">
        <v>96</v>
      </c>
      <c r="B98">
        <v>69</v>
      </c>
      <c r="C98">
        <v>0</v>
      </c>
      <c r="D98" t="s">
        <v>8756</v>
      </c>
      <c r="E98" t="s">
        <v>8756</v>
      </c>
      <c r="F98">
        <v>32</v>
      </c>
      <c r="G98">
        <v>38</v>
      </c>
    </row>
    <row r="99" spans="1:7" x14ac:dyDescent="0.25">
      <c r="A99">
        <v>97</v>
      </c>
      <c r="B99">
        <v>58</v>
      </c>
      <c r="C99">
        <v>0</v>
      </c>
      <c r="D99" t="s">
        <v>8757</v>
      </c>
      <c r="E99" t="s">
        <v>8757</v>
      </c>
      <c r="F99">
        <v>32</v>
      </c>
      <c r="G99">
        <v>38</v>
      </c>
    </row>
    <row r="100" spans="1:7" x14ac:dyDescent="0.25">
      <c r="A100">
        <v>98</v>
      </c>
      <c r="B100">
        <v>23</v>
      </c>
      <c r="C100">
        <v>0</v>
      </c>
      <c r="D100" t="s">
        <v>8758</v>
      </c>
      <c r="E100" t="s">
        <v>8758</v>
      </c>
      <c r="F100">
        <v>32</v>
      </c>
      <c r="G100">
        <v>38</v>
      </c>
    </row>
    <row r="101" spans="1:7" x14ac:dyDescent="0.25">
      <c r="A101">
        <v>99</v>
      </c>
      <c r="B101">
        <v>40</v>
      </c>
      <c r="C101">
        <v>0</v>
      </c>
      <c r="D101" t="s">
        <v>8759</v>
      </c>
      <c r="E101" t="s">
        <v>8759</v>
      </c>
      <c r="F101">
        <v>31</v>
      </c>
      <c r="G101">
        <v>37</v>
      </c>
    </row>
    <row r="102" spans="1:7" x14ac:dyDescent="0.25">
      <c r="A102">
        <v>100</v>
      </c>
      <c r="B102">
        <v>54</v>
      </c>
      <c r="C102">
        <v>0</v>
      </c>
      <c r="D102" t="s">
        <v>8760</v>
      </c>
      <c r="E102" t="s">
        <v>8760</v>
      </c>
      <c r="F102">
        <v>32</v>
      </c>
      <c r="G102">
        <v>38</v>
      </c>
    </row>
    <row r="103" spans="1:7" x14ac:dyDescent="0.25">
      <c r="A103">
        <v>101</v>
      </c>
      <c r="B103">
        <v>25</v>
      </c>
      <c r="C103">
        <v>0</v>
      </c>
      <c r="D103" t="s">
        <v>8761</v>
      </c>
      <c r="E103" t="s">
        <v>8761</v>
      </c>
      <c r="F103">
        <v>32</v>
      </c>
      <c r="G103">
        <v>37</v>
      </c>
    </row>
    <row r="104" spans="1:7" x14ac:dyDescent="0.25">
      <c r="A104">
        <v>102</v>
      </c>
      <c r="B104">
        <v>40</v>
      </c>
      <c r="C104">
        <v>0</v>
      </c>
      <c r="D104" t="s">
        <v>8762</v>
      </c>
      <c r="E104" t="s">
        <v>8762</v>
      </c>
      <c r="F104">
        <v>32</v>
      </c>
      <c r="G104">
        <v>37</v>
      </c>
    </row>
    <row r="105" spans="1:7" x14ac:dyDescent="0.25">
      <c r="A105">
        <v>103</v>
      </c>
      <c r="B105">
        <v>25</v>
      </c>
      <c r="C105">
        <v>0</v>
      </c>
      <c r="D105" t="s">
        <v>8763</v>
      </c>
      <c r="E105" t="s">
        <v>8763</v>
      </c>
      <c r="F105">
        <v>32</v>
      </c>
      <c r="G105">
        <v>38</v>
      </c>
    </row>
    <row r="106" spans="1:7" x14ac:dyDescent="0.25">
      <c r="A106">
        <v>104</v>
      </c>
      <c r="B106">
        <v>25</v>
      </c>
      <c r="C106">
        <v>0</v>
      </c>
      <c r="D106" t="s">
        <v>1535</v>
      </c>
      <c r="E106" t="s">
        <v>1535</v>
      </c>
      <c r="F106">
        <v>32</v>
      </c>
      <c r="G106">
        <v>38</v>
      </c>
    </row>
    <row r="107" spans="1:7" x14ac:dyDescent="0.25">
      <c r="A107">
        <v>105</v>
      </c>
      <c r="B107">
        <v>4</v>
      </c>
      <c r="C107">
        <v>0</v>
      </c>
      <c r="D107" t="s">
        <v>8764</v>
      </c>
      <c r="E107" t="s">
        <v>8764</v>
      </c>
      <c r="F107">
        <v>32</v>
      </c>
      <c r="G107">
        <v>38</v>
      </c>
    </row>
    <row r="108" spans="1:7" x14ac:dyDescent="0.25">
      <c r="A108">
        <v>106</v>
      </c>
      <c r="B108">
        <v>54</v>
      </c>
      <c r="C108">
        <v>0</v>
      </c>
      <c r="D108" t="s">
        <v>8765</v>
      </c>
      <c r="E108" t="s">
        <v>8765</v>
      </c>
      <c r="F108">
        <v>32</v>
      </c>
      <c r="G108">
        <v>38</v>
      </c>
    </row>
    <row r="109" spans="1:7" x14ac:dyDescent="0.25">
      <c r="A109">
        <v>107</v>
      </c>
      <c r="B109">
        <v>25</v>
      </c>
      <c r="C109">
        <v>0</v>
      </c>
      <c r="D109" t="s">
        <v>8766</v>
      </c>
      <c r="E109" t="s">
        <v>8766</v>
      </c>
      <c r="F109">
        <v>32</v>
      </c>
      <c r="G109">
        <v>37</v>
      </c>
    </row>
    <row r="110" spans="1:7" x14ac:dyDescent="0.25">
      <c r="A110">
        <v>108</v>
      </c>
      <c r="B110">
        <v>14</v>
      </c>
      <c r="C110">
        <v>0</v>
      </c>
      <c r="D110" t="s">
        <v>8767</v>
      </c>
      <c r="E110" t="s">
        <v>8767</v>
      </c>
      <c r="F110">
        <v>32</v>
      </c>
      <c r="G110">
        <v>37</v>
      </c>
    </row>
    <row r="111" spans="1:7" x14ac:dyDescent="0.25">
      <c r="A111">
        <v>109</v>
      </c>
      <c r="B111">
        <v>54</v>
      </c>
      <c r="C111">
        <v>0</v>
      </c>
      <c r="D111" t="s">
        <v>8768</v>
      </c>
      <c r="E111" t="s">
        <v>8768</v>
      </c>
      <c r="F111">
        <v>32</v>
      </c>
      <c r="G111">
        <v>37</v>
      </c>
    </row>
    <row r="112" spans="1:7" x14ac:dyDescent="0.25">
      <c r="A112">
        <v>110</v>
      </c>
      <c r="B112">
        <v>54</v>
      </c>
      <c r="C112">
        <v>0</v>
      </c>
      <c r="D112" t="s">
        <v>8769</v>
      </c>
      <c r="E112" t="s">
        <v>8769</v>
      </c>
      <c r="F112">
        <v>32</v>
      </c>
      <c r="G112">
        <v>37</v>
      </c>
    </row>
    <row r="113" spans="1:7" x14ac:dyDescent="0.25">
      <c r="A113">
        <v>111</v>
      </c>
      <c r="B113">
        <v>84</v>
      </c>
      <c r="C113">
        <v>0</v>
      </c>
      <c r="D113" t="s">
        <v>8770</v>
      </c>
      <c r="E113" t="s">
        <v>8770</v>
      </c>
      <c r="F113">
        <v>32</v>
      </c>
      <c r="G113">
        <v>37</v>
      </c>
    </row>
    <row r="114" spans="1:7" x14ac:dyDescent="0.25">
      <c r="A114">
        <v>112</v>
      </c>
      <c r="B114">
        <v>25</v>
      </c>
      <c r="C114">
        <v>0</v>
      </c>
      <c r="D114" t="s">
        <v>8771</v>
      </c>
      <c r="E114" t="s">
        <v>8771</v>
      </c>
      <c r="F114">
        <v>32</v>
      </c>
      <c r="G114">
        <v>37</v>
      </c>
    </row>
    <row r="115" spans="1:7" x14ac:dyDescent="0.25">
      <c r="A115">
        <v>113</v>
      </c>
      <c r="B115">
        <v>25</v>
      </c>
      <c r="C115">
        <v>0</v>
      </c>
      <c r="D115" t="s">
        <v>8772</v>
      </c>
      <c r="E115" t="s">
        <v>8772</v>
      </c>
      <c r="F115">
        <v>32</v>
      </c>
      <c r="G115">
        <v>37</v>
      </c>
    </row>
    <row r="116" spans="1:7" x14ac:dyDescent="0.25">
      <c r="A116">
        <v>114</v>
      </c>
      <c r="B116">
        <v>54</v>
      </c>
      <c r="C116">
        <v>0</v>
      </c>
      <c r="D116" t="s">
        <v>8773</v>
      </c>
      <c r="E116" t="s">
        <v>8773</v>
      </c>
      <c r="F116">
        <v>32</v>
      </c>
      <c r="G116">
        <v>37</v>
      </c>
    </row>
    <row r="117" spans="1:7" x14ac:dyDescent="0.25">
      <c r="A117">
        <v>115</v>
      </c>
      <c r="B117">
        <v>24</v>
      </c>
      <c r="C117">
        <v>0</v>
      </c>
      <c r="D117" t="s">
        <v>8774</v>
      </c>
      <c r="E117" t="s">
        <v>8774</v>
      </c>
      <c r="F117">
        <v>32</v>
      </c>
      <c r="G117">
        <v>37</v>
      </c>
    </row>
    <row r="118" spans="1:7" x14ac:dyDescent="0.25">
      <c r="A118">
        <v>116</v>
      </c>
      <c r="B118">
        <v>25</v>
      </c>
      <c r="C118">
        <v>0</v>
      </c>
      <c r="D118" t="s">
        <v>8775</v>
      </c>
      <c r="E118" t="s">
        <v>8775</v>
      </c>
      <c r="F118">
        <v>32</v>
      </c>
      <c r="G118">
        <v>37</v>
      </c>
    </row>
    <row r="119" spans="1:7" x14ac:dyDescent="0.25">
      <c r="A119">
        <v>117</v>
      </c>
      <c r="B119">
        <v>8</v>
      </c>
      <c r="C119">
        <v>0</v>
      </c>
      <c r="D119" t="s">
        <v>8776</v>
      </c>
      <c r="E119" t="s">
        <v>8776</v>
      </c>
      <c r="F119">
        <v>32</v>
      </c>
      <c r="G119">
        <v>37</v>
      </c>
    </row>
    <row r="120" spans="1:7" x14ac:dyDescent="0.25">
      <c r="A120">
        <v>118</v>
      </c>
      <c r="B120">
        <v>25</v>
      </c>
      <c r="C120">
        <v>0</v>
      </c>
      <c r="D120" t="s">
        <v>8777</v>
      </c>
      <c r="E120" t="s">
        <v>8777</v>
      </c>
      <c r="F120">
        <v>32</v>
      </c>
      <c r="G120">
        <v>37</v>
      </c>
    </row>
    <row r="121" spans="1:7" x14ac:dyDescent="0.25">
      <c r="A121">
        <v>119</v>
      </c>
      <c r="B121">
        <v>24</v>
      </c>
      <c r="C121">
        <v>0</v>
      </c>
      <c r="D121" t="s">
        <v>8778</v>
      </c>
      <c r="E121" t="s">
        <v>8778</v>
      </c>
      <c r="F121">
        <v>32</v>
      </c>
      <c r="G121">
        <v>37</v>
      </c>
    </row>
    <row r="122" spans="1:7" x14ac:dyDescent="0.25">
      <c r="A122">
        <v>120</v>
      </c>
      <c r="B122">
        <v>84</v>
      </c>
      <c r="C122">
        <v>0</v>
      </c>
      <c r="D122" t="s">
        <v>8779</v>
      </c>
      <c r="E122" t="s">
        <v>8779</v>
      </c>
      <c r="F122">
        <v>32</v>
      </c>
      <c r="G122">
        <v>37</v>
      </c>
    </row>
    <row r="123" spans="1:7" x14ac:dyDescent="0.25">
      <c r="A123">
        <v>121</v>
      </c>
      <c r="B123">
        <v>54</v>
      </c>
      <c r="C123">
        <v>0</v>
      </c>
      <c r="D123" t="s">
        <v>8780</v>
      </c>
      <c r="E123" t="s">
        <v>8780</v>
      </c>
      <c r="F123">
        <v>32</v>
      </c>
      <c r="G123">
        <v>37</v>
      </c>
    </row>
    <row r="124" spans="1:7" x14ac:dyDescent="0.25">
      <c r="A124">
        <v>122</v>
      </c>
      <c r="B124">
        <v>8</v>
      </c>
      <c r="C124">
        <v>0</v>
      </c>
      <c r="D124" t="s">
        <v>8781</v>
      </c>
      <c r="E124" t="s">
        <v>8781</v>
      </c>
      <c r="F124">
        <v>32</v>
      </c>
      <c r="G124">
        <v>37</v>
      </c>
    </row>
    <row r="125" spans="1:7" x14ac:dyDescent="0.25">
      <c r="A125">
        <v>123</v>
      </c>
      <c r="B125">
        <v>24</v>
      </c>
      <c r="C125">
        <v>0</v>
      </c>
      <c r="D125" t="s">
        <v>8782</v>
      </c>
      <c r="E125" t="s">
        <v>8782</v>
      </c>
      <c r="F125">
        <v>32</v>
      </c>
      <c r="G125">
        <v>37</v>
      </c>
    </row>
    <row r="126" spans="1:7" x14ac:dyDescent="0.25">
      <c r="A126">
        <v>124</v>
      </c>
      <c r="B126">
        <v>54</v>
      </c>
      <c r="C126">
        <v>0</v>
      </c>
      <c r="D126" t="s">
        <v>8783</v>
      </c>
      <c r="E126" t="s">
        <v>8783</v>
      </c>
      <c r="F126">
        <v>32</v>
      </c>
      <c r="G126">
        <v>37</v>
      </c>
    </row>
    <row r="127" spans="1:7" x14ac:dyDescent="0.25">
      <c r="A127">
        <v>125</v>
      </c>
      <c r="B127">
        <v>23</v>
      </c>
      <c r="C127">
        <v>0</v>
      </c>
      <c r="D127" t="s">
        <v>8784</v>
      </c>
      <c r="E127" t="s">
        <v>8784</v>
      </c>
      <c r="F127">
        <v>32</v>
      </c>
      <c r="G127">
        <v>37</v>
      </c>
    </row>
    <row r="128" spans="1:7" x14ac:dyDescent="0.25">
      <c r="A128">
        <v>126</v>
      </c>
      <c r="B128">
        <v>69</v>
      </c>
      <c r="C128">
        <v>0</v>
      </c>
      <c r="D128" t="s">
        <v>8785</v>
      </c>
      <c r="E128" t="s">
        <v>8785</v>
      </c>
      <c r="F128">
        <v>32</v>
      </c>
      <c r="G128">
        <v>37</v>
      </c>
    </row>
    <row r="129" spans="1:7" x14ac:dyDescent="0.25">
      <c r="A129">
        <v>127</v>
      </c>
      <c r="B129">
        <v>42</v>
      </c>
      <c r="C129">
        <v>0</v>
      </c>
      <c r="D129" t="s">
        <v>8786</v>
      </c>
      <c r="E129" t="s">
        <v>8786</v>
      </c>
      <c r="F129">
        <v>32</v>
      </c>
      <c r="G129">
        <v>37</v>
      </c>
    </row>
    <row r="130" spans="1:7" x14ac:dyDescent="0.25">
      <c r="A130">
        <v>128</v>
      </c>
      <c r="B130">
        <v>25</v>
      </c>
      <c r="C130">
        <v>0</v>
      </c>
      <c r="D130" t="s">
        <v>8787</v>
      </c>
      <c r="E130" t="s">
        <v>8787</v>
      </c>
      <c r="F130">
        <v>32</v>
      </c>
      <c r="G130">
        <v>37</v>
      </c>
    </row>
    <row r="131" spans="1:7" x14ac:dyDescent="0.25">
      <c r="A131">
        <v>129</v>
      </c>
      <c r="B131">
        <v>54</v>
      </c>
      <c r="C131">
        <v>0</v>
      </c>
      <c r="D131" t="s">
        <v>8788</v>
      </c>
      <c r="E131" t="s">
        <v>8788</v>
      </c>
      <c r="F131">
        <v>32</v>
      </c>
      <c r="G131">
        <v>37</v>
      </c>
    </row>
    <row r="132" spans="1:7" x14ac:dyDescent="0.25">
      <c r="A132">
        <v>130</v>
      </c>
      <c r="B132">
        <v>58</v>
      </c>
      <c r="C132">
        <v>0</v>
      </c>
      <c r="D132" t="s">
        <v>8789</v>
      </c>
      <c r="E132" t="s">
        <v>8789</v>
      </c>
      <c r="F132">
        <v>32</v>
      </c>
      <c r="G132">
        <v>37</v>
      </c>
    </row>
    <row r="133" spans="1:7" x14ac:dyDescent="0.25">
      <c r="A133">
        <v>131</v>
      </c>
      <c r="B133">
        <v>25</v>
      </c>
      <c r="C133">
        <v>0</v>
      </c>
      <c r="D133" t="s">
        <v>8790</v>
      </c>
      <c r="E133" t="s">
        <v>8790</v>
      </c>
      <c r="F133">
        <v>32</v>
      </c>
      <c r="G133">
        <v>37</v>
      </c>
    </row>
    <row r="134" spans="1:7" x14ac:dyDescent="0.25">
      <c r="A134">
        <v>132</v>
      </c>
      <c r="B134">
        <v>54</v>
      </c>
      <c r="C134">
        <v>0</v>
      </c>
      <c r="D134" t="s">
        <v>8791</v>
      </c>
      <c r="E134" t="s">
        <v>8791</v>
      </c>
      <c r="F134">
        <v>32</v>
      </c>
      <c r="G134">
        <v>37</v>
      </c>
    </row>
    <row r="135" spans="1:7" x14ac:dyDescent="0.25">
      <c r="A135">
        <v>133</v>
      </c>
      <c r="B135">
        <v>84</v>
      </c>
      <c r="C135">
        <v>0</v>
      </c>
      <c r="D135" t="s">
        <v>8792</v>
      </c>
      <c r="E135" t="s">
        <v>8792</v>
      </c>
      <c r="F135">
        <v>32</v>
      </c>
      <c r="G135">
        <v>37</v>
      </c>
    </row>
    <row r="136" spans="1:7" x14ac:dyDescent="0.25">
      <c r="A136">
        <v>134</v>
      </c>
      <c r="B136">
        <v>56</v>
      </c>
      <c r="C136">
        <v>0</v>
      </c>
      <c r="D136" t="s">
        <v>8793</v>
      </c>
      <c r="E136" t="s">
        <v>8793</v>
      </c>
      <c r="F136">
        <v>32</v>
      </c>
      <c r="G136">
        <v>37</v>
      </c>
    </row>
    <row r="137" spans="1:7" x14ac:dyDescent="0.25">
      <c r="A137">
        <v>135</v>
      </c>
      <c r="B137">
        <v>54</v>
      </c>
      <c r="C137">
        <v>0</v>
      </c>
      <c r="D137" t="s">
        <v>8794</v>
      </c>
      <c r="E137" t="s">
        <v>8794</v>
      </c>
      <c r="F137">
        <v>32</v>
      </c>
      <c r="G137">
        <v>37</v>
      </c>
    </row>
    <row r="138" spans="1:7" x14ac:dyDescent="0.25">
      <c r="A138">
        <v>136</v>
      </c>
      <c r="B138">
        <v>4</v>
      </c>
      <c r="C138">
        <v>0</v>
      </c>
      <c r="D138" t="s">
        <v>8795</v>
      </c>
      <c r="E138" t="s">
        <v>8795</v>
      </c>
      <c r="F138">
        <v>32</v>
      </c>
      <c r="G138">
        <v>37</v>
      </c>
    </row>
    <row r="139" spans="1:7" x14ac:dyDescent="0.25">
      <c r="A139">
        <v>137</v>
      </c>
      <c r="B139">
        <v>54</v>
      </c>
      <c r="C139">
        <v>0</v>
      </c>
      <c r="D139" t="s">
        <v>8796</v>
      </c>
      <c r="E139" t="s">
        <v>8796</v>
      </c>
      <c r="F139">
        <v>32</v>
      </c>
      <c r="G139">
        <v>37</v>
      </c>
    </row>
    <row r="140" spans="1:7" x14ac:dyDescent="0.25">
      <c r="A140">
        <v>138</v>
      </c>
      <c r="B140">
        <v>54</v>
      </c>
      <c r="C140">
        <v>0</v>
      </c>
      <c r="D140" t="s">
        <v>8797</v>
      </c>
      <c r="E140" t="s">
        <v>8797</v>
      </c>
      <c r="F140">
        <v>32</v>
      </c>
      <c r="G140">
        <v>37</v>
      </c>
    </row>
    <row r="141" spans="1:7" x14ac:dyDescent="0.25">
      <c r="A141">
        <v>139</v>
      </c>
      <c r="B141">
        <v>69</v>
      </c>
      <c r="C141">
        <v>0</v>
      </c>
      <c r="D141" t="s">
        <v>8798</v>
      </c>
      <c r="E141" t="s">
        <v>8798</v>
      </c>
      <c r="F141">
        <v>32</v>
      </c>
      <c r="G141">
        <v>37</v>
      </c>
    </row>
    <row r="142" spans="1:7" x14ac:dyDescent="0.25">
      <c r="A142">
        <v>140</v>
      </c>
      <c r="B142">
        <v>33</v>
      </c>
      <c r="C142">
        <v>0</v>
      </c>
      <c r="D142" t="s">
        <v>8799</v>
      </c>
      <c r="E142" t="s">
        <v>8799</v>
      </c>
      <c r="F142">
        <v>32</v>
      </c>
      <c r="G142">
        <v>37</v>
      </c>
    </row>
    <row r="143" spans="1:7" x14ac:dyDescent="0.25">
      <c r="A143">
        <v>141</v>
      </c>
      <c r="B143">
        <v>23</v>
      </c>
      <c r="C143">
        <v>0</v>
      </c>
      <c r="D143" t="s">
        <v>8800</v>
      </c>
      <c r="E143" t="s">
        <v>8800</v>
      </c>
      <c r="F143">
        <v>32</v>
      </c>
      <c r="G143">
        <v>37</v>
      </c>
    </row>
    <row r="144" spans="1:7" x14ac:dyDescent="0.25">
      <c r="A144">
        <v>142</v>
      </c>
      <c r="B144">
        <v>58</v>
      </c>
      <c r="C144">
        <v>0</v>
      </c>
      <c r="D144" t="s">
        <v>8801</v>
      </c>
      <c r="E144" t="s">
        <v>8801</v>
      </c>
      <c r="F144">
        <v>32</v>
      </c>
      <c r="G144">
        <v>37</v>
      </c>
    </row>
    <row r="145" spans="1:7" x14ac:dyDescent="0.25">
      <c r="A145">
        <v>143</v>
      </c>
      <c r="B145">
        <v>6</v>
      </c>
      <c r="C145">
        <v>0</v>
      </c>
      <c r="D145" t="s">
        <v>8802</v>
      </c>
      <c r="E145" t="s">
        <v>8802</v>
      </c>
      <c r="F145">
        <v>32</v>
      </c>
      <c r="G145">
        <v>37</v>
      </c>
    </row>
    <row r="146" spans="1:7" x14ac:dyDescent="0.25">
      <c r="A146">
        <v>144</v>
      </c>
      <c r="B146">
        <v>54</v>
      </c>
      <c r="C146">
        <v>0</v>
      </c>
      <c r="D146" t="s">
        <v>8803</v>
      </c>
      <c r="E146" t="s">
        <v>8803</v>
      </c>
      <c r="F146">
        <v>32</v>
      </c>
      <c r="G146">
        <v>37</v>
      </c>
    </row>
    <row r="147" spans="1:7" x14ac:dyDescent="0.25">
      <c r="A147">
        <v>145</v>
      </c>
      <c r="B147">
        <v>25</v>
      </c>
      <c r="C147">
        <v>0</v>
      </c>
      <c r="D147" t="s">
        <v>8804</v>
      </c>
      <c r="E147" t="s">
        <v>8804</v>
      </c>
      <c r="F147">
        <v>32</v>
      </c>
      <c r="G147">
        <v>37</v>
      </c>
    </row>
    <row r="148" spans="1:7" x14ac:dyDescent="0.25">
      <c r="A148">
        <v>146</v>
      </c>
      <c r="B148">
        <v>52</v>
      </c>
      <c r="C148">
        <v>0</v>
      </c>
      <c r="D148" t="s">
        <v>8805</v>
      </c>
      <c r="E148" t="s">
        <v>8805</v>
      </c>
      <c r="F148">
        <v>32</v>
      </c>
      <c r="G148">
        <v>37</v>
      </c>
    </row>
    <row r="149" spans="1:7" x14ac:dyDescent="0.25">
      <c r="A149">
        <v>147</v>
      </c>
      <c r="B149">
        <v>54</v>
      </c>
      <c r="C149">
        <v>0</v>
      </c>
      <c r="D149" t="s">
        <v>8806</v>
      </c>
      <c r="E149" t="s">
        <v>8806</v>
      </c>
      <c r="F149">
        <v>32</v>
      </c>
      <c r="G149">
        <v>37</v>
      </c>
    </row>
    <row r="150" spans="1:7" x14ac:dyDescent="0.25">
      <c r="A150">
        <v>148</v>
      </c>
      <c r="B150">
        <v>40</v>
      </c>
      <c r="C150">
        <v>0</v>
      </c>
      <c r="D150" t="s">
        <v>8807</v>
      </c>
      <c r="E150" t="s">
        <v>8807</v>
      </c>
      <c r="F150">
        <v>31</v>
      </c>
      <c r="G150">
        <v>37</v>
      </c>
    </row>
    <row r="151" spans="1:7" x14ac:dyDescent="0.25">
      <c r="A151">
        <v>149</v>
      </c>
      <c r="B151">
        <v>2</v>
      </c>
      <c r="C151">
        <v>0</v>
      </c>
      <c r="D151" t="s">
        <v>8808</v>
      </c>
      <c r="E151" t="s">
        <v>8808</v>
      </c>
      <c r="F151">
        <v>32</v>
      </c>
      <c r="G151">
        <v>37</v>
      </c>
    </row>
    <row r="152" spans="1:7" x14ac:dyDescent="0.25">
      <c r="A152">
        <v>150</v>
      </c>
      <c r="B152">
        <v>54</v>
      </c>
      <c r="C152">
        <v>0</v>
      </c>
      <c r="D152" t="s">
        <v>8809</v>
      </c>
      <c r="E152" t="s">
        <v>8809</v>
      </c>
      <c r="F152">
        <v>32</v>
      </c>
      <c r="G152">
        <v>38</v>
      </c>
    </row>
    <row r="153" spans="1:7" x14ac:dyDescent="0.25">
      <c r="A153">
        <v>151</v>
      </c>
      <c r="B153">
        <v>54</v>
      </c>
      <c r="C153">
        <v>0</v>
      </c>
      <c r="D153" t="s">
        <v>8810</v>
      </c>
      <c r="E153" t="s">
        <v>8810</v>
      </c>
      <c r="F153">
        <v>32</v>
      </c>
      <c r="G153">
        <v>38</v>
      </c>
    </row>
    <row r="154" spans="1:7" x14ac:dyDescent="0.25">
      <c r="A154">
        <v>152</v>
      </c>
      <c r="B154">
        <v>11</v>
      </c>
      <c r="C154">
        <v>0</v>
      </c>
      <c r="D154" t="s">
        <v>8811</v>
      </c>
      <c r="E154" t="s">
        <v>8811</v>
      </c>
      <c r="F154">
        <v>32</v>
      </c>
      <c r="G154">
        <v>38</v>
      </c>
    </row>
    <row r="155" spans="1:7" x14ac:dyDescent="0.25">
      <c r="A155">
        <v>153</v>
      </c>
      <c r="B155">
        <v>8</v>
      </c>
      <c r="C155">
        <v>0</v>
      </c>
      <c r="D155" t="s">
        <v>8812</v>
      </c>
      <c r="E155" t="s">
        <v>8812</v>
      </c>
      <c r="F155">
        <v>32</v>
      </c>
      <c r="G155">
        <v>38</v>
      </c>
    </row>
    <row r="156" spans="1:7" x14ac:dyDescent="0.25">
      <c r="A156">
        <v>154</v>
      </c>
      <c r="B156">
        <v>69</v>
      </c>
      <c r="C156">
        <v>0</v>
      </c>
      <c r="D156" t="s">
        <v>8813</v>
      </c>
      <c r="E156" t="s">
        <v>8813</v>
      </c>
      <c r="F156">
        <v>32</v>
      </c>
      <c r="G156">
        <v>38</v>
      </c>
    </row>
    <row r="157" spans="1:7" x14ac:dyDescent="0.25">
      <c r="A157">
        <v>155</v>
      </c>
      <c r="B157">
        <v>54</v>
      </c>
      <c r="C157">
        <v>0</v>
      </c>
      <c r="D157" t="s">
        <v>8814</v>
      </c>
      <c r="E157" t="s">
        <v>8814</v>
      </c>
      <c r="F157">
        <v>32</v>
      </c>
      <c r="G157">
        <v>38</v>
      </c>
    </row>
    <row r="158" spans="1:7" x14ac:dyDescent="0.25">
      <c r="A158">
        <v>156</v>
      </c>
      <c r="B158">
        <v>50</v>
      </c>
      <c r="C158">
        <v>0</v>
      </c>
      <c r="D158" t="s">
        <v>8815</v>
      </c>
      <c r="E158" t="s">
        <v>8815</v>
      </c>
      <c r="F158">
        <v>32</v>
      </c>
      <c r="G158">
        <v>38</v>
      </c>
    </row>
    <row r="159" spans="1:7" x14ac:dyDescent="0.25">
      <c r="A159">
        <v>157</v>
      </c>
      <c r="B159">
        <v>25</v>
      </c>
      <c r="C159">
        <v>0</v>
      </c>
      <c r="D159" t="s">
        <v>8816</v>
      </c>
      <c r="E159" t="s">
        <v>8816</v>
      </c>
      <c r="F159">
        <v>32</v>
      </c>
      <c r="G159">
        <v>38</v>
      </c>
    </row>
    <row r="160" spans="1:7" x14ac:dyDescent="0.25">
      <c r="A160">
        <v>158</v>
      </c>
      <c r="B160">
        <v>8</v>
      </c>
      <c r="C160">
        <v>0</v>
      </c>
      <c r="D160" t="s">
        <v>8817</v>
      </c>
      <c r="E160" t="s">
        <v>8817</v>
      </c>
      <c r="F160">
        <v>32</v>
      </c>
      <c r="G160">
        <v>38</v>
      </c>
    </row>
    <row r="161" spans="1:7" x14ac:dyDescent="0.25">
      <c r="A161">
        <v>159</v>
      </c>
      <c r="B161">
        <v>25</v>
      </c>
      <c r="C161">
        <v>0</v>
      </c>
      <c r="D161" t="s">
        <v>8818</v>
      </c>
      <c r="E161" t="s">
        <v>8818</v>
      </c>
      <c r="F161">
        <v>32</v>
      </c>
      <c r="G161">
        <v>38</v>
      </c>
    </row>
    <row r="162" spans="1:7" x14ac:dyDescent="0.25">
      <c r="A162">
        <v>160</v>
      </c>
      <c r="B162">
        <v>25</v>
      </c>
      <c r="C162">
        <v>0</v>
      </c>
      <c r="D162" t="s">
        <v>8819</v>
      </c>
      <c r="E162" t="s">
        <v>8819</v>
      </c>
      <c r="F162">
        <v>32</v>
      </c>
      <c r="G162">
        <v>38</v>
      </c>
    </row>
    <row r="163" spans="1:7" x14ac:dyDescent="0.25">
      <c r="A163">
        <v>161</v>
      </c>
      <c r="B163">
        <v>54</v>
      </c>
      <c r="C163">
        <v>0</v>
      </c>
      <c r="D163" t="s">
        <v>8820</v>
      </c>
      <c r="E163" t="s">
        <v>8820</v>
      </c>
      <c r="F163">
        <v>32</v>
      </c>
      <c r="G163">
        <v>38</v>
      </c>
    </row>
    <row r="164" spans="1:7" x14ac:dyDescent="0.25">
      <c r="A164">
        <v>162</v>
      </c>
      <c r="B164">
        <v>83</v>
      </c>
      <c r="C164">
        <v>0</v>
      </c>
      <c r="D164" t="s">
        <v>8821</v>
      </c>
      <c r="E164" t="s">
        <v>8821</v>
      </c>
      <c r="F164">
        <v>32</v>
      </c>
      <c r="G164">
        <v>38</v>
      </c>
    </row>
    <row r="165" spans="1:7" x14ac:dyDescent="0.25">
      <c r="A165">
        <v>163</v>
      </c>
      <c r="B165">
        <v>2</v>
      </c>
      <c r="C165">
        <v>0</v>
      </c>
      <c r="D165" t="s">
        <v>8822</v>
      </c>
      <c r="E165" t="s">
        <v>8822</v>
      </c>
      <c r="F165">
        <v>32</v>
      </c>
      <c r="G165">
        <v>38</v>
      </c>
    </row>
    <row r="166" spans="1:7" x14ac:dyDescent="0.25">
      <c r="A166">
        <v>164</v>
      </c>
      <c r="B166">
        <v>11</v>
      </c>
      <c r="C166">
        <v>0</v>
      </c>
      <c r="D166" t="s">
        <v>8823</v>
      </c>
      <c r="E166" t="s">
        <v>8823</v>
      </c>
      <c r="F166">
        <v>32</v>
      </c>
      <c r="G166">
        <v>38</v>
      </c>
    </row>
    <row r="167" spans="1:7" x14ac:dyDescent="0.25">
      <c r="A167">
        <v>165</v>
      </c>
      <c r="B167">
        <v>25</v>
      </c>
      <c r="C167">
        <v>0</v>
      </c>
      <c r="D167" t="s">
        <v>8824</v>
      </c>
      <c r="E167" t="s">
        <v>8824</v>
      </c>
      <c r="F167">
        <v>32</v>
      </c>
      <c r="G167">
        <v>38</v>
      </c>
    </row>
    <row r="168" spans="1:7" x14ac:dyDescent="0.25">
      <c r="A168">
        <v>166</v>
      </c>
      <c r="B168">
        <v>34</v>
      </c>
      <c r="C168">
        <v>0</v>
      </c>
      <c r="D168" t="s">
        <v>8825</v>
      </c>
      <c r="E168" t="s">
        <v>8825</v>
      </c>
      <c r="F168">
        <v>32</v>
      </c>
      <c r="G168">
        <v>38</v>
      </c>
    </row>
    <row r="169" spans="1:7" x14ac:dyDescent="0.25">
      <c r="A169">
        <v>167</v>
      </c>
      <c r="B169">
        <v>23</v>
      </c>
      <c r="C169">
        <v>300</v>
      </c>
      <c r="D169" t="s">
        <v>8826</v>
      </c>
      <c r="E169" t="s">
        <v>8826</v>
      </c>
      <c r="F169">
        <v>32</v>
      </c>
      <c r="G169">
        <v>37</v>
      </c>
    </row>
    <row r="170" spans="1:7" x14ac:dyDescent="0.25">
      <c r="A170">
        <v>168</v>
      </c>
      <c r="B170">
        <v>25</v>
      </c>
      <c r="C170">
        <v>0</v>
      </c>
      <c r="D170" t="s">
        <v>8827</v>
      </c>
      <c r="E170" t="s">
        <v>8827</v>
      </c>
      <c r="F170">
        <v>32</v>
      </c>
      <c r="G170">
        <v>38</v>
      </c>
    </row>
    <row r="171" spans="1:7" x14ac:dyDescent="0.25">
      <c r="A171">
        <v>169</v>
      </c>
      <c r="B171">
        <v>43</v>
      </c>
      <c r="C171">
        <v>0</v>
      </c>
      <c r="D171" t="s">
        <v>8828</v>
      </c>
      <c r="E171" t="s">
        <v>8828</v>
      </c>
      <c r="F171">
        <v>32</v>
      </c>
      <c r="G171">
        <v>38</v>
      </c>
    </row>
    <row r="172" spans="1:7" x14ac:dyDescent="0.25">
      <c r="A172">
        <v>170</v>
      </c>
      <c r="B172">
        <v>25</v>
      </c>
      <c r="C172">
        <v>0</v>
      </c>
      <c r="D172" t="s">
        <v>8829</v>
      </c>
      <c r="E172" t="s">
        <v>8829</v>
      </c>
      <c r="F172">
        <v>32</v>
      </c>
      <c r="G172">
        <v>37</v>
      </c>
    </row>
    <row r="173" spans="1:7" x14ac:dyDescent="0.25">
      <c r="A173">
        <v>171</v>
      </c>
      <c r="B173">
        <v>58</v>
      </c>
      <c r="C173">
        <v>0</v>
      </c>
      <c r="D173" t="s">
        <v>8830</v>
      </c>
      <c r="E173" t="s">
        <v>8830</v>
      </c>
      <c r="F173">
        <v>32</v>
      </c>
      <c r="G173">
        <v>38</v>
      </c>
    </row>
    <row r="174" spans="1:7" x14ac:dyDescent="0.25">
      <c r="A174">
        <v>172</v>
      </c>
      <c r="B174">
        <v>14</v>
      </c>
      <c r="C174">
        <v>0</v>
      </c>
      <c r="D174" t="s">
        <v>8831</v>
      </c>
      <c r="E174" t="s">
        <v>8831</v>
      </c>
      <c r="F174">
        <v>32</v>
      </c>
      <c r="G174">
        <v>37</v>
      </c>
    </row>
    <row r="175" spans="1:7" x14ac:dyDescent="0.25">
      <c r="A175">
        <v>173</v>
      </c>
      <c r="B175">
        <v>19</v>
      </c>
      <c r="C175">
        <v>0</v>
      </c>
      <c r="D175" t="s">
        <v>8832</v>
      </c>
      <c r="F175">
        <v>32</v>
      </c>
      <c r="G175">
        <v>37</v>
      </c>
    </row>
    <row r="176" spans="1:7" x14ac:dyDescent="0.25">
      <c r="A176">
        <v>174</v>
      </c>
      <c r="B176">
        <v>8</v>
      </c>
      <c r="C176">
        <v>0</v>
      </c>
      <c r="D176" t="s">
        <v>8833</v>
      </c>
      <c r="E176" t="s">
        <v>8833</v>
      </c>
      <c r="F176">
        <v>32</v>
      </c>
      <c r="G176">
        <v>38</v>
      </c>
    </row>
    <row r="177" spans="1:7" x14ac:dyDescent="0.25">
      <c r="A177">
        <v>175</v>
      </c>
      <c r="B177">
        <v>25</v>
      </c>
      <c r="C177">
        <v>0</v>
      </c>
      <c r="D177" t="s">
        <v>8834</v>
      </c>
      <c r="E177" t="s">
        <v>8834</v>
      </c>
      <c r="F177">
        <v>32</v>
      </c>
      <c r="G177">
        <v>38</v>
      </c>
    </row>
    <row r="178" spans="1:7" x14ac:dyDescent="0.25">
      <c r="A178">
        <v>176</v>
      </c>
      <c r="B178">
        <v>4</v>
      </c>
      <c r="C178">
        <v>0</v>
      </c>
      <c r="D178" t="s">
        <v>8835</v>
      </c>
      <c r="E178" t="s">
        <v>8835</v>
      </c>
      <c r="F178">
        <v>32</v>
      </c>
      <c r="G178">
        <v>37</v>
      </c>
    </row>
    <row r="179" spans="1:7" x14ac:dyDescent="0.25">
      <c r="A179">
        <v>177</v>
      </c>
      <c r="B179">
        <v>45</v>
      </c>
      <c r="C179">
        <v>0</v>
      </c>
      <c r="D179" t="s">
        <v>8836</v>
      </c>
      <c r="E179" t="s">
        <v>8836</v>
      </c>
      <c r="F179">
        <v>32</v>
      </c>
      <c r="G179">
        <v>37</v>
      </c>
    </row>
    <row r="180" spans="1:7" x14ac:dyDescent="0.25">
      <c r="A180">
        <v>178</v>
      </c>
      <c r="B180">
        <v>54</v>
      </c>
      <c r="C180">
        <v>0</v>
      </c>
      <c r="D180" t="s">
        <v>8837</v>
      </c>
      <c r="E180" t="s">
        <v>8837</v>
      </c>
      <c r="F180">
        <v>32</v>
      </c>
      <c r="G180">
        <v>38</v>
      </c>
    </row>
    <row r="181" spans="1:7" x14ac:dyDescent="0.25">
      <c r="A181">
        <v>179</v>
      </c>
      <c r="B181">
        <v>25</v>
      </c>
      <c r="C181">
        <v>0</v>
      </c>
      <c r="D181" t="s">
        <v>8838</v>
      </c>
      <c r="E181" t="s">
        <v>8838</v>
      </c>
      <c r="F181">
        <v>32</v>
      </c>
      <c r="G181">
        <v>38</v>
      </c>
    </row>
    <row r="182" spans="1:7" x14ac:dyDescent="0.25">
      <c r="A182">
        <v>180</v>
      </c>
      <c r="B182">
        <v>54</v>
      </c>
      <c r="C182">
        <v>0</v>
      </c>
      <c r="D182" t="s">
        <v>8839</v>
      </c>
      <c r="E182" t="s">
        <v>8839</v>
      </c>
      <c r="F182">
        <v>32</v>
      </c>
      <c r="G182">
        <v>38</v>
      </c>
    </row>
    <row r="183" spans="1:7" x14ac:dyDescent="0.25">
      <c r="A183">
        <v>181</v>
      </c>
      <c r="B183">
        <v>69</v>
      </c>
      <c r="C183">
        <v>0</v>
      </c>
      <c r="D183" t="s">
        <v>8840</v>
      </c>
      <c r="E183" t="s">
        <v>8840</v>
      </c>
      <c r="F183">
        <v>32</v>
      </c>
      <c r="G183">
        <v>38</v>
      </c>
    </row>
    <row r="184" spans="1:7" x14ac:dyDescent="0.25">
      <c r="A184">
        <v>182</v>
      </c>
      <c r="B184">
        <v>4</v>
      </c>
      <c r="C184">
        <v>0</v>
      </c>
      <c r="D184" t="s">
        <v>8841</v>
      </c>
      <c r="E184" t="s">
        <v>8841</v>
      </c>
      <c r="F184">
        <v>32</v>
      </c>
      <c r="G184">
        <v>37</v>
      </c>
    </row>
    <row r="185" spans="1:7" x14ac:dyDescent="0.25">
      <c r="A185">
        <v>183</v>
      </c>
      <c r="B185">
        <v>54</v>
      </c>
      <c r="C185">
        <v>0</v>
      </c>
      <c r="D185" t="s">
        <v>8842</v>
      </c>
      <c r="E185" t="s">
        <v>8842</v>
      </c>
      <c r="F185">
        <v>32</v>
      </c>
      <c r="G185">
        <v>38</v>
      </c>
    </row>
    <row r="186" spans="1:7" x14ac:dyDescent="0.25">
      <c r="A186">
        <v>184</v>
      </c>
      <c r="B186">
        <v>61</v>
      </c>
      <c r="C186">
        <v>0</v>
      </c>
      <c r="D186" t="s">
        <v>8843</v>
      </c>
      <c r="E186" t="s">
        <v>8843</v>
      </c>
      <c r="F186">
        <v>32</v>
      </c>
      <c r="G186">
        <v>37</v>
      </c>
    </row>
    <row r="187" spans="1:7" x14ac:dyDescent="0.25">
      <c r="A187">
        <v>185</v>
      </c>
      <c r="B187">
        <v>25</v>
      </c>
      <c r="C187">
        <v>0</v>
      </c>
      <c r="D187" t="s">
        <v>8844</v>
      </c>
      <c r="E187" t="s">
        <v>8844</v>
      </c>
      <c r="F187">
        <v>32</v>
      </c>
      <c r="G187">
        <v>37</v>
      </c>
    </row>
    <row r="188" spans="1:7" x14ac:dyDescent="0.25">
      <c r="A188">
        <v>186</v>
      </c>
      <c r="B188">
        <v>10</v>
      </c>
      <c r="C188">
        <v>0</v>
      </c>
      <c r="D188" t="s">
        <v>8845</v>
      </c>
      <c r="E188" t="s">
        <v>8846</v>
      </c>
      <c r="F188">
        <v>32</v>
      </c>
      <c r="G188">
        <v>37</v>
      </c>
    </row>
    <row r="189" spans="1:7" x14ac:dyDescent="0.25">
      <c r="A189">
        <v>187</v>
      </c>
      <c r="B189">
        <v>54</v>
      </c>
      <c r="C189">
        <v>0</v>
      </c>
      <c r="D189" t="s">
        <v>8847</v>
      </c>
      <c r="E189" t="s">
        <v>8847</v>
      </c>
      <c r="F189">
        <v>32</v>
      </c>
      <c r="G189">
        <v>37</v>
      </c>
    </row>
    <row r="190" spans="1:7" x14ac:dyDescent="0.25">
      <c r="A190">
        <v>188</v>
      </c>
      <c r="B190">
        <v>25</v>
      </c>
      <c r="C190">
        <v>0</v>
      </c>
      <c r="D190" t="s">
        <v>8848</v>
      </c>
      <c r="E190" t="s">
        <v>8848</v>
      </c>
      <c r="F190">
        <v>32</v>
      </c>
      <c r="G190">
        <v>37</v>
      </c>
    </row>
    <row r="191" spans="1:7" x14ac:dyDescent="0.25">
      <c r="A191">
        <v>189</v>
      </c>
      <c r="B191">
        <v>25</v>
      </c>
      <c r="C191">
        <v>0</v>
      </c>
      <c r="D191" t="s">
        <v>8849</v>
      </c>
      <c r="E191" t="s">
        <v>8849</v>
      </c>
      <c r="F191">
        <v>32</v>
      </c>
      <c r="G191">
        <v>37</v>
      </c>
    </row>
    <row r="192" spans="1:7" x14ac:dyDescent="0.25">
      <c r="A192">
        <v>190</v>
      </c>
      <c r="B192">
        <v>69</v>
      </c>
      <c r="C192">
        <v>0</v>
      </c>
      <c r="D192" t="s">
        <v>8850</v>
      </c>
      <c r="E192" t="s">
        <v>8850</v>
      </c>
      <c r="F192">
        <v>32</v>
      </c>
      <c r="G192">
        <v>37</v>
      </c>
    </row>
    <row r="193" spans="1:7" x14ac:dyDescent="0.25">
      <c r="A193">
        <v>191</v>
      </c>
      <c r="B193">
        <v>52</v>
      </c>
      <c r="C193">
        <v>0</v>
      </c>
      <c r="D193" t="s">
        <v>8851</v>
      </c>
      <c r="E193" t="s">
        <v>8851</v>
      </c>
      <c r="F193">
        <v>32</v>
      </c>
      <c r="G193">
        <v>37</v>
      </c>
    </row>
    <row r="194" spans="1:7" x14ac:dyDescent="0.25">
      <c r="A194">
        <v>192</v>
      </c>
      <c r="B194">
        <v>25</v>
      </c>
      <c r="C194">
        <v>0</v>
      </c>
      <c r="D194" t="s">
        <v>8852</v>
      </c>
      <c r="E194" t="s">
        <v>8852</v>
      </c>
      <c r="F194">
        <v>32</v>
      </c>
      <c r="G194">
        <v>37</v>
      </c>
    </row>
    <row r="195" spans="1:7" x14ac:dyDescent="0.25">
      <c r="A195">
        <v>193</v>
      </c>
      <c r="B195">
        <v>25</v>
      </c>
      <c r="C195">
        <v>0</v>
      </c>
      <c r="D195" t="s">
        <v>8853</v>
      </c>
      <c r="E195" t="s">
        <v>8853</v>
      </c>
      <c r="F195">
        <v>32</v>
      </c>
      <c r="G195">
        <v>37</v>
      </c>
    </row>
    <row r="196" spans="1:7" x14ac:dyDescent="0.25">
      <c r="A196">
        <v>194</v>
      </c>
      <c r="B196">
        <v>25</v>
      </c>
      <c r="C196">
        <v>0</v>
      </c>
      <c r="D196" t="s">
        <v>8854</v>
      </c>
      <c r="E196" t="s">
        <v>8854</v>
      </c>
      <c r="F196">
        <v>32</v>
      </c>
      <c r="G196">
        <v>37</v>
      </c>
    </row>
    <row r="197" spans="1:7" x14ac:dyDescent="0.25">
      <c r="A197">
        <v>195</v>
      </c>
      <c r="B197">
        <v>40</v>
      </c>
      <c r="C197">
        <v>0</v>
      </c>
      <c r="D197" t="s">
        <v>8855</v>
      </c>
      <c r="E197" t="s">
        <v>8855</v>
      </c>
      <c r="F197">
        <v>31</v>
      </c>
      <c r="G197">
        <v>37</v>
      </c>
    </row>
    <row r="198" spans="1:7" x14ac:dyDescent="0.25">
      <c r="A198">
        <v>196</v>
      </c>
      <c r="B198">
        <v>25</v>
      </c>
      <c r="C198">
        <v>0</v>
      </c>
      <c r="D198" t="s">
        <v>8856</v>
      </c>
      <c r="E198" t="s">
        <v>8856</v>
      </c>
      <c r="F198">
        <v>32</v>
      </c>
      <c r="G198">
        <v>37</v>
      </c>
    </row>
    <row r="199" spans="1:7" x14ac:dyDescent="0.25">
      <c r="A199">
        <v>197</v>
      </c>
      <c r="B199">
        <v>25</v>
      </c>
      <c r="C199">
        <v>0</v>
      </c>
      <c r="D199" t="s">
        <v>8857</v>
      </c>
      <c r="E199" t="s">
        <v>8857</v>
      </c>
      <c r="F199">
        <v>32</v>
      </c>
      <c r="G199">
        <v>37</v>
      </c>
    </row>
    <row r="200" spans="1:7" x14ac:dyDescent="0.25">
      <c r="A200">
        <v>198</v>
      </c>
      <c r="B200">
        <v>11</v>
      </c>
      <c r="C200">
        <v>0</v>
      </c>
      <c r="D200" t="s">
        <v>8858</v>
      </c>
      <c r="E200" t="s">
        <v>8858</v>
      </c>
      <c r="F200">
        <v>32</v>
      </c>
      <c r="G200">
        <v>37</v>
      </c>
    </row>
    <row r="201" spans="1:7" x14ac:dyDescent="0.25">
      <c r="A201">
        <v>199</v>
      </c>
      <c r="B201">
        <v>25</v>
      </c>
      <c r="C201">
        <v>0</v>
      </c>
      <c r="D201" t="s">
        <v>8859</v>
      </c>
      <c r="E201" t="s">
        <v>8859</v>
      </c>
      <c r="F201">
        <v>32</v>
      </c>
      <c r="G201">
        <v>37</v>
      </c>
    </row>
    <row r="202" spans="1:7" x14ac:dyDescent="0.25">
      <c r="A202">
        <v>200</v>
      </c>
      <c r="B202">
        <v>54</v>
      </c>
      <c r="C202">
        <v>0</v>
      </c>
      <c r="D202" t="s">
        <v>8860</v>
      </c>
      <c r="E202" t="s">
        <v>8860</v>
      </c>
      <c r="F202">
        <v>32</v>
      </c>
      <c r="G202">
        <v>37</v>
      </c>
    </row>
    <row r="203" spans="1:7" x14ac:dyDescent="0.25">
      <c r="A203">
        <v>201</v>
      </c>
      <c r="B203">
        <v>54</v>
      </c>
      <c r="C203">
        <v>0</v>
      </c>
      <c r="D203" t="s">
        <v>8861</v>
      </c>
      <c r="E203" t="s">
        <v>8861</v>
      </c>
      <c r="F203">
        <v>32</v>
      </c>
      <c r="G203">
        <v>37</v>
      </c>
    </row>
    <row r="204" spans="1:7" x14ac:dyDescent="0.25">
      <c r="A204">
        <v>202</v>
      </c>
      <c r="B204">
        <v>54</v>
      </c>
      <c r="C204">
        <v>0</v>
      </c>
      <c r="D204" t="s">
        <v>8862</v>
      </c>
      <c r="E204" t="s">
        <v>8862</v>
      </c>
      <c r="F204">
        <v>32</v>
      </c>
      <c r="G204">
        <v>37</v>
      </c>
    </row>
    <row r="205" spans="1:7" x14ac:dyDescent="0.25">
      <c r="A205">
        <v>203</v>
      </c>
      <c r="B205">
        <v>21</v>
      </c>
      <c r="C205">
        <v>0</v>
      </c>
      <c r="D205" t="s">
        <v>8863</v>
      </c>
      <c r="E205" t="s">
        <v>8863</v>
      </c>
      <c r="F205">
        <v>32</v>
      </c>
      <c r="G205">
        <v>37</v>
      </c>
    </row>
    <row r="206" spans="1:7" x14ac:dyDescent="0.25">
      <c r="A206">
        <v>204</v>
      </c>
      <c r="B206">
        <v>17</v>
      </c>
      <c r="C206">
        <v>0</v>
      </c>
      <c r="D206" t="s">
        <v>8864</v>
      </c>
      <c r="E206" t="s">
        <v>8864</v>
      </c>
      <c r="F206">
        <v>32</v>
      </c>
      <c r="G206">
        <v>37</v>
      </c>
    </row>
    <row r="207" spans="1:7" x14ac:dyDescent="0.25">
      <c r="A207">
        <v>205</v>
      </c>
      <c r="B207">
        <v>54</v>
      </c>
      <c r="C207">
        <v>0</v>
      </c>
      <c r="D207" t="s">
        <v>8865</v>
      </c>
      <c r="E207" t="s">
        <v>8865</v>
      </c>
      <c r="F207">
        <v>32</v>
      </c>
      <c r="G207">
        <v>37</v>
      </c>
    </row>
    <row r="208" spans="1:7" x14ac:dyDescent="0.25">
      <c r="A208">
        <v>206</v>
      </c>
      <c r="B208">
        <v>54</v>
      </c>
      <c r="C208">
        <v>0</v>
      </c>
      <c r="D208" t="s">
        <v>8866</v>
      </c>
      <c r="E208" t="s">
        <v>8866</v>
      </c>
      <c r="F208">
        <v>32</v>
      </c>
      <c r="G208">
        <v>37</v>
      </c>
    </row>
    <row r="209" spans="1:7" x14ac:dyDescent="0.25">
      <c r="A209">
        <v>207</v>
      </c>
      <c r="B209">
        <v>69</v>
      </c>
      <c r="C209">
        <v>0</v>
      </c>
      <c r="D209" t="s">
        <v>8867</v>
      </c>
      <c r="E209" t="s">
        <v>8867</v>
      </c>
      <c r="F209">
        <v>32</v>
      </c>
      <c r="G209">
        <v>37</v>
      </c>
    </row>
    <row r="210" spans="1:7" x14ac:dyDescent="0.25">
      <c r="A210">
        <v>208</v>
      </c>
      <c r="B210">
        <v>58</v>
      </c>
      <c r="C210">
        <v>0</v>
      </c>
      <c r="D210" t="s">
        <v>8868</v>
      </c>
      <c r="E210" t="s">
        <v>8868</v>
      </c>
      <c r="F210">
        <v>32</v>
      </c>
      <c r="G210">
        <v>37</v>
      </c>
    </row>
    <row r="211" spans="1:7" x14ac:dyDescent="0.25">
      <c r="A211">
        <v>209</v>
      </c>
      <c r="B211">
        <v>54</v>
      </c>
      <c r="C211">
        <v>0</v>
      </c>
      <c r="D211" t="s">
        <v>8869</v>
      </c>
      <c r="E211" t="s">
        <v>8869</v>
      </c>
      <c r="F211">
        <v>32</v>
      </c>
      <c r="G211">
        <v>37</v>
      </c>
    </row>
    <row r="212" spans="1:7" x14ac:dyDescent="0.25">
      <c r="A212">
        <v>210</v>
      </c>
      <c r="B212">
        <v>11</v>
      </c>
      <c r="C212">
        <v>0</v>
      </c>
      <c r="D212" t="s">
        <v>8870</v>
      </c>
      <c r="E212" t="s">
        <v>8870</v>
      </c>
      <c r="F212">
        <v>32</v>
      </c>
      <c r="G212">
        <v>37</v>
      </c>
    </row>
    <row r="213" spans="1:7" x14ac:dyDescent="0.25">
      <c r="A213">
        <v>211</v>
      </c>
      <c r="B213">
        <v>23</v>
      </c>
      <c r="C213">
        <v>0</v>
      </c>
      <c r="D213" t="s">
        <v>8871</v>
      </c>
      <c r="E213" t="s">
        <v>8871</v>
      </c>
      <c r="F213">
        <v>32</v>
      </c>
      <c r="G213">
        <v>37</v>
      </c>
    </row>
    <row r="214" spans="1:7" x14ac:dyDescent="0.25">
      <c r="A214">
        <v>212</v>
      </c>
      <c r="B214">
        <v>4</v>
      </c>
      <c r="C214">
        <v>0</v>
      </c>
      <c r="D214" t="s">
        <v>8872</v>
      </c>
      <c r="E214" t="s">
        <v>8872</v>
      </c>
      <c r="F214">
        <v>32</v>
      </c>
      <c r="G214">
        <v>37</v>
      </c>
    </row>
    <row r="215" spans="1:7" x14ac:dyDescent="0.25">
      <c r="A215">
        <v>213</v>
      </c>
      <c r="B215">
        <v>40</v>
      </c>
      <c r="C215">
        <v>0</v>
      </c>
      <c r="D215" t="s">
        <v>8873</v>
      </c>
      <c r="E215" t="s">
        <v>8873</v>
      </c>
      <c r="F215">
        <v>32</v>
      </c>
      <c r="G215">
        <v>37</v>
      </c>
    </row>
    <row r="216" spans="1:7" x14ac:dyDescent="0.25">
      <c r="A216">
        <v>214</v>
      </c>
      <c r="B216">
        <v>61</v>
      </c>
      <c r="C216">
        <v>0</v>
      </c>
      <c r="D216" t="s">
        <v>8874</v>
      </c>
      <c r="E216" t="s">
        <v>8874</v>
      </c>
      <c r="F216">
        <v>32</v>
      </c>
      <c r="G216">
        <v>37</v>
      </c>
    </row>
    <row r="217" spans="1:7" x14ac:dyDescent="0.25">
      <c r="A217">
        <v>215</v>
      </c>
      <c r="B217">
        <v>66</v>
      </c>
      <c r="C217">
        <v>0</v>
      </c>
      <c r="D217" t="s">
        <v>8875</v>
      </c>
      <c r="E217" t="s">
        <v>8875</v>
      </c>
      <c r="F217">
        <v>32</v>
      </c>
      <c r="G217">
        <v>37</v>
      </c>
    </row>
    <row r="218" spans="1:7" x14ac:dyDescent="0.25">
      <c r="A218">
        <v>216</v>
      </c>
      <c r="B218">
        <v>10</v>
      </c>
      <c r="C218">
        <v>0</v>
      </c>
      <c r="D218" t="s">
        <v>8876</v>
      </c>
      <c r="E218" t="s">
        <v>8876</v>
      </c>
      <c r="F218">
        <v>32</v>
      </c>
      <c r="G218">
        <v>37</v>
      </c>
    </row>
    <row r="219" spans="1:7" x14ac:dyDescent="0.25">
      <c r="A219">
        <v>217</v>
      </c>
      <c r="B219">
        <v>2</v>
      </c>
      <c r="C219">
        <v>0</v>
      </c>
      <c r="D219" t="s">
        <v>8877</v>
      </c>
      <c r="E219" t="s">
        <v>8877</v>
      </c>
      <c r="F219">
        <v>32</v>
      </c>
      <c r="G219">
        <v>37</v>
      </c>
    </row>
    <row r="220" spans="1:7" x14ac:dyDescent="0.25">
      <c r="A220">
        <v>218</v>
      </c>
      <c r="B220">
        <v>43</v>
      </c>
      <c r="C220">
        <v>0</v>
      </c>
      <c r="D220" t="s">
        <v>8878</v>
      </c>
      <c r="E220" t="s">
        <v>8878</v>
      </c>
      <c r="F220">
        <v>32</v>
      </c>
      <c r="G220">
        <v>37</v>
      </c>
    </row>
    <row r="221" spans="1:7" x14ac:dyDescent="0.25">
      <c r="A221">
        <v>219</v>
      </c>
      <c r="B221">
        <v>84</v>
      </c>
      <c r="C221">
        <v>0</v>
      </c>
      <c r="D221" t="s">
        <v>8879</v>
      </c>
      <c r="E221" t="s">
        <v>8879</v>
      </c>
      <c r="F221">
        <v>32</v>
      </c>
      <c r="G221">
        <v>37</v>
      </c>
    </row>
    <row r="222" spans="1:7" x14ac:dyDescent="0.25">
      <c r="A222">
        <v>220</v>
      </c>
      <c r="B222">
        <v>23</v>
      </c>
      <c r="C222">
        <v>0</v>
      </c>
      <c r="D222" t="s">
        <v>8880</v>
      </c>
      <c r="E222" t="s">
        <v>8880</v>
      </c>
      <c r="F222">
        <v>32</v>
      </c>
      <c r="G222">
        <v>37</v>
      </c>
    </row>
    <row r="223" spans="1:7" x14ac:dyDescent="0.25">
      <c r="A223">
        <v>221</v>
      </c>
      <c r="B223">
        <v>42</v>
      </c>
      <c r="C223">
        <v>0</v>
      </c>
      <c r="D223" t="s">
        <v>8881</v>
      </c>
      <c r="E223" t="s">
        <v>8881</v>
      </c>
      <c r="F223">
        <v>32</v>
      </c>
      <c r="G223">
        <v>37</v>
      </c>
    </row>
    <row r="224" spans="1:7" x14ac:dyDescent="0.25">
      <c r="A224">
        <v>222</v>
      </c>
      <c r="B224">
        <v>54</v>
      </c>
      <c r="C224">
        <v>0</v>
      </c>
      <c r="D224" t="s">
        <v>8882</v>
      </c>
      <c r="E224" t="s">
        <v>8882</v>
      </c>
      <c r="F224">
        <v>32</v>
      </c>
      <c r="G224">
        <v>37</v>
      </c>
    </row>
    <row r="225" spans="1:7" x14ac:dyDescent="0.25">
      <c r="A225">
        <v>223</v>
      </c>
      <c r="B225">
        <v>54</v>
      </c>
      <c r="C225">
        <v>0</v>
      </c>
      <c r="D225" t="s">
        <v>8883</v>
      </c>
      <c r="E225" t="s">
        <v>8883</v>
      </c>
      <c r="F225">
        <v>32</v>
      </c>
      <c r="G225">
        <v>37</v>
      </c>
    </row>
    <row r="226" spans="1:7" x14ac:dyDescent="0.25">
      <c r="A226">
        <v>224</v>
      </c>
      <c r="B226">
        <v>45</v>
      </c>
      <c r="C226">
        <v>0</v>
      </c>
      <c r="D226" t="s">
        <v>8884</v>
      </c>
      <c r="E226" t="s">
        <v>8884</v>
      </c>
      <c r="F226">
        <v>32</v>
      </c>
      <c r="G226">
        <v>37</v>
      </c>
    </row>
    <row r="227" spans="1:7" x14ac:dyDescent="0.25">
      <c r="A227">
        <v>225</v>
      </c>
      <c r="B227">
        <v>69</v>
      </c>
      <c r="C227">
        <v>0</v>
      </c>
      <c r="D227" t="s">
        <v>8885</v>
      </c>
      <c r="E227" t="s">
        <v>8885</v>
      </c>
      <c r="F227">
        <v>32</v>
      </c>
      <c r="G227">
        <v>37</v>
      </c>
    </row>
    <row r="228" spans="1:7" x14ac:dyDescent="0.25">
      <c r="A228">
        <v>226</v>
      </c>
      <c r="B228">
        <v>54</v>
      </c>
      <c r="C228">
        <v>0</v>
      </c>
      <c r="D228" t="s">
        <v>8723</v>
      </c>
      <c r="E228" t="s">
        <v>8723</v>
      </c>
      <c r="F228">
        <v>32</v>
      </c>
      <c r="G228">
        <v>37</v>
      </c>
    </row>
    <row r="229" spans="1:7" x14ac:dyDescent="0.25">
      <c r="A229">
        <v>227</v>
      </c>
      <c r="B229">
        <v>54</v>
      </c>
      <c r="C229">
        <v>0</v>
      </c>
      <c r="D229" t="s">
        <v>8886</v>
      </c>
      <c r="E229" t="s">
        <v>8886</v>
      </c>
      <c r="F229">
        <v>32</v>
      </c>
      <c r="G229">
        <v>37</v>
      </c>
    </row>
    <row r="230" spans="1:7" x14ac:dyDescent="0.25">
      <c r="A230">
        <v>228</v>
      </c>
      <c r="B230">
        <v>42</v>
      </c>
      <c r="C230">
        <v>0</v>
      </c>
      <c r="D230" t="s">
        <v>8887</v>
      </c>
      <c r="E230" t="s">
        <v>8887</v>
      </c>
      <c r="F230">
        <v>32</v>
      </c>
      <c r="G230">
        <v>37</v>
      </c>
    </row>
    <row r="231" spans="1:7" x14ac:dyDescent="0.25">
      <c r="A231">
        <v>229</v>
      </c>
      <c r="B231">
        <v>4</v>
      </c>
      <c r="C231">
        <v>0</v>
      </c>
      <c r="D231" t="s">
        <v>8888</v>
      </c>
      <c r="E231" t="s">
        <v>8888</v>
      </c>
      <c r="F231">
        <v>32</v>
      </c>
      <c r="G231">
        <v>37</v>
      </c>
    </row>
    <row r="232" spans="1:7" x14ac:dyDescent="0.25">
      <c r="A232">
        <v>230</v>
      </c>
      <c r="B232">
        <v>47</v>
      </c>
      <c r="C232">
        <v>0</v>
      </c>
      <c r="D232" t="s">
        <v>8889</v>
      </c>
      <c r="E232" t="s">
        <v>8889</v>
      </c>
      <c r="F232">
        <v>32</v>
      </c>
      <c r="G232">
        <v>37</v>
      </c>
    </row>
    <row r="233" spans="1:7" x14ac:dyDescent="0.25">
      <c r="A233">
        <v>231</v>
      </c>
      <c r="B233">
        <v>25</v>
      </c>
      <c r="C233">
        <v>0</v>
      </c>
      <c r="D233" t="s">
        <v>8890</v>
      </c>
      <c r="F233">
        <v>32</v>
      </c>
      <c r="G233">
        <v>37</v>
      </c>
    </row>
    <row r="234" spans="1:7" x14ac:dyDescent="0.25">
      <c r="A234">
        <v>232</v>
      </c>
      <c r="B234">
        <v>8</v>
      </c>
      <c r="C234">
        <v>0</v>
      </c>
      <c r="D234" t="s">
        <v>8891</v>
      </c>
      <c r="E234" t="s">
        <v>8891</v>
      </c>
      <c r="F234">
        <v>32</v>
      </c>
      <c r="G234">
        <v>37</v>
      </c>
    </row>
    <row r="235" spans="1:7" x14ac:dyDescent="0.25">
      <c r="A235">
        <v>233</v>
      </c>
      <c r="B235">
        <v>24</v>
      </c>
      <c r="C235">
        <v>0</v>
      </c>
      <c r="D235" t="s">
        <v>8892</v>
      </c>
      <c r="E235" t="s">
        <v>8892</v>
      </c>
      <c r="F235">
        <v>32</v>
      </c>
      <c r="G235">
        <v>37</v>
      </c>
    </row>
    <row r="236" spans="1:7" x14ac:dyDescent="0.25">
      <c r="A236">
        <v>234</v>
      </c>
      <c r="B236">
        <v>10</v>
      </c>
      <c r="C236">
        <v>0</v>
      </c>
      <c r="D236" t="s">
        <v>8893</v>
      </c>
      <c r="E236" t="s">
        <v>8893</v>
      </c>
      <c r="F236">
        <v>32</v>
      </c>
      <c r="G236">
        <v>37</v>
      </c>
    </row>
    <row r="237" spans="1:7" x14ac:dyDescent="0.25">
      <c r="A237">
        <v>235</v>
      </c>
      <c r="B237">
        <v>40</v>
      </c>
      <c r="C237">
        <v>0</v>
      </c>
      <c r="D237" t="s">
        <v>8692</v>
      </c>
      <c r="E237" t="s">
        <v>8692</v>
      </c>
      <c r="F237">
        <v>31</v>
      </c>
      <c r="G237">
        <v>37</v>
      </c>
    </row>
    <row r="238" spans="1:7" x14ac:dyDescent="0.25">
      <c r="A238">
        <v>236</v>
      </c>
      <c r="B238">
        <v>14</v>
      </c>
      <c r="C238">
        <v>0</v>
      </c>
      <c r="D238" t="s">
        <v>8894</v>
      </c>
      <c r="F238">
        <v>32</v>
      </c>
      <c r="G238">
        <v>38</v>
      </c>
    </row>
    <row r="239" spans="1:7" x14ac:dyDescent="0.25">
      <c r="A239">
        <v>237</v>
      </c>
      <c r="B239">
        <v>58</v>
      </c>
      <c r="C239">
        <v>0</v>
      </c>
      <c r="D239" t="s">
        <v>8895</v>
      </c>
      <c r="E239" t="s">
        <v>8895</v>
      </c>
      <c r="F239">
        <v>32</v>
      </c>
      <c r="G239">
        <v>37</v>
      </c>
    </row>
    <row r="240" spans="1:7" x14ac:dyDescent="0.25">
      <c r="A240">
        <v>238</v>
      </c>
      <c r="B240">
        <v>25</v>
      </c>
      <c r="C240">
        <v>0</v>
      </c>
      <c r="D240" t="s">
        <v>8896</v>
      </c>
      <c r="E240" t="s">
        <v>8896</v>
      </c>
      <c r="F240">
        <v>32</v>
      </c>
      <c r="G240">
        <v>37</v>
      </c>
    </row>
    <row r="241" spans="1:7" x14ac:dyDescent="0.25">
      <c r="A241">
        <v>239</v>
      </c>
      <c r="B241">
        <v>54</v>
      </c>
      <c r="C241">
        <v>0</v>
      </c>
      <c r="D241" t="s">
        <v>8897</v>
      </c>
      <c r="E241" t="s">
        <v>8897</v>
      </c>
      <c r="F241">
        <v>32</v>
      </c>
      <c r="G241">
        <v>37</v>
      </c>
    </row>
    <row r="242" spans="1:7" x14ac:dyDescent="0.25">
      <c r="A242">
        <v>240</v>
      </c>
      <c r="B242">
        <v>54</v>
      </c>
      <c r="C242">
        <v>0</v>
      </c>
      <c r="D242" t="s">
        <v>8898</v>
      </c>
      <c r="E242" t="s">
        <v>8898</v>
      </c>
      <c r="F242">
        <v>32</v>
      </c>
      <c r="G242">
        <v>37</v>
      </c>
    </row>
    <row r="243" spans="1:7" x14ac:dyDescent="0.25">
      <c r="A243">
        <v>241</v>
      </c>
      <c r="B243">
        <v>54</v>
      </c>
      <c r="C243">
        <v>0</v>
      </c>
      <c r="D243" t="s">
        <v>8899</v>
      </c>
      <c r="E243" t="s">
        <v>8899</v>
      </c>
      <c r="F243">
        <v>32</v>
      </c>
      <c r="G243">
        <v>37</v>
      </c>
    </row>
    <row r="244" spans="1:7" x14ac:dyDescent="0.25">
      <c r="A244">
        <v>242</v>
      </c>
      <c r="B244">
        <v>8</v>
      </c>
      <c r="C244">
        <v>0</v>
      </c>
      <c r="D244" t="s">
        <v>8900</v>
      </c>
      <c r="E244" t="s">
        <v>8900</v>
      </c>
      <c r="F244">
        <v>32</v>
      </c>
      <c r="G244">
        <v>37</v>
      </c>
    </row>
    <row r="245" spans="1:7" x14ac:dyDescent="0.25">
      <c r="A245">
        <v>243</v>
      </c>
      <c r="B245">
        <v>4</v>
      </c>
      <c r="C245">
        <v>0</v>
      </c>
      <c r="D245" t="s">
        <v>8901</v>
      </c>
      <c r="E245" t="s">
        <v>8901</v>
      </c>
      <c r="F245">
        <v>32</v>
      </c>
      <c r="G245">
        <v>37</v>
      </c>
    </row>
    <row r="246" spans="1:7" x14ac:dyDescent="0.25">
      <c r="A246">
        <v>244</v>
      </c>
      <c r="B246">
        <v>14</v>
      </c>
      <c r="C246">
        <v>0</v>
      </c>
      <c r="D246" t="s">
        <v>8902</v>
      </c>
      <c r="E246" t="s">
        <v>8902</v>
      </c>
      <c r="F246">
        <v>32</v>
      </c>
      <c r="G246">
        <v>37</v>
      </c>
    </row>
    <row r="247" spans="1:7" x14ac:dyDescent="0.25">
      <c r="A247">
        <v>245</v>
      </c>
      <c r="B247">
        <v>43</v>
      </c>
      <c r="C247">
        <v>0</v>
      </c>
      <c r="D247" t="s">
        <v>8903</v>
      </c>
      <c r="E247" t="s">
        <v>8903</v>
      </c>
      <c r="F247">
        <v>32</v>
      </c>
      <c r="G247">
        <v>37</v>
      </c>
    </row>
    <row r="248" spans="1:7" x14ac:dyDescent="0.25">
      <c r="A248">
        <v>246</v>
      </c>
      <c r="B248">
        <v>84</v>
      </c>
      <c r="C248">
        <v>0</v>
      </c>
      <c r="D248" t="s">
        <v>8904</v>
      </c>
      <c r="E248" t="s">
        <v>8904</v>
      </c>
      <c r="F248">
        <v>32</v>
      </c>
      <c r="G248">
        <v>37</v>
      </c>
    </row>
    <row r="249" spans="1:7" x14ac:dyDescent="0.25">
      <c r="A249">
        <v>247</v>
      </c>
      <c r="B249">
        <v>11</v>
      </c>
      <c r="C249">
        <v>0</v>
      </c>
      <c r="D249" t="s">
        <v>8905</v>
      </c>
      <c r="E249" t="s">
        <v>8905</v>
      </c>
      <c r="F249">
        <v>32</v>
      </c>
      <c r="G249">
        <v>37</v>
      </c>
    </row>
    <row r="250" spans="1:7" x14ac:dyDescent="0.25">
      <c r="A250">
        <v>248</v>
      </c>
      <c r="B250">
        <v>54</v>
      </c>
      <c r="C250">
        <v>0</v>
      </c>
      <c r="D250" t="s">
        <v>8906</v>
      </c>
      <c r="E250" t="s">
        <v>8906</v>
      </c>
      <c r="F250">
        <v>32</v>
      </c>
      <c r="G250">
        <v>37</v>
      </c>
    </row>
    <row r="251" spans="1:7" x14ac:dyDescent="0.25">
      <c r="A251">
        <v>249</v>
      </c>
      <c r="B251">
        <v>40</v>
      </c>
      <c r="C251">
        <v>0</v>
      </c>
      <c r="D251" t="s">
        <v>8907</v>
      </c>
      <c r="E251" t="s">
        <v>8907</v>
      </c>
      <c r="F251">
        <v>31</v>
      </c>
      <c r="G251">
        <v>38</v>
      </c>
    </row>
    <row r="252" spans="1:7" x14ac:dyDescent="0.25">
      <c r="A252">
        <v>250</v>
      </c>
      <c r="B252">
        <v>54</v>
      </c>
      <c r="C252">
        <v>0</v>
      </c>
      <c r="D252" t="s">
        <v>8908</v>
      </c>
      <c r="E252" t="s">
        <v>8908</v>
      </c>
      <c r="F252">
        <v>32</v>
      </c>
      <c r="G252">
        <v>38</v>
      </c>
    </row>
    <row r="253" spans="1:7" x14ac:dyDescent="0.25">
      <c r="A253">
        <v>251</v>
      </c>
      <c r="B253">
        <v>11</v>
      </c>
      <c r="C253">
        <v>0</v>
      </c>
      <c r="D253" t="s">
        <v>8909</v>
      </c>
      <c r="E253" t="s">
        <v>8909</v>
      </c>
      <c r="F253">
        <v>32</v>
      </c>
      <c r="G253">
        <v>38</v>
      </c>
    </row>
    <row r="254" spans="1:7" x14ac:dyDescent="0.25">
      <c r="A254">
        <v>252</v>
      </c>
      <c r="B254">
        <v>61</v>
      </c>
      <c r="C254">
        <v>0</v>
      </c>
      <c r="D254" t="s">
        <v>8910</v>
      </c>
      <c r="E254" t="s">
        <v>8910</v>
      </c>
      <c r="F254">
        <v>32</v>
      </c>
      <c r="G254">
        <v>38</v>
      </c>
    </row>
    <row r="255" spans="1:7" x14ac:dyDescent="0.25">
      <c r="A255">
        <v>253</v>
      </c>
      <c r="B255">
        <v>69</v>
      </c>
      <c r="C255">
        <v>0</v>
      </c>
      <c r="D255" t="s">
        <v>8911</v>
      </c>
      <c r="E255" t="s">
        <v>8911</v>
      </c>
      <c r="F255">
        <v>32</v>
      </c>
      <c r="G255">
        <v>38</v>
      </c>
    </row>
    <row r="256" spans="1:7" x14ac:dyDescent="0.25">
      <c r="A256">
        <v>254</v>
      </c>
      <c r="B256">
        <v>58</v>
      </c>
      <c r="C256">
        <v>0</v>
      </c>
      <c r="D256" t="s">
        <v>8912</v>
      </c>
      <c r="E256" t="s">
        <v>8912</v>
      </c>
      <c r="F256">
        <v>32</v>
      </c>
      <c r="G256">
        <v>38</v>
      </c>
    </row>
    <row r="257" spans="1:7" x14ac:dyDescent="0.25">
      <c r="A257">
        <v>255</v>
      </c>
      <c r="B257">
        <v>54</v>
      </c>
      <c r="C257">
        <v>0</v>
      </c>
      <c r="D257" t="s">
        <v>8913</v>
      </c>
      <c r="E257" t="s">
        <v>8913</v>
      </c>
      <c r="F257">
        <v>32</v>
      </c>
      <c r="G257">
        <v>38</v>
      </c>
    </row>
    <row r="258" spans="1:7" x14ac:dyDescent="0.25">
      <c r="A258">
        <v>256</v>
      </c>
      <c r="B258">
        <v>69</v>
      </c>
      <c r="C258">
        <v>0</v>
      </c>
      <c r="D258" t="s">
        <v>8914</v>
      </c>
      <c r="E258" t="s">
        <v>8914</v>
      </c>
      <c r="F258">
        <v>32</v>
      </c>
      <c r="G258">
        <v>38</v>
      </c>
    </row>
    <row r="259" spans="1:7" x14ac:dyDescent="0.25">
      <c r="A259">
        <v>257</v>
      </c>
      <c r="B259">
        <v>24</v>
      </c>
      <c r="C259">
        <v>0</v>
      </c>
      <c r="D259" t="s">
        <v>8915</v>
      </c>
      <c r="E259" t="s">
        <v>8915</v>
      </c>
      <c r="F259">
        <v>32</v>
      </c>
      <c r="G259">
        <v>38</v>
      </c>
    </row>
    <row r="260" spans="1:7" x14ac:dyDescent="0.25">
      <c r="A260">
        <v>258</v>
      </c>
      <c r="B260">
        <v>4</v>
      </c>
      <c r="C260">
        <v>0</v>
      </c>
      <c r="D260" t="s">
        <v>8916</v>
      </c>
      <c r="E260" t="s">
        <v>8916</v>
      </c>
      <c r="F260">
        <v>32</v>
      </c>
      <c r="G260">
        <v>38</v>
      </c>
    </row>
    <row r="261" spans="1:7" x14ac:dyDescent="0.25">
      <c r="A261">
        <v>259</v>
      </c>
      <c r="B261">
        <v>54</v>
      </c>
      <c r="C261">
        <v>0</v>
      </c>
      <c r="D261" t="s">
        <v>8917</v>
      </c>
      <c r="E261" t="s">
        <v>8917</v>
      </c>
      <c r="F261">
        <v>32</v>
      </c>
      <c r="G261">
        <v>37</v>
      </c>
    </row>
    <row r="262" spans="1:7" x14ac:dyDescent="0.25">
      <c r="A262">
        <v>260</v>
      </c>
      <c r="B262">
        <v>4</v>
      </c>
      <c r="C262">
        <v>0</v>
      </c>
      <c r="D262" t="s">
        <v>8918</v>
      </c>
      <c r="E262" t="s">
        <v>8918</v>
      </c>
      <c r="F262">
        <v>32</v>
      </c>
      <c r="G262">
        <v>38</v>
      </c>
    </row>
    <row r="263" spans="1:7" x14ac:dyDescent="0.25">
      <c r="A263">
        <v>261</v>
      </c>
      <c r="B263">
        <v>69</v>
      </c>
      <c r="C263">
        <v>0</v>
      </c>
      <c r="D263" t="s">
        <v>8919</v>
      </c>
      <c r="E263" t="s">
        <v>8919</v>
      </c>
      <c r="F263">
        <v>32</v>
      </c>
      <c r="G263">
        <v>38</v>
      </c>
    </row>
    <row r="264" spans="1:7" x14ac:dyDescent="0.25">
      <c r="A264">
        <v>262</v>
      </c>
      <c r="B264">
        <v>53</v>
      </c>
      <c r="C264">
        <v>0</v>
      </c>
      <c r="D264" t="s">
        <v>8920</v>
      </c>
      <c r="E264" t="s">
        <v>8920</v>
      </c>
      <c r="F264">
        <v>32</v>
      </c>
      <c r="G264">
        <v>37</v>
      </c>
    </row>
    <row r="265" spans="1:7" x14ac:dyDescent="0.25">
      <c r="A265">
        <v>263</v>
      </c>
      <c r="B265">
        <v>54</v>
      </c>
      <c r="C265">
        <v>0</v>
      </c>
      <c r="D265" t="s">
        <v>8921</v>
      </c>
      <c r="E265" t="s">
        <v>8921</v>
      </c>
      <c r="F265">
        <v>32</v>
      </c>
      <c r="G265">
        <v>37</v>
      </c>
    </row>
    <row r="266" spans="1:7" x14ac:dyDescent="0.25">
      <c r="A266">
        <v>264</v>
      </c>
      <c r="B266">
        <v>33</v>
      </c>
      <c r="C266">
        <v>0</v>
      </c>
      <c r="D266" t="s">
        <v>8922</v>
      </c>
      <c r="E266" t="s">
        <v>8922</v>
      </c>
      <c r="F266">
        <v>32</v>
      </c>
      <c r="G266">
        <v>38</v>
      </c>
    </row>
    <row r="267" spans="1:7" x14ac:dyDescent="0.25">
      <c r="A267">
        <v>265</v>
      </c>
      <c r="B267">
        <v>54</v>
      </c>
      <c r="C267">
        <v>0</v>
      </c>
      <c r="D267" t="s">
        <v>8923</v>
      </c>
      <c r="E267" t="s">
        <v>8923</v>
      </c>
      <c r="F267">
        <v>32</v>
      </c>
      <c r="G267">
        <v>38</v>
      </c>
    </row>
    <row r="268" spans="1:7" x14ac:dyDescent="0.25">
      <c r="A268">
        <v>266</v>
      </c>
      <c r="B268">
        <v>45</v>
      </c>
      <c r="C268">
        <v>0</v>
      </c>
      <c r="D268" t="s">
        <v>3311</v>
      </c>
      <c r="E268" t="s">
        <v>3311</v>
      </c>
      <c r="F268">
        <v>32</v>
      </c>
      <c r="G268">
        <v>38</v>
      </c>
    </row>
    <row r="269" spans="1:7" x14ac:dyDescent="0.25">
      <c r="A269">
        <v>267</v>
      </c>
      <c r="B269">
        <v>8</v>
      </c>
      <c r="C269">
        <v>0</v>
      </c>
      <c r="D269" t="s">
        <v>8924</v>
      </c>
      <c r="E269" t="s">
        <v>8924</v>
      </c>
      <c r="F269">
        <v>32</v>
      </c>
      <c r="G269">
        <v>38</v>
      </c>
    </row>
    <row r="270" spans="1:7" x14ac:dyDescent="0.25">
      <c r="A270">
        <v>268</v>
      </c>
      <c r="B270">
        <v>4</v>
      </c>
      <c r="C270">
        <v>0</v>
      </c>
      <c r="D270" t="s">
        <v>8925</v>
      </c>
      <c r="E270" t="s">
        <v>8925</v>
      </c>
      <c r="F270">
        <v>32</v>
      </c>
      <c r="G270">
        <v>38</v>
      </c>
    </row>
    <row r="271" spans="1:7" x14ac:dyDescent="0.25">
      <c r="A271">
        <v>269</v>
      </c>
      <c r="B271">
        <v>54</v>
      </c>
      <c r="C271">
        <v>0</v>
      </c>
      <c r="D271" t="s">
        <v>8926</v>
      </c>
      <c r="E271" t="s">
        <v>8926</v>
      </c>
      <c r="F271">
        <v>32</v>
      </c>
      <c r="G271">
        <v>38</v>
      </c>
    </row>
    <row r="272" spans="1:7" x14ac:dyDescent="0.25">
      <c r="A272">
        <v>270</v>
      </c>
      <c r="B272">
        <v>23</v>
      </c>
      <c r="C272">
        <v>0</v>
      </c>
      <c r="D272" t="s">
        <v>8927</v>
      </c>
      <c r="E272" t="s">
        <v>8927</v>
      </c>
      <c r="F272">
        <v>32</v>
      </c>
      <c r="G272">
        <v>38</v>
      </c>
    </row>
    <row r="273" spans="1:7" x14ac:dyDescent="0.25">
      <c r="A273">
        <v>271</v>
      </c>
      <c r="B273">
        <v>54</v>
      </c>
      <c r="C273">
        <v>0</v>
      </c>
      <c r="D273" t="s">
        <v>8928</v>
      </c>
      <c r="F273">
        <v>32</v>
      </c>
      <c r="G273">
        <v>37</v>
      </c>
    </row>
    <row r="274" spans="1:7" x14ac:dyDescent="0.25">
      <c r="A274">
        <v>272</v>
      </c>
      <c r="B274">
        <v>54</v>
      </c>
      <c r="C274">
        <v>0</v>
      </c>
      <c r="D274" t="s">
        <v>8929</v>
      </c>
      <c r="E274" t="s">
        <v>8929</v>
      </c>
      <c r="F274">
        <v>32</v>
      </c>
      <c r="G274">
        <v>38</v>
      </c>
    </row>
    <row r="275" spans="1:7" x14ac:dyDescent="0.25">
      <c r="A275">
        <v>273</v>
      </c>
      <c r="B275">
        <v>54</v>
      </c>
      <c r="C275">
        <v>0</v>
      </c>
      <c r="D275" t="s">
        <v>8930</v>
      </c>
      <c r="E275" t="s">
        <v>8930</v>
      </c>
      <c r="F275">
        <v>32</v>
      </c>
      <c r="G275">
        <v>38</v>
      </c>
    </row>
    <row r="276" spans="1:7" x14ac:dyDescent="0.25">
      <c r="A276">
        <v>274</v>
      </c>
      <c r="B276">
        <v>33</v>
      </c>
      <c r="C276">
        <v>0</v>
      </c>
      <c r="D276" t="s">
        <v>8931</v>
      </c>
      <c r="E276" t="s">
        <v>8931</v>
      </c>
      <c r="F276">
        <v>32</v>
      </c>
      <c r="G276">
        <v>38</v>
      </c>
    </row>
    <row r="277" spans="1:7" x14ac:dyDescent="0.25">
      <c r="A277">
        <v>275</v>
      </c>
      <c r="B277">
        <v>57</v>
      </c>
      <c r="C277">
        <v>0</v>
      </c>
      <c r="D277" t="s">
        <v>8932</v>
      </c>
      <c r="E277" t="s">
        <v>8932</v>
      </c>
      <c r="F277">
        <v>32</v>
      </c>
      <c r="G277">
        <v>38</v>
      </c>
    </row>
    <row r="278" spans="1:7" x14ac:dyDescent="0.25">
      <c r="A278">
        <v>276</v>
      </c>
      <c r="B278">
        <v>69</v>
      </c>
      <c r="C278">
        <v>0</v>
      </c>
      <c r="D278" t="s">
        <v>8933</v>
      </c>
      <c r="E278" t="s">
        <v>8933</v>
      </c>
      <c r="F278">
        <v>32</v>
      </c>
      <c r="G278">
        <v>38</v>
      </c>
    </row>
    <row r="279" spans="1:7" x14ac:dyDescent="0.25">
      <c r="A279">
        <v>277</v>
      </c>
      <c r="B279">
        <v>40</v>
      </c>
      <c r="C279">
        <v>0</v>
      </c>
      <c r="D279" t="s">
        <v>8934</v>
      </c>
      <c r="E279" t="s">
        <v>8934</v>
      </c>
      <c r="F279">
        <v>31</v>
      </c>
      <c r="G279">
        <v>37</v>
      </c>
    </row>
    <row r="280" spans="1:7" x14ac:dyDescent="0.25">
      <c r="A280">
        <v>278</v>
      </c>
      <c r="B280">
        <v>54</v>
      </c>
      <c r="C280">
        <v>0</v>
      </c>
      <c r="D280" t="s">
        <v>8935</v>
      </c>
      <c r="E280" t="s">
        <v>8935</v>
      </c>
      <c r="F280">
        <v>32</v>
      </c>
      <c r="G280">
        <v>37</v>
      </c>
    </row>
    <row r="281" spans="1:7" x14ac:dyDescent="0.25">
      <c r="A281">
        <v>279</v>
      </c>
      <c r="B281">
        <v>23</v>
      </c>
      <c r="C281">
        <v>0</v>
      </c>
      <c r="D281" t="s">
        <v>8936</v>
      </c>
      <c r="E281" t="s">
        <v>8936</v>
      </c>
      <c r="F281">
        <v>32</v>
      </c>
      <c r="G281">
        <v>37</v>
      </c>
    </row>
    <row r="282" spans="1:7" x14ac:dyDescent="0.25">
      <c r="A282">
        <v>280</v>
      </c>
      <c r="B282">
        <v>54</v>
      </c>
      <c r="C282">
        <v>0</v>
      </c>
      <c r="D282" t="s">
        <v>8937</v>
      </c>
      <c r="E282" t="s">
        <v>8937</v>
      </c>
      <c r="F282">
        <v>32</v>
      </c>
      <c r="G282">
        <v>37</v>
      </c>
    </row>
    <row r="283" spans="1:7" x14ac:dyDescent="0.25">
      <c r="A283">
        <v>281</v>
      </c>
      <c r="B283">
        <v>74</v>
      </c>
      <c r="C283">
        <v>0</v>
      </c>
      <c r="D283" t="s">
        <v>8938</v>
      </c>
      <c r="E283" t="s">
        <v>8938</v>
      </c>
      <c r="F283">
        <v>32</v>
      </c>
      <c r="G283">
        <v>37</v>
      </c>
    </row>
    <row r="284" spans="1:7" x14ac:dyDescent="0.25">
      <c r="A284">
        <v>282</v>
      </c>
      <c r="B284">
        <v>52</v>
      </c>
      <c r="C284">
        <v>0</v>
      </c>
      <c r="D284" t="s">
        <v>8939</v>
      </c>
      <c r="E284" t="s">
        <v>8939</v>
      </c>
      <c r="F284">
        <v>32</v>
      </c>
      <c r="G284">
        <v>37</v>
      </c>
    </row>
    <row r="285" spans="1:7" x14ac:dyDescent="0.25">
      <c r="A285">
        <v>283</v>
      </c>
      <c r="B285">
        <v>69</v>
      </c>
      <c r="C285">
        <v>0</v>
      </c>
      <c r="D285" t="s">
        <v>8940</v>
      </c>
      <c r="E285" t="s">
        <v>8940</v>
      </c>
      <c r="F285">
        <v>32</v>
      </c>
      <c r="G285">
        <v>37</v>
      </c>
    </row>
    <row r="286" spans="1:7" x14ac:dyDescent="0.25">
      <c r="A286">
        <v>284</v>
      </c>
      <c r="B286">
        <v>84</v>
      </c>
      <c r="C286">
        <v>0</v>
      </c>
      <c r="D286" t="s">
        <v>8941</v>
      </c>
      <c r="E286" t="s">
        <v>8941</v>
      </c>
      <c r="F286">
        <v>32</v>
      </c>
      <c r="G286">
        <v>37</v>
      </c>
    </row>
    <row r="287" spans="1:7" x14ac:dyDescent="0.25">
      <c r="A287">
        <v>285</v>
      </c>
      <c r="B287">
        <v>54</v>
      </c>
      <c r="C287">
        <v>0</v>
      </c>
      <c r="D287" t="s">
        <v>8942</v>
      </c>
      <c r="E287" t="s">
        <v>8942</v>
      </c>
      <c r="F287">
        <v>32</v>
      </c>
      <c r="G287">
        <v>37</v>
      </c>
    </row>
    <row r="288" spans="1:7" x14ac:dyDescent="0.25">
      <c r="A288">
        <v>286</v>
      </c>
      <c r="B288">
        <v>25</v>
      </c>
      <c r="C288">
        <v>0</v>
      </c>
      <c r="D288" t="s">
        <v>8943</v>
      </c>
      <c r="E288" t="s">
        <v>8943</v>
      </c>
      <c r="F288">
        <v>32</v>
      </c>
      <c r="G288">
        <v>37</v>
      </c>
    </row>
    <row r="289" spans="1:7" x14ac:dyDescent="0.25">
      <c r="A289">
        <v>287</v>
      </c>
      <c r="B289">
        <v>54</v>
      </c>
      <c r="C289">
        <v>0</v>
      </c>
      <c r="D289" t="s">
        <v>8944</v>
      </c>
      <c r="E289" t="s">
        <v>8944</v>
      </c>
      <c r="F289">
        <v>32</v>
      </c>
      <c r="G289">
        <v>37</v>
      </c>
    </row>
    <row r="290" spans="1:7" x14ac:dyDescent="0.25">
      <c r="A290">
        <v>288</v>
      </c>
      <c r="B290">
        <v>8</v>
      </c>
      <c r="C290">
        <v>0</v>
      </c>
      <c r="D290" t="s">
        <v>8945</v>
      </c>
      <c r="E290" t="s">
        <v>8945</v>
      </c>
      <c r="F290">
        <v>32</v>
      </c>
      <c r="G290">
        <v>37</v>
      </c>
    </row>
    <row r="291" spans="1:7" x14ac:dyDescent="0.25">
      <c r="A291">
        <v>289</v>
      </c>
      <c r="B291">
        <v>25</v>
      </c>
      <c r="C291">
        <v>0</v>
      </c>
      <c r="D291" t="s">
        <v>8946</v>
      </c>
      <c r="E291" t="s">
        <v>8946</v>
      </c>
      <c r="F291">
        <v>32</v>
      </c>
      <c r="G291">
        <v>37</v>
      </c>
    </row>
    <row r="292" spans="1:7" x14ac:dyDescent="0.25">
      <c r="A292">
        <v>290</v>
      </c>
      <c r="B292">
        <v>25</v>
      </c>
      <c r="C292">
        <v>0</v>
      </c>
      <c r="D292" t="s">
        <v>8947</v>
      </c>
      <c r="E292" t="s">
        <v>8947</v>
      </c>
      <c r="F292">
        <v>32</v>
      </c>
      <c r="G292">
        <v>37</v>
      </c>
    </row>
    <row r="293" spans="1:7" x14ac:dyDescent="0.25">
      <c r="A293">
        <v>291</v>
      </c>
      <c r="B293">
        <v>40</v>
      </c>
      <c r="C293">
        <v>0</v>
      </c>
      <c r="D293" t="s">
        <v>8948</v>
      </c>
      <c r="E293" t="s">
        <v>8948</v>
      </c>
      <c r="F293">
        <v>32</v>
      </c>
      <c r="G293">
        <v>37</v>
      </c>
    </row>
    <row r="294" spans="1:7" x14ac:dyDescent="0.25">
      <c r="A294">
        <v>292</v>
      </c>
      <c r="B294">
        <v>40</v>
      </c>
      <c r="C294">
        <v>0</v>
      </c>
      <c r="D294" t="s">
        <v>8949</v>
      </c>
      <c r="E294" t="s">
        <v>8949</v>
      </c>
      <c r="F294">
        <v>31</v>
      </c>
      <c r="G294">
        <v>37</v>
      </c>
    </row>
    <row r="295" spans="1:7" x14ac:dyDescent="0.25">
      <c r="A295">
        <v>293</v>
      </c>
      <c r="B295">
        <v>40</v>
      </c>
      <c r="C295">
        <v>0</v>
      </c>
      <c r="D295" t="s">
        <v>8950</v>
      </c>
      <c r="E295" t="s">
        <v>8950</v>
      </c>
      <c r="F295">
        <v>31</v>
      </c>
      <c r="G295">
        <v>37</v>
      </c>
    </row>
    <row r="296" spans="1:7" x14ac:dyDescent="0.25">
      <c r="A296">
        <v>294</v>
      </c>
      <c r="B296">
        <v>2</v>
      </c>
      <c r="C296">
        <v>0</v>
      </c>
      <c r="D296" t="s">
        <v>8951</v>
      </c>
      <c r="E296" t="s">
        <v>8951</v>
      </c>
      <c r="F296">
        <v>32</v>
      </c>
      <c r="G296">
        <v>38</v>
      </c>
    </row>
    <row r="297" spans="1:7" x14ac:dyDescent="0.25">
      <c r="A297">
        <v>295</v>
      </c>
      <c r="B297">
        <v>58</v>
      </c>
      <c r="C297">
        <v>0</v>
      </c>
      <c r="D297" t="s">
        <v>8952</v>
      </c>
      <c r="E297" t="s">
        <v>8952</v>
      </c>
      <c r="F297">
        <v>32</v>
      </c>
      <c r="G297">
        <v>38</v>
      </c>
    </row>
    <row r="298" spans="1:7" x14ac:dyDescent="0.25">
      <c r="A298">
        <v>296</v>
      </c>
      <c r="B298">
        <v>25</v>
      </c>
      <c r="C298">
        <v>0</v>
      </c>
      <c r="D298" t="s">
        <v>8953</v>
      </c>
      <c r="E298" t="s">
        <v>8953</v>
      </c>
      <c r="F298">
        <v>32</v>
      </c>
      <c r="G298">
        <v>37</v>
      </c>
    </row>
    <row r="299" spans="1:7" x14ac:dyDescent="0.25">
      <c r="A299">
        <v>297</v>
      </c>
      <c r="B299">
        <v>69</v>
      </c>
      <c r="C299">
        <v>0</v>
      </c>
      <c r="D299" t="s">
        <v>8954</v>
      </c>
      <c r="E299" t="s">
        <v>8954</v>
      </c>
      <c r="F299">
        <v>32</v>
      </c>
      <c r="G299">
        <v>38</v>
      </c>
    </row>
    <row r="300" spans="1:7" x14ac:dyDescent="0.25">
      <c r="A300">
        <v>298</v>
      </c>
      <c r="B300">
        <v>80</v>
      </c>
      <c r="C300">
        <v>0</v>
      </c>
      <c r="D300" t="s">
        <v>8955</v>
      </c>
      <c r="E300" t="s">
        <v>8955</v>
      </c>
      <c r="F300">
        <v>32</v>
      </c>
      <c r="G300">
        <v>38</v>
      </c>
    </row>
    <row r="301" spans="1:7" x14ac:dyDescent="0.25">
      <c r="A301">
        <v>299</v>
      </c>
      <c r="B301">
        <v>43</v>
      </c>
      <c r="C301">
        <v>0</v>
      </c>
      <c r="D301" t="s">
        <v>8956</v>
      </c>
      <c r="E301" t="s">
        <v>8956</v>
      </c>
      <c r="F301">
        <v>32</v>
      </c>
      <c r="G301">
        <v>37</v>
      </c>
    </row>
    <row r="302" spans="1:7" x14ac:dyDescent="0.25">
      <c r="A302">
        <v>300</v>
      </c>
      <c r="B302">
        <v>54</v>
      </c>
      <c r="C302">
        <v>0</v>
      </c>
      <c r="D302" t="s">
        <v>8957</v>
      </c>
      <c r="E302" t="s">
        <v>8957</v>
      </c>
      <c r="F302">
        <v>32</v>
      </c>
      <c r="G302">
        <v>37</v>
      </c>
    </row>
    <row r="303" spans="1:7" x14ac:dyDescent="0.25">
      <c r="A303">
        <v>301</v>
      </c>
      <c r="B303">
        <v>4</v>
      </c>
      <c r="C303">
        <v>0</v>
      </c>
      <c r="D303" t="s">
        <v>8958</v>
      </c>
      <c r="E303" t="s">
        <v>8958</v>
      </c>
      <c r="F303">
        <v>32</v>
      </c>
      <c r="G303">
        <v>37</v>
      </c>
    </row>
    <row r="304" spans="1:7" x14ac:dyDescent="0.25">
      <c r="A304">
        <v>302</v>
      </c>
      <c r="B304">
        <v>54</v>
      </c>
      <c r="C304">
        <v>0</v>
      </c>
      <c r="D304" t="s">
        <v>8959</v>
      </c>
      <c r="E304" t="s">
        <v>8959</v>
      </c>
      <c r="F304">
        <v>32</v>
      </c>
      <c r="G304">
        <v>37</v>
      </c>
    </row>
    <row r="305" spans="1:7" x14ac:dyDescent="0.25">
      <c r="A305">
        <v>303</v>
      </c>
      <c r="B305">
        <v>40</v>
      </c>
      <c r="C305">
        <v>0</v>
      </c>
      <c r="D305" t="s">
        <v>8960</v>
      </c>
      <c r="E305" t="s">
        <v>8960</v>
      </c>
      <c r="F305">
        <v>31</v>
      </c>
      <c r="G305">
        <v>37</v>
      </c>
    </row>
    <row r="306" spans="1:7" x14ac:dyDescent="0.25">
      <c r="A306">
        <v>304</v>
      </c>
      <c r="B306">
        <v>1</v>
      </c>
      <c r="C306">
        <v>0</v>
      </c>
      <c r="D306" t="s">
        <v>8961</v>
      </c>
      <c r="E306" t="s">
        <v>8961</v>
      </c>
      <c r="F306">
        <v>32</v>
      </c>
      <c r="G306">
        <v>38</v>
      </c>
    </row>
    <row r="307" spans="1:7" x14ac:dyDescent="0.25">
      <c r="A307">
        <v>305</v>
      </c>
      <c r="B307">
        <v>54</v>
      </c>
      <c r="C307">
        <v>0</v>
      </c>
      <c r="D307" t="s">
        <v>8962</v>
      </c>
      <c r="E307" t="s">
        <v>8962</v>
      </c>
      <c r="F307">
        <v>32</v>
      </c>
      <c r="G307">
        <v>38</v>
      </c>
    </row>
    <row r="308" spans="1:7" x14ac:dyDescent="0.25">
      <c r="A308">
        <v>306</v>
      </c>
      <c r="B308">
        <v>8</v>
      </c>
      <c r="C308">
        <v>0</v>
      </c>
      <c r="D308" t="s">
        <v>8963</v>
      </c>
      <c r="E308" t="s">
        <v>8963</v>
      </c>
      <c r="F308">
        <v>32</v>
      </c>
      <c r="G308">
        <v>38</v>
      </c>
    </row>
    <row r="309" spans="1:7" x14ac:dyDescent="0.25">
      <c r="A309">
        <v>307</v>
      </c>
      <c r="B309">
        <v>55</v>
      </c>
      <c r="C309">
        <v>0</v>
      </c>
      <c r="D309" t="s">
        <v>8964</v>
      </c>
      <c r="E309" t="s">
        <v>8964</v>
      </c>
      <c r="F309">
        <v>32</v>
      </c>
      <c r="G309">
        <v>38</v>
      </c>
    </row>
    <row r="310" spans="1:7" x14ac:dyDescent="0.25">
      <c r="A310">
        <v>308</v>
      </c>
      <c r="B310">
        <v>2</v>
      </c>
      <c r="C310">
        <v>0</v>
      </c>
      <c r="D310" t="s">
        <v>8965</v>
      </c>
      <c r="E310" t="s">
        <v>8965</v>
      </c>
      <c r="F310">
        <v>32</v>
      </c>
      <c r="G310">
        <v>38</v>
      </c>
    </row>
    <row r="311" spans="1:7" x14ac:dyDescent="0.25">
      <c r="A311">
        <v>309</v>
      </c>
      <c r="B311">
        <v>43</v>
      </c>
      <c r="C311">
        <v>0</v>
      </c>
      <c r="D311" t="s">
        <v>8966</v>
      </c>
      <c r="E311" t="s">
        <v>8966</v>
      </c>
      <c r="F311">
        <v>32</v>
      </c>
      <c r="G311">
        <v>38</v>
      </c>
    </row>
    <row r="312" spans="1:7" x14ac:dyDescent="0.25">
      <c r="A312">
        <v>310</v>
      </c>
      <c r="B312">
        <v>23</v>
      </c>
      <c r="C312">
        <v>0</v>
      </c>
      <c r="D312" t="s">
        <v>8967</v>
      </c>
      <c r="E312" t="s">
        <v>8967</v>
      </c>
      <c r="F312">
        <v>32</v>
      </c>
      <c r="G312">
        <v>38</v>
      </c>
    </row>
    <row r="313" spans="1:7" x14ac:dyDescent="0.25">
      <c r="A313">
        <v>311</v>
      </c>
      <c r="B313">
        <v>23</v>
      </c>
      <c r="C313">
        <v>0</v>
      </c>
      <c r="D313" t="s">
        <v>8968</v>
      </c>
      <c r="E313" t="s">
        <v>8968</v>
      </c>
      <c r="F313">
        <v>32</v>
      </c>
      <c r="G313">
        <v>37</v>
      </c>
    </row>
    <row r="314" spans="1:7" x14ac:dyDescent="0.25">
      <c r="A314">
        <v>312</v>
      </c>
      <c r="B314">
        <v>54</v>
      </c>
      <c r="C314">
        <v>0</v>
      </c>
      <c r="D314" t="s">
        <v>8969</v>
      </c>
      <c r="E314" t="s">
        <v>8969</v>
      </c>
      <c r="F314">
        <v>32</v>
      </c>
      <c r="G314">
        <v>38</v>
      </c>
    </row>
    <row r="315" spans="1:7" x14ac:dyDescent="0.25">
      <c r="A315">
        <v>313</v>
      </c>
      <c r="B315">
        <v>54</v>
      </c>
      <c r="C315">
        <v>0</v>
      </c>
      <c r="D315" t="s">
        <v>8970</v>
      </c>
      <c r="E315" t="s">
        <v>8970</v>
      </c>
      <c r="F315">
        <v>32</v>
      </c>
      <c r="G315">
        <v>38</v>
      </c>
    </row>
    <row r="316" spans="1:7" x14ac:dyDescent="0.25">
      <c r="A316">
        <v>314</v>
      </c>
      <c r="B316">
        <v>25</v>
      </c>
      <c r="C316">
        <v>0</v>
      </c>
      <c r="D316" t="s">
        <v>8971</v>
      </c>
      <c r="E316" t="s">
        <v>8971</v>
      </c>
      <c r="F316">
        <v>32</v>
      </c>
      <c r="G316">
        <v>38</v>
      </c>
    </row>
    <row r="317" spans="1:7" x14ac:dyDescent="0.25">
      <c r="A317">
        <v>315</v>
      </c>
      <c r="B317">
        <v>25</v>
      </c>
      <c r="C317">
        <v>0</v>
      </c>
      <c r="D317" t="s">
        <v>8972</v>
      </c>
      <c r="E317" t="s">
        <v>8972</v>
      </c>
      <c r="F317">
        <v>32</v>
      </c>
      <c r="G317">
        <v>38</v>
      </c>
    </row>
    <row r="318" spans="1:7" x14ac:dyDescent="0.25">
      <c r="A318">
        <v>316</v>
      </c>
      <c r="B318">
        <v>84</v>
      </c>
      <c r="C318">
        <v>0</v>
      </c>
      <c r="D318" t="s">
        <v>8973</v>
      </c>
      <c r="E318" t="s">
        <v>8973</v>
      </c>
      <c r="F318">
        <v>32</v>
      </c>
      <c r="G318">
        <v>38</v>
      </c>
    </row>
    <row r="319" spans="1:7" x14ac:dyDescent="0.25">
      <c r="A319">
        <v>317</v>
      </c>
      <c r="B319">
        <v>54</v>
      </c>
      <c r="C319">
        <v>0</v>
      </c>
      <c r="D319" t="s">
        <v>8974</v>
      </c>
      <c r="E319" t="s">
        <v>8974</v>
      </c>
      <c r="F319">
        <v>32</v>
      </c>
      <c r="G319">
        <v>38</v>
      </c>
    </row>
    <row r="320" spans="1:7" x14ac:dyDescent="0.25">
      <c r="A320">
        <v>318</v>
      </c>
      <c r="B320">
        <v>34</v>
      </c>
      <c r="C320">
        <v>0</v>
      </c>
      <c r="D320" t="s">
        <v>8975</v>
      </c>
      <c r="E320" t="s">
        <v>8975</v>
      </c>
      <c r="F320">
        <v>32</v>
      </c>
      <c r="G320">
        <v>37</v>
      </c>
    </row>
    <row r="321" spans="1:7" x14ac:dyDescent="0.25">
      <c r="A321">
        <v>319</v>
      </c>
      <c r="B321">
        <v>5</v>
      </c>
      <c r="C321">
        <v>0</v>
      </c>
      <c r="D321" t="s">
        <v>8976</v>
      </c>
      <c r="E321" t="s">
        <v>8976</v>
      </c>
      <c r="F321">
        <v>32</v>
      </c>
      <c r="G321">
        <v>37</v>
      </c>
    </row>
    <row r="322" spans="1:7" x14ac:dyDescent="0.25">
      <c r="A322">
        <v>320</v>
      </c>
      <c r="B322">
        <v>62</v>
      </c>
      <c r="C322">
        <v>0</v>
      </c>
      <c r="D322" t="s">
        <v>8977</v>
      </c>
      <c r="E322" t="s">
        <v>8977</v>
      </c>
      <c r="F322">
        <v>32</v>
      </c>
      <c r="G322">
        <v>37</v>
      </c>
    </row>
    <row r="323" spans="1:7" x14ac:dyDescent="0.25">
      <c r="A323">
        <v>321</v>
      </c>
      <c r="B323">
        <v>14</v>
      </c>
      <c r="C323">
        <v>0</v>
      </c>
      <c r="D323" t="s">
        <v>8978</v>
      </c>
      <c r="E323" t="s">
        <v>8978</v>
      </c>
      <c r="F323">
        <v>32</v>
      </c>
      <c r="G323">
        <v>37</v>
      </c>
    </row>
    <row r="324" spans="1:7" x14ac:dyDescent="0.25">
      <c r="A324">
        <v>322</v>
      </c>
      <c r="B324">
        <v>54</v>
      </c>
      <c r="C324">
        <v>0</v>
      </c>
      <c r="D324" t="s">
        <v>8979</v>
      </c>
      <c r="E324" t="s">
        <v>8979</v>
      </c>
      <c r="F324">
        <v>32</v>
      </c>
      <c r="G324">
        <v>37</v>
      </c>
    </row>
    <row r="325" spans="1:7" x14ac:dyDescent="0.25">
      <c r="A325">
        <v>323</v>
      </c>
      <c r="B325">
        <v>54</v>
      </c>
      <c r="C325">
        <v>0</v>
      </c>
      <c r="D325" t="s">
        <v>8980</v>
      </c>
      <c r="E325" t="s">
        <v>8980</v>
      </c>
      <c r="F325">
        <v>32</v>
      </c>
      <c r="G325">
        <v>37</v>
      </c>
    </row>
    <row r="326" spans="1:7" x14ac:dyDescent="0.25">
      <c r="A326">
        <v>324</v>
      </c>
      <c r="B326">
        <v>40</v>
      </c>
      <c r="C326">
        <v>0</v>
      </c>
      <c r="D326" t="s">
        <v>8981</v>
      </c>
      <c r="E326" t="s">
        <v>8981</v>
      </c>
      <c r="F326">
        <v>31</v>
      </c>
      <c r="G326">
        <v>37</v>
      </c>
    </row>
    <row r="327" spans="1:7" x14ac:dyDescent="0.25">
      <c r="A327">
        <v>325</v>
      </c>
      <c r="B327">
        <v>69</v>
      </c>
      <c r="C327">
        <v>0</v>
      </c>
      <c r="D327" t="s">
        <v>8982</v>
      </c>
      <c r="E327" t="s">
        <v>8982</v>
      </c>
      <c r="F327">
        <v>32</v>
      </c>
      <c r="G327">
        <v>37</v>
      </c>
    </row>
    <row r="328" spans="1:7" x14ac:dyDescent="0.25">
      <c r="A328">
        <v>326</v>
      </c>
      <c r="B328">
        <v>40</v>
      </c>
      <c r="C328">
        <v>0</v>
      </c>
      <c r="D328" t="s">
        <v>8983</v>
      </c>
      <c r="E328" t="s">
        <v>8983</v>
      </c>
      <c r="F328">
        <v>31</v>
      </c>
      <c r="G328">
        <v>37</v>
      </c>
    </row>
    <row r="329" spans="1:7" x14ac:dyDescent="0.25">
      <c r="A329">
        <v>327</v>
      </c>
      <c r="B329">
        <v>40</v>
      </c>
      <c r="C329">
        <v>0</v>
      </c>
      <c r="D329" t="s">
        <v>8984</v>
      </c>
      <c r="E329" t="s">
        <v>8984</v>
      </c>
      <c r="F329">
        <v>31</v>
      </c>
      <c r="G329">
        <v>37</v>
      </c>
    </row>
    <row r="330" spans="1:7" x14ac:dyDescent="0.25">
      <c r="A330">
        <v>328</v>
      </c>
      <c r="B330">
        <v>69</v>
      </c>
      <c r="C330">
        <v>0</v>
      </c>
      <c r="D330" t="s">
        <v>8985</v>
      </c>
      <c r="E330" t="s">
        <v>8985</v>
      </c>
      <c r="F330">
        <v>32</v>
      </c>
      <c r="G330">
        <v>38</v>
      </c>
    </row>
    <row r="331" spans="1:7" x14ac:dyDescent="0.25">
      <c r="A331">
        <v>329</v>
      </c>
      <c r="B331">
        <v>25</v>
      </c>
      <c r="C331">
        <v>0</v>
      </c>
      <c r="D331" t="s">
        <v>8986</v>
      </c>
      <c r="E331" t="s">
        <v>8986</v>
      </c>
      <c r="F331">
        <v>32</v>
      </c>
      <c r="G331">
        <v>38</v>
      </c>
    </row>
    <row r="332" spans="1:7" x14ac:dyDescent="0.25">
      <c r="A332">
        <v>330</v>
      </c>
      <c r="B332">
        <v>54</v>
      </c>
      <c r="C332">
        <v>0</v>
      </c>
      <c r="D332" t="s">
        <v>8987</v>
      </c>
      <c r="E332" t="s">
        <v>8987</v>
      </c>
      <c r="F332">
        <v>32</v>
      </c>
      <c r="G332">
        <v>38</v>
      </c>
    </row>
    <row r="333" spans="1:7" x14ac:dyDescent="0.25">
      <c r="A333">
        <v>331</v>
      </c>
      <c r="B333">
        <v>25</v>
      </c>
      <c r="C333">
        <v>0</v>
      </c>
      <c r="D333" t="s">
        <v>8988</v>
      </c>
      <c r="E333" t="s">
        <v>8988</v>
      </c>
      <c r="F333">
        <v>32</v>
      </c>
      <c r="G333">
        <v>38</v>
      </c>
    </row>
    <row r="334" spans="1:7" x14ac:dyDescent="0.25">
      <c r="A334">
        <v>332</v>
      </c>
      <c r="B334">
        <v>69</v>
      </c>
      <c r="C334">
        <v>0</v>
      </c>
      <c r="D334" t="s">
        <v>8989</v>
      </c>
      <c r="E334" t="s">
        <v>8989</v>
      </c>
      <c r="F334">
        <v>32</v>
      </c>
      <c r="G334">
        <v>38</v>
      </c>
    </row>
    <row r="335" spans="1:7" x14ac:dyDescent="0.25">
      <c r="A335">
        <v>333</v>
      </c>
      <c r="B335">
        <v>34</v>
      </c>
      <c r="C335">
        <v>0</v>
      </c>
      <c r="D335" t="s">
        <v>8975</v>
      </c>
      <c r="E335" t="s">
        <v>8975</v>
      </c>
      <c r="F335">
        <v>32</v>
      </c>
      <c r="G335">
        <v>37</v>
      </c>
    </row>
    <row r="336" spans="1:7" x14ac:dyDescent="0.25">
      <c r="A336">
        <v>334</v>
      </c>
      <c r="B336">
        <v>23</v>
      </c>
      <c r="C336">
        <v>0</v>
      </c>
      <c r="D336" t="s">
        <v>8990</v>
      </c>
      <c r="E336" t="s">
        <v>8990</v>
      </c>
      <c r="F336">
        <v>32</v>
      </c>
      <c r="G336">
        <v>38</v>
      </c>
    </row>
    <row r="337" spans="1:7" x14ac:dyDescent="0.25">
      <c r="A337">
        <v>335</v>
      </c>
      <c r="B337">
        <v>54</v>
      </c>
      <c r="C337">
        <v>0</v>
      </c>
      <c r="D337" t="s">
        <v>8991</v>
      </c>
      <c r="E337" t="s">
        <v>8991</v>
      </c>
      <c r="F337">
        <v>32</v>
      </c>
      <c r="G337">
        <v>38</v>
      </c>
    </row>
    <row r="338" spans="1:7" x14ac:dyDescent="0.25">
      <c r="A338">
        <v>336</v>
      </c>
      <c r="B338">
        <v>40</v>
      </c>
      <c r="C338">
        <v>0</v>
      </c>
      <c r="D338" t="s">
        <v>8992</v>
      </c>
      <c r="E338" t="s">
        <v>8992</v>
      </c>
      <c r="F338">
        <v>31</v>
      </c>
      <c r="G338">
        <v>37</v>
      </c>
    </row>
    <row r="339" spans="1:7" x14ac:dyDescent="0.25">
      <c r="A339">
        <v>337</v>
      </c>
      <c r="B339">
        <v>23</v>
      </c>
      <c r="C339">
        <v>0</v>
      </c>
      <c r="D339" t="s">
        <v>8993</v>
      </c>
      <c r="E339" t="s">
        <v>8993</v>
      </c>
      <c r="F339">
        <v>32</v>
      </c>
      <c r="G339">
        <v>37</v>
      </c>
    </row>
    <row r="340" spans="1:7" x14ac:dyDescent="0.25">
      <c r="A340">
        <v>338</v>
      </c>
      <c r="B340">
        <v>33</v>
      </c>
      <c r="C340">
        <v>0</v>
      </c>
      <c r="D340" t="s">
        <v>8994</v>
      </c>
      <c r="E340" t="s">
        <v>8994</v>
      </c>
      <c r="F340">
        <v>32</v>
      </c>
      <c r="G340">
        <v>37</v>
      </c>
    </row>
    <row r="341" spans="1:7" x14ac:dyDescent="0.25">
      <c r="A341">
        <v>339</v>
      </c>
      <c r="B341">
        <v>4</v>
      </c>
      <c r="C341">
        <v>0</v>
      </c>
      <c r="D341" t="s">
        <v>8995</v>
      </c>
      <c r="E341" t="s">
        <v>8995</v>
      </c>
      <c r="F341">
        <v>32</v>
      </c>
      <c r="G341">
        <v>37</v>
      </c>
    </row>
    <row r="342" spans="1:7" x14ac:dyDescent="0.25">
      <c r="A342">
        <v>340</v>
      </c>
      <c r="B342">
        <v>43</v>
      </c>
      <c r="C342">
        <v>0</v>
      </c>
      <c r="D342" t="s">
        <v>8996</v>
      </c>
      <c r="E342" t="s">
        <v>8996</v>
      </c>
      <c r="F342">
        <v>32</v>
      </c>
      <c r="G342">
        <v>37</v>
      </c>
    </row>
    <row r="343" spans="1:7" x14ac:dyDescent="0.25">
      <c r="A343">
        <v>341</v>
      </c>
      <c r="B343">
        <v>25</v>
      </c>
      <c r="C343">
        <v>200</v>
      </c>
      <c r="D343" t="s">
        <v>8997</v>
      </c>
      <c r="E343" t="s">
        <v>8997</v>
      </c>
      <c r="F343">
        <v>32</v>
      </c>
      <c r="G343">
        <v>37</v>
      </c>
    </row>
    <row r="344" spans="1:7" x14ac:dyDescent="0.25">
      <c r="A344">
        <v>342</v>
      </c>
      <c r="B344">
        <v>8</v>
      </c>
      <c r="C344">
        <v>0</v>
      </c>
      <c r="D344" t="s">
        <v>8998</v>
      </c>
      <c r="E344" t="s">
        <v>8998</v>
      </c>
      <c r="F344">
        <v>32</v>
      </c>
      <c r="G344">
        <v>38</v>
      </c>
    </row>
    <row r="345" spans="1:7" x14ac:dyDescent="0.25">
      <c r="A345">
        <v>343</v>
      </c>
      <c r="B345">
        <v>25</v>
      </c>
      <c r="C345">
        <v>0</v>
      </c>
      <c r="D345" t="s">
        <v>8999</v>
      </c>
      <c r="E345" t="s">
        <v>8999</v>
      </c>
      <c r="F345">
        <v>32</v>
      </c>
      <c r="G345">
        <v>38</v>
      </c>
    </row>
    <row r="346" spans="1:7" x14ac:dyDescent="0.25">
      <c r="A346">
        <v>344</v>
      </c>
      <c r="B346">
        <v>45</v>
      </c>
      <c r="C346">
        <v>0</v>
      </c>
      <c r="D346" t="s">
        <v>8836</v>
      </c>
      <c r="E346" t="s">
        <v>8836</v>
      </c>
      <c r="F346">
        <v>32</v>
      </c>
      <c r="G346">
        <v>38</v>
      </c>
    </row>
    <row r="347" spans="1:7" x14ac:dyDescent="0.25">
      <c r="A347">
        <v>345</v>
      </c>
      <c r="B347">
        <v>25</v>
      </c>
      <c r="C347">
        <v>0</v>
      </c>
      <c r="D347" t="s">
        <v>9000</v>
      </c>
      <c r="E347" t="s">
        <v>9000</v>
      </c>
      <c r="F347">
        <v>32</v>
      </c>
      <c r="G347">
        <v>37</v>
      </c>
    </row>
    <row r="348" spans="1:7" x14ac:dyDescent="0.25">
      <c r="A348">
        <v>346</v>
      </c>
      <c r="B348">
        <v>58</v>
      </c>
      <c r="C348">
        <v>0</v>
      </c>
      <c r="D348" t="s">
        <v>9001</v>
      </c>
      <c r="E348" t="s">
        <v>9001</v>
      </c>
      <c r="F348">
        <v>32</v>
      </c>
      <c r="G348">
        <v>37</v>
      </c>
    </row>
    <row r="349" spans="1:7" x14ac:dyDescent="0.25">
      <c r="A349">
        <v>347</v>
      </c>
      <c r="B349">
        <v>25</v>
      </c>
      <c r="C349">
        <v>0</v>
      </c>
      <c r="D349" t="s">
        <v>9002</v>
      </c>
      <c r="E349" t="s">
        <v>9002</v>
      </c>
      <c r="F349">
        <v>32</v>
      </c>
      <c r="G349">
        <v>37</v>
      </c>
    </row>
    <row r="350" spans="1:7" x14ac:dyDescent="0.25">
      <c r="A350">
        <v>348</v>
      </c>
      <c r="B350">
        <v>54</v>
      </c>
      <c r="C350">
        <v>0</v>
      </c>
      <c r="D350" t="s">
        <v>9003</v>
      </c>
      <c r="E350" t="s">
        <v>9003</v>
      </c>
      <c r="F350">
        <v>32</v>
      </c>
      <c r="G350">
        <v>37</v>
      </c>
    </row>
    <row r="351" spans="1:7" x14ac:dyDescent="0.25">
      <c r="A351">
        <v>349</v>
      </c>
      <c r="B351">
        <v>55</v>
      </c>
      <c r="C351">
        <v>0</v>
      </c>
      <c r="D351" t="s">
        <v>9004</v>
      </c>
      <c r="E351" t="s">
        <v>9004</v>
      </c>
      <c r="F351">
        <v>32</v>
      </c>
      <c r="G351">
        <v>37</v>
      </c>
    </row>
    <row r="352" spans="1:7" x14ac:dyDescent="0.25">
      <c r="A352">
        <v>350</v>
      </c>
      <c r="B352">
        <v>25</v>
      </c>
      <c r="C352">
        <v>0</v>
      </c>
      <c r="D352" t="s">
        <v>9005</v>
      </c>
      <c r="E352" t="s">
        <v>9005</v>
      </c>
      <c r="F352">
        <v>32</v>
      </c>
      <c r="G352">
        <v>37</v>
      </c>
    </row>
    <row r="353" spans="1:7" x14ac:dyDescent="0.25">
      <c r="A353">
        <v>351</v>
      </c>
      <c r="B353">
        <v>25</v>
      </c>
      <c r="C353">
        <v>0</v>
      </c>
      <c r="D353" t="s">
        <v>9006</v>
      </c>
      <c r="E353" t="s">
        <v>9006</v>
      </c>
      <c r="F353">
        <v>32</v>
      </c>
      <c r="G353">
        <v>37</v>
      </c>
    </row>
    <row r="354" spans="1:7" x14ac:dyDescent="0.25">
      <c r="A354">
        <v>352</v>
      </c>
      <c r="B354">
        <v>25</v>
      </c>
      <c r="C354">
        <v>0</v>
      </c>
      <c r="D354" t="s">
        <v>9007</v>
      </c>
      <c r="E354" t="s">
        <v>9007</v>
      </c>
      <c r="F354">
        <v>32</v>
      </c>
      <c r="G354">
        <v>37</v>
      </c>
    </row>
    <row r="355" spans="1:7" x14ac:dyDescent="0.25">
      <c r="A355">
        <v>353</v>
      </c>
      <c r="B355">
        <v>54</v>
      </c>
      <c r="C355">
        <v>0</v>
      </c>
      <c r="D355" t="s">
        <v>9008</v>
      </c>
      <c r="E355" t="s">
        <v>9008</v>
      </c>
      <c r="F355">
        <v>32</v>
      </c>
      <c r="G355">
        <v>37</v>
      </c>
    </row>
    <row r="356" spans="1:7" x14ac:dyDescent="0.25">
      <c r="A356">
        <v>354</v>
      </c>
      <c r="B356">
        <v>8</v>
      </c>
      <c r="C356">
        <v>0</v>
      </c>
      <c r="D356" t="s">
        <v>9009</v>
      </c>
      <c r="E356" t="s">
        <v>9009</v>
      </c>
      <c r="F356">
        <v>32</v>
      </c>
      <c r="G356">
        <v>37</v>
      </c>
    </row>
    <row r="357" spans="1:7" x14ac:dyDescent="0.25">
      <c r="A357">
        <v>355</v>
      </c>
      <c r="B357">
        <v>25</v>
      </c>
      <c r="C357">
        <v>0</v>
      </c>
      <c r="D357" t="s">
        <v>9010</v>
      </c>
      <c r="E357" t="s">
        <v>9010</v>
      </c>
      <c r="F357">
        <v>32</v>
      </c>
      <c r="G357">
        <v>37</v>
      </c>
    </row>
    <row r="358" spans="1:7" x14ac:dyDescent="0.25">
      <c r="A358">
        <v>356</v>
      </c>
      <c r="B358">
        <v>55</v>
      </c>
      <c r="C358">
        <v>0</v>
      </c>
      <c r="D358" t="s">
        <v>9011</v>
      </c>
      <c r="E358" t="s">
        <v>9011</v>
      </c>
      <c r="F358">
        <v>32</v>
      </c>
      <c r="G358">
        <v>37</v>
      </c>
    </row>
    <row r="359" spans="1:7" x14ac:dyDescent="0.25">
      <c r="A359">
        <v>357</v>
      </c>
      <c r="B359">
        <v>54</v>
      </c>
      <c r="C359">
        <v>0</v>
      </c>
      <c r="D359" t="s">
        <v>9012</v>
      </c>
      <c r="E359" t="s">
        <v>9012</v>
      </c>
      <c r="F359">
        <v>32</v>
      </c>
      <c r="G359">
        <v>37</v>
      </c>
    </row>
    <row r="360" spans="1:7" x14ac:dyDescent="0.25">
      <c r="A360">
        <v>358</v>
      </c>
      <c r="B360">
        <v>25</v>
      </c>
      <c r="C360">
        <v>0</v>
      </c>
      <c r="D360" t="s">
        <v>9013</v>
      </c>
      <c r="E360" t="s">
        <v>9013</v>
      </c>
      <c r="F360">
        <v>32</v>
      </c>
      <c r="G360">
        <v>37</v>
      </c>
    </row>
    <row r="361" spans="1:7" x14ac:dyDescent="0.25">
      <c r="A361">
        <v>359</v>
      </c>
      <c r="B361">
        <v>43</v>
      </c>
      <c r="C361">
        <v>0</v>
      </c>
      <c r="D361" t="s">
        <v>9014</v>
      </c>
      <c r="E361" t="s">
        <v>9014</v>
      </c>
      <c r="F361">
        <v>32</v>
      </c>
      <c r="G361">
        <v>37</v>
      </c>
    </row>
    <row r="362" spans="1:7" x14ac:dyDescent="0.25">
      <c r="A362">
        <v>360</v>
      </c>
      <c r="B362">
        <v>25</v>
      </c>
      <c r="C362">
        <v>0</v>
      </c>
      <c r="D362" t="s">
        <v>9015</v>
      </c>
      <c r="E362" t="s">
        <v>9015</v>
      </c>
      <c r="F362">
        <v>32</v>
      </c>
      <c r="G362">
        <v>37</v>
      </c>
    </row>
    <row r="363" spans="1:7" x14ac:dyDescent="0.25">
      <c r="A363">
        <v>361</v>
      </c>
      <c r="B363">
        <v>14</v>
      </c>
      <c r="C363">
        <v>0</v>
      </c>
      <c r="D363" t="s">
        <v>9016</v>
      </c>
      <c r="E363" t="s">
        <v>9016</v>
      </c>
      <c r="F363">
        <v>32</v>
      </c>
      <c r="G363">
        <v>37</v>
      </c>
    </row>
    <row r="364" spans="1:7" x14ac:dyDescent="0.25">
      <c r="A364">
        <v>362</v>
      </c>
      <c r="B364">
        <v>24</v>
      </c>
      <c r="C364">
        <v>0</v>
      </c>
      <c r="D364" t="s">
        <v>9017</v>
      </c>
      <c r="E364" t="s">
        <v>9017</v>
      </c>
      <c r="F364">
        <v>32</v>
      </c>
      <c r="G364">
        <v>37</v>
      </c>
    </row>
    <row r="365" spans="1:7" x14ac:dyDescent="0.25">
      <c r="A365">
        <v>363</v>
      </c>
      <c r="B365">
        <v>29</v>
      </c>
      <c r="C365">
        <v>0</v>
      </c>
      <c r="D365" t="s">
        <v>9018</v>
      </c>
      <c r="E365" t="s">
        <v>9018</v>
      </c>
      <c r="F365">
        <v>32</v>
      </c>
      <c r="G365">
        <v>37</v>
      </c>
    </row>
    <row r="366" spans="1:7" x14ac:dyDescent="0.25">
      <c r="A366">
        <v>364</v>
      </c>
      <c r="B366">
        <v>54</v>
      </c>
      <c r="C366">
        <v>0</v>
      </c>
      <c r="D366" t="s">
        <v>9019</v>
      </c>
      <c r="E366" t="s">
        <v>9019</v>
      </c>
      <c r="F366">
        <v>32</v>
      </c>
      <c r="G366">
        <v>37</v>
      </c>
    </row>
    <row r="367" spans="1:7" x14ac:dyDescent="0.25">
      <c r="A367">
        <v>365</v>
      </c>
      <c r="B367">
        <v>50</v>
      </c>
      <c r="C367">
        <v>0</v>
      </c>
      <c r="D367" t="s">
        <v>9020</v>
      </c>
      <c r="E367" t="s">
        <v>9020</v>
      </c>
      <c r="F367">
        <v>32</v>
      </c>
      <c r="G367">
        <v>37</v>
      </c>
    </row>
    <row r="368" spans="1:7" x14ac:dyDescent="0.25">
      <c r="A368">
        <v>366</v>
      </c>
      <c r="B368">
        <v>14</v>
      </c>
      <c r="C368">
        <v>0</v>
      </c>
      <c r="D368" t="s">
        <v>9021</v>
      </c>
      <c r="F368">
        <v>32</v>
      </c>
      <c r="G368">
        <v>37</v>
      </c>
    </row>
    <row r="369" spans="1:7" x14ac:dyDescent="0.25">
      <c r="A369">
        <v>367</v>
      </c>
      <c r="B369">
        <v>58</v>
      </c>
      <c r="C369">
        <v>0</v>
      </c>
      <c r="D369" t="s">
        <v>9022</v>
      </c>
      <c r="E369" t="s">
        <v>9022</v>
      </c>
      <c r="F369">
        <v>32</v>
      </c>
      <c r="G369">
        <v>37</v>
      </c>
    </row>
    <row r="370" spans="1:7" x14ac:dyDescent="0.25">
      <c r="A370">
        <v>368</v>
      </c>
      <c r="B370">
        <v>58</v>
      </c>
      <c r="C370">
        <v>0</v>
      </c>
      <c r="D370" t="s">
        <v>9023</v>
      </c>
      <c r="E370" t="s">
        <v>9023</v>
      </c>
      <c r="F370">
        <v>32</v>
      </c>
      <c r="G370">
        <v>37</v>
      </c>
    </row>
    <row r="371" spans="1:7" x14ac:dyDescent="0.25">
      <c r="A371">
        <v>369</v>
      </c>
      <c r="B371">
        <v>40</v>
      </c>
      <c r="C371">
        <v>0</v>
      </c>
      <c r="D371" t="s">
        <v>9024</v>
      </c>
      <c r="E371" t="s">
        <v>9024</v>
      </c>
      <c r="F371">
        <v>31</v>
      </c>
      <c r="G371">
        <v>38</v>
      </c>
    </row>
    <row r="372" spans="1:7" x14ac:dyDescent="0.25">
      <c r="A372">
        <v>370</v>
      </c>
      <c r="B372">
        <v>25</v>
      </c>
      <c r="C372">
        <v>0</v>
      </c>
      <c r="D372" t="s">
        <v>9025</v>
      </c>
      <c r="E372" t="s">
        <v>9025</v>
      </c>
      <c r="F372">
        <v>32</v>
      </c>
      <c r="G372">
        <v>38</v>
      </c>
    </row>
    <row r="373" spans="1:7" x14ac:dyDescent="0.25">
      <c r="A373">
        <v>371</v>
      </c>
      <c r="B373">
        <v>54</v>
      </c>
      <c r="C373">
        <v>0</v>
      </c>
      <c r="D373" t="s">
        <v>9026</v>
      </c>
      <c r="E373" t="s">
        <v>9026</v>
      </c>
      <c r="F373">
        <v>32</v>
      </c>
      <c r="G373">
        <v>38</v>
      </c>
    </row>
    <row r="374" spans="1:7" x14ac:dyDescent="0.25">
      <c r="A374">
        <v>372</v>
      </c>
      <c r="B374">
        <v>22</v>
      </c>
      <c r="C374">
        <v>0</v>
      </c>
      <c r="D374" t="s">
        <v>9027</v>
      </c>
      <c r="E374" t="s">
        <v>9027</v>
      </c>
      <c r="F374">
        <v>32</v>
      </c>
      <c r="G374">
        <v>37</v>
      </c>
    </row>
    <row r="375" spans="1:7" x14ac:dyDescent="0.25">
      <c r="A375">
        <v>373</v>
      </c>
      <c r="B375">
        <v>69</v>
      </c>
      <c r="C375">
        <v>0</v>
      </c>
      <c r="D375" t="s">
        <v>9028</v>
      </c>
      <c r="E375" t="s">
        <v>9028</v>
      </c>
      <c r="F375">
        <v>32</v>
      </c>
      <c r="G375">
        <v>37</v>
      </c>
    </row>
    <row r="376" spans="1:7" x14ac:dyDescent="0.25">
      <c r="A376">
        <v>374</v>
      </c>
      <c r="B376">
        <v>66</v>
      </c>
      <c r="C376">
        <v>0</v>
      </c>
      <c r="D376" t="s">
        <v>9029</v>
      </c>
      <c r="E376" t="s">
        <v>9029</v>
      </c>
      <c r="F376">
        <v>32</v>
      </c>
      <c r="G376">
        <v>37</v>
      </c>
    </row>
    <row r="377" spans="1:7" x14ac:dyDescent="0.25">
      <c r="A377">
        <v>375</v>
      </c>
      <c r="B377">
        <v>8</v>
      </c>
      <c r="C377">
        <v>0</v>
      </c>
      <c r="D377" t="s">
        <v>9030</v>
      </c>
      <c r="E377" t="s">
        <v>9030</v>
      </c>
      <c r="F377">
        <v>32</v>
      </c>
      <c r="G377">
        <v>37</v>
      </c>
    </row>
    <row r="378" spans="1:7" x14ac:dyDescent="0.25">
      <c r="A378">
        <v>376</v>
      </c>
      <c r="B378">
        <v>54</v>
      </c>
      <c r="C378">
        <v>0</v>
      </c>
      <c r="D378" t="s">
        <v>9031</v>
      </c>
      <c r="E378" t="s">
        <v>9031</v>
      </c>
      <c r="F378">
        <v>32</v>
      </c>
      <c r="G378">
        <v>38</v>
      </c>
    </row>
    <row r="379" spans="1:7" x14ac:dyDescent="0.25">
      <c r="A379">
        <v>377</v>
      </c>
      <c r="B379">
        <v>2</v>
      </c>
      <c r="C379">
        <v>0</v>
      </c>
      <c r="D379" t="s">
        <v>9032</v>
      </c>
      <c r="E379" t="s">
        <v>9032</v>
      </c>
      <c r="F379">
        <v>32</v>
      </c>
      <c r="G379">
        <v>37</v>
      </c>
    </row>
    <row r="380" spans="1:7" x14ac:dyDescent="0.25">
      <c r="A380">
        <v>378</v>
      </c>
      <c r="B380">
        <v>1</v>
      </c>
      <c r="C380">
        <v>0</v>
      </c>
      <c r="D380" t="s">
        <v>9033</v>
      </c>
      <c r="E380" t="s">
        <v>9033</v>
      </c>
      <c r="F380">
        <v>32</v>
      </c>
      <c r="G380">
        <v>37</v>
      </c>
    </row>
    <row r="381" spans="1:7" x14ac:dyDescent="0.25">
      <c r="A381">
        <v>379</v>
      </c>
      <c r="B381">
        <v>42</v>
      </c>
      <c r="C381">
        <v>0</v>
      </c>
      <c r="D381" t="s">
        <v>9034</v>
      </c>
      <c r="E381" t="s">
        <v>9034</v>
      </c>
      <c r="F381">
        <v>32</v>
      </c>
      <c r="G381">
        <v>38</v>
      </c>
    </row>
    <row r="382" spans="1:7" x14ac:dyDescent="0.25">
      <c r="A382">
        <v>380</v>
      </c>
      <c r="B382">
        <v>54</v>
      </c>
      <c r="C382">
        <v>0</v>
      </c>
      <c r="D382" t="s">
        <v>9035</v>
      </c>
      <c r="E382" t="s">
        <v>9035</v>
      </c>
      <c r="F382">
        <v>32</v>
      </c>
      <c r="G382">
        <v>38</v>
      </c>
    </row>
    <row r="383" spans="1:7" x14ac:dyDescent="0.25">
      <c r="A383">
        <v>381</v>
      </c>
      <c r="B383">
        <v>64</v>
      </c>
      <c r="C383">
        <v>0</v>
      </c>
      <c r="D383" t="s">
        <v>9036</v>
      </c>
      <c r="E383" t="s">
        <v>9036</v>
      </c>
      <c r="F383">
        <v>32</v>
      </c>
      <c r="G383">
        <v>37</v>
      </c>
    </row>
    <row r="384" spans="1:7" x14ac:dyDescent="0.25">
      <c r="A384">
        <v>382</v>
      </c>
      <c r="B384">
        <v>69</v>
      </c>
      <c r="C384">
        <v>0</v>
      </c>
      <c r="D384" t="s">
        <v>9037</v>
      </c>
      <c r="E384" t="s">
        <v>9037</v>
      </c>
      <c r="F384">
        <v>32</v>
      </c>
      <c r="G384">
        <v>38</v>
      </c>
    </row>
    <row r="385" spans="1:7" x14ac:dyDescent="0.25">
      <c r="A385">
        <v>383</v>
      </c>
      <c r="B385">
        <v>25</v>
      </c>
      <c r="C385">
        <v>0</v>
      </c>
      <c r="D385" t="s">
        <v>9038</v>
      </c>
      <c r="E385" t="s">
        <v>9038</v>
      </c>
      <c r="F385">
        <v>32</v>
      </c>
      <c r="G385">
        <v>37</v>
      </c>
    </row>
    <row r="386" spans="1:7" x14ac:dyDescent="0.25">
      <c r="A386">
        <v>384</v>
      </c>
      <c r="B386">
        <v>54</v>
      </c>
      <c r="C386">
        <v>0</v>
      </c>
      <c r="D386" t="s">
        <v>9039</v>
      </c>
      <c r="E386" t="s">
        <v>9039</v>
      </c>
      <c r="F386">
        <v>32</v>
      </c>
      <c r="G386">
        <v>38</v>
      </c>
    </row>
    <row r="387" spans="1:7" x14ac:dyDescent="0.25">
      <c r="A387">
        <v>385</v>
      </c>
      <c r="B387">
        <v>43</v>
      </c>
      <c r="C387">
        <v>0</v>
      </c>
      <c r="D387" t="s">
        <v>9040</v>
      </c>
      <c r="E387" t="s">
        <v>9040</v>
      </c>
      <c r="F387">
        <v>32</v>
      </c>
      <c r="G387">
        <v>38</v>
      </c>
    </row>
    <row r="388" spans="1:7" x14ac:dyDescent="0.25">
      <c r="A388">
        <v>386</v>
      </c>
      <c r="B388">
        <v>40</v>
      </c>
      <c r="C388">
        <v>0</v>
      </c>
      <c r="D388" t="s">
        <v>9041</v>
      </c>
      <c r="E388" t="s">
        <v>9041</v>
      </c>
      <c r="F388">
        <v>31</v>
      </c>
      <c r="G388">
        <v>37</v>
      </c>
    </row>
    <row r="389" spans="1:7" x14ac:dyDescent="0.25">
      <c r="A389">
        <v>387</v>
      </c>
      <c r="B389">
        <v>25</v>
      </c>
      <c r="C389">
        <v>0</v>
      </c>
      <c r="D389" t="s">
        <v>9042</v>
      </c>
      <c r="E389" t="s">
        <v>9042</v>
      </c>
      <c r="F389">
        <v>32</v>
      </c>
      <c r="G389">
        <v>37</v>
      </c>
    </row>
    <row r="390" spans="1:7" x14ac:dyDescent="0.25">
      <c r="A390">
        <v>388</v>
      </c>
      <c r="B390">
        <v>23</v>
      </c>
      <c r="C390">
        <v>0</v>
      </c>
      <c r="D390" t="s">
        <v>9043</v>
      </c>
      <c r="E390" t="s">
        <v>9043</v>
      </c>
      <c r="F390">
        <v>32</v>
      </c>
      <c r="G390">
        <v>38</v>
      </c>
    </row>
    <row r="391" spans="1:7" x14ac:dyDescent="0.25">
      <c r="A391">
        <v>389</v>
      </c>
      <c r="B391">
        <v>14</v>
      </c>
      <c r="C391">
        <v>0</v>
      </c>
      <c r="D391" t="s">
        <v>9044</v>
      </c>
      <c r="E391" t="s">
        <v>9044</v>
      </c>
      <c r="F391">
        <v>32</v>
      </c>
      <c r="G391">
        <v>37</v>
      </c>
    </row>
    <row r="392" spans="1:7" x14ac:dyDescent="0.25">
      <c r="A392">
        <v>390</v>
      </c>
      <c r="B392">
        <v>4</v>
      </c>
      <c r="C392">
        <v>0</v>
      </c>
      <c r="D392" t="s">
        <v>9045</v>
      </c>
      <c r="E392" t="s">
        <v>9045</v>
      </c>
      <c r="F392">
        <v>32</v>
      </c>
      <c r="G392">
        <v>37</v>
      </c>
    </row>
    <row r="393" spans="1:7" x14ac:dyDescent="0.25">
      <c r="A393">
        <v>391</v>
      </c>
      <c r="B393">
        <v>54</v>
      </c>
      <c r="C393">
        <v>0</v>
      </c>
      <c r="D393" t="s">
        <v>9046</v>
      </c>
      <c r="E393" t="s">
        <v>9046</v>
      </c>
      <c r="F393">
        <v>32</v>
      </c>
      <c r="G393">
        <v>38</v>
      </c>
    </row>
    <row r="394" spans="1:7" x14ac:dyDescent="0.25">
      <c r="A394">
        <v>392</v>
      </c>
      <c r="B394">
        <v>40</v>
      </c>
      <c r="C394">
        <v>0</v>
      </c>
      <c r="D394" t="s">
        <v>9047</v>
      </c>
      <c r="E394" t="s">
        <v>9047</v>
      </c>
      <c r="F394">
        <v>31</v>
      </c>
      <c r="G394">
        <v>38</v>
      </c>
    </row>
    <row r="395" spans="1:7" x14ac:dyDescent="0.25">
      <c r="A395">
        <v>393</v>
      </c>
      <c r="B395">
        <v>54</v>
      </c>
      <c r="C395">
        <v>0</v>
      </c>
      <c r="D395" t="s">
        <v>9048</v>
      </c>
      <c r="E395" t="s">
        <v>9048</v>
      </c>
      <c r="F395">
        <v>32</v>
      </c>
      <c r="G395">
        <v>38</v>
      </c>
    </row>
    <row r="396" spans="1:7" x14ac:dyDescent="0.25">
      <c r="A396">
        <v>394</v>
      </c>
      <c r="B396">
        <v>25</v>
      </c>
      <c r="C396">
        <v>0</v>
      </c>
      <c r="D396" t="s">
        <v>9049</v>
      </c>
      <c r="E396" t="s">
        <v>9049</v>
      </c>
      <c r="F396">
        <v>32</v>
      </c>
      <c r="G396">
        <v>38</v>
      </c>
    </row>
    <row r="397" spans="1:7" x14ac:dyDescent="0.25">
      <c r="A397">
        <v>395</v>
      </c>
      <c r="B397">
        <v>25</v>
      </c>
      <c r="C397">
        <v>0</v>
      </c>
      <c r="D397" t="s">
        <v>9050</v>
      </c>
      <c r="E397" t="s">
        <v>9050</v>
      </c>
      <c r="F397">
        <v>32</v>
      </c>
      <c r="G397">
        <v>38</v>
      </c>
    </row>
    <row r="398" spans="1:7" x14ac:dyDescent="0.25">
      <c r="A398">
        <v>396</v>
      </c>
      <c r="B398">
        <v>84</v>
      </c>
      <c r="C398">
        <v>0</v>
      </c>
      <c r="D398" t="s">
        <v>9051</v>
      </c>
      <c r="E398" t="s">
        <v>9051</v>
      </c>
      <c r="F398">
        <v>32</v>
      </c>
      <c r="G398">
        <v>37</v>
      </c>
    </row>
    <row r="399" spans="1:7" x14ac:dyDescent="0.25">
      <c r="A399">
        <v>397</v>
      </c>
      <c r="B399">
        <v>1</v>
      </c>
      <c r="C399">
        <v>0</v>
      </c>
      <c r="D399" t="s">
        <v>9052</v>
      </c>
      <c r="E399" t="s">
        <v>9052</v>
      </c>
      <c r="F399">
        <v>32</v>
      </c>
      <c r="G399">
        <v>38</v>
      </c>
    </row>
    <row r="400" spans="1:7" x14ac:dyDescent="0.25">
      <c r="A400">
        <v>398</v>
      </c>
      <c r="B400">
        <v>69</v>
      </c>
      <c r="C400">
        <v>0</v>
      </c>
      <c r="D400" t="s">
        <v>9053</v>
      </c>
      <c r="E400" t="s">
        <v>9053</v>
      </c>
      <c r="F400">
        <v>32</v>
      </c>
      <c r="G400">
        <v>37</v>
      </c>
    </row>
    <row r="401" spans="1:7" x14ac:dyDescent="0.25">
      <c r="A401">
        <v>399</v>
      </c>
      <c r="B401">
        <v>14</v>
      </c>
      <c r="C401">
        <v>0</v>
      </c>
      <c r="D401" t="s">
        <v>9054</v>
      </c>
      <c r="E401" t="s">
        <v>9054</v>
      </c>
      <c r="F401">
        <v>32</v>
      </c>
      <c r="G401">
        <v>38</v>
      </c>
    </row>
    <row r="402" spans="1:7" x14ac:dyDescent="0.25">
      <c r="A402">
        <v>400</v>
      </c>
      <c r="B402">
        <v>58</v>
      </c>
      <c r="C402">
        <v>0</v>
      </c>
      <c r="D402" t="s">
        <v>9055</v>
      </c>
      <c r="E402" t="s">
        <v>9055</v>
      </c>
      <c r="F402">
        <v>32</v>
      </c>
      <c r="G402">
        <v>38</v>
      </c>
    </row>
    <row r="403" spans="1:7" x14ac:dyDescent="0.25">
      <c r="A403">
        <v>401</v>
      </c>
      <c r="B403">
        <v>69</v>
      </c>
      <c r="C403">
        <v>0</v>
      </c>
      <c r="D403" t="s">
        <v>9056</v>
      </c>
      <c r="E403" t="s">
        <v>9056</v>
      </c>
      <c r="F403">
        <v>32</v>
      </c>
      <c r="G403">
        <v>37</v>
      </c>
    </row>
    <row r="404" spans="1:7" x14ac:dyDescent="0.25">
      <c r="A404">
        <v>402</v>
      </c>
      <c r="B404">
        <v>69</v>
      </c>
      <c r="C404">
        <v>0</v>
      </c>
      <c r="D404" t="s">
        <v>9057</v>
      </c>
      <c r="E404" t="s">
        <v>9057</v>
      </c>
      <c r="F404">
        <v>32</v>
      </c>
      <c r="G404">
        <v>38</v>
      </c>
    </row>
    <row r="405" spans="1:7" x14ac:dyDescent="0.25">
      <c r="A405">
        <v>403</v>
      </c>
      <c r="B405">
        <v>14</v>
      </c>
      <c r="C405">
        <v>200</v>
      </c>
      <c r="D405" t="s">
        <v>9058</v>
      </c>
      <c r="E405" t="s">
        <v>9058</v>
      </c>
      <c r="F405">
        <v>32</v>
      </c>
      <c r="G405">
        <v>37</v>
      </c>
    </row>
    <row r="406" spans="1:7" x14ac:dyDescent="0.25">
      <c r="A406">
        <v>404</v>
      </c>
      <c r="B406">
        <v>25</v>
      </c>
      <c r="C406">
        <v>0</v>
      </c>
      <c r="D406" t="s">
        <v>9059</v>
      </c>
      <c r="E406" t="s">
        <v>9059</v>
      </c>
      <c r="F406">
        <v>32</v>
      </c>
      <c r="G406">
        <v>38</v>
      </c>
    </row>
    <row r="407" spans="1:7" x14ac:dyDescent="0.25">
      <c r="A407">
        <v>405</v>
      </c>
      <c r="B407">
        <v>29</v>
      </c>
      <c r="C407">
        <v>0</v>
      </c>
      <c r="D407" t="s">
        <v>9060</v>
      </c>
      <c r="E407" t="s">
        <v>9060</v>
      </c>
      <c r="F407">
        <v>32</v>
      </c>
      <c r="G407">
        <v>38</v>
      </c>
    </row>
    <row r="408" spans="1:7" x14ac:dyDescent="0.25">
      <c r="A408">
        <v>406</v>
      </c>
      <c r="B408">
        <v>14</v>
      </c>
      <c r="C408">
        <v>0</v>
      </c>
      <c r="D408" t="s">
        <v>9061</v>
      </c>
      <c r="E408" t="s">
        <v>9061</v>
      </c>
      <c r="F408">
        <v>32</v>
      </c>
      <c r="G408">
        <v>37</v>
      </c>
    </row>
    <row r="409" spans="1:7" x14ac:dyDescent="0.25">
      <c r="A409">
        <v>407</v>
      </c>
      <c r="B409">
        <v>57</v>
      </c>
      <c r="C409">
        <v>0</v>
      </c>
      <c r="D409" t="s">
        <v>9062</v>
      </c>
      <c r="E409" t="s">
        <v>9062</v>
      </c>
      <c r="F409">
        <v>32</v>
      </c>
      <c r="G409">
        <v>38</v>
      </c>
    </row>
    <row r="410" spans="1:7" x14ac:dyDescent="0.25">
      <c r="A410">
        <v>408</v>
      </c>
      <c r="B410">
        <v>40</v>
      </c>
      <c r="C410">
        <v>0</v>
      </c>
      <c r="D410" t="s">
        <v>9063</v>
      </c>
      <c r="E410" t="s">
        <v>9063</v>
      </c>
      <c r="F410">
        <v>31</v>
      </c>
      <c r="G410">
        <v>37</v>
      </c>
    </row>
    <row r="411" spans="1:7" x14ac:dyDescent="0.25">
      <c r="A411">
        <v>409</v>
      </c>
      <c r="B411">
        <v>27</v>
      </c>
      <c r="C411">
        <v>0</v>
      </c>
      <c r="D411" t="s">
        <v>9064</v>
      </c>
      <c r="E411" t="s">
        <v>9064</v>
      </c>
      <c r="F411">
        <v>32</v>
      </c>
      <c r="G411">
        <v>38</v>
      </c>
    </row>
    <row r="412" spans="1:7" x14ac:dyDescent="0.25">
      <c r="A412">
        <v>410</v>
      </c>
      <c r="B412">
        <v>54</v>
      </c>
      <c r="C412">
        <v>0</v>
      </c>
      <c r="D412" t="s">
        <v>9065</v>
      </c>
      <c r="E412" t="s">
        <v>9065</v>
      </c>
      <c r="F412">
        <v>32</v>
      </c>
      <c r="G412">
        <v>38</v>
      </c>
    </row>
    <row r="413" spans="1:7" x14ac:dyDescent="0.25">
      <c r="A413">
        <v>411</v>
      </c>
      <c r="B413">
        <v>4</v>
      </c>
      <c r="C413">
        <v>0</v>
      </c>
      <c r="D413" t="s">
        <v>8958</v>
      </c>
      <c r="E413" t="s">
        <v>8958</v>
      </c>
      <c r="F413">
        <v>32</v>
      </c>
      <c r="G413">
        <v>38</v>
      </c>
    </row>
    <row r="414" spans="1:7" x14ac:dyDescent="0.25">
      <c r="A414">
        <v>412</v>
      </c>
      <c r="B414">
        <v>24</v>
      </c>
      <c r="C414">
        <v>0</v>
      </c>
      <c r="D414" t="s">
        <v>9066</v>
      </c>
      <c r="E414" t="s">
        <v>9066</v>
      </c>
      <c r="F414">
        <v>32</v>
      </c>
      <c r="G414">
        <v>37</v>
      </c>
    </row>
    <row r="415" spans="1:7" x14ac:dyDescent="0.25">
      <c r="A415">
        <v>413</v>
      </c>
      <c r="B415">
        <v>14</v>
      </c>
      <c r="C415">
        <v>0</v>
      </c>
      <c r="D415" t="s">
        <v>9067</v>
      </c>
      <c r="E415" t="s">
        <v>9067</v>
      </c>
      <c r="F415">
        <v>32</v>
      </c>
      <c r="G415">
        <v>37</v>
      </c>
    </row>
    <row r="416" spans="1:7" x14ac:dyDescent="0.25">
      <c r="A416">
        <v>414</v>
      </c>
      <c r="B416">
        <v>8</v>
      </c>
      <c r="C416">
        <v>0</v>
      </c>
      <c r="D416" t="s">
        <v>9068</v>
      </c>
      <c r="F416">
        <v>32</v>
      </c>
      <c r="G416">
        <v>37</v>
      </c>
    </row>
    <row r="417" spans="1:7" x14ac:dyDescent="0.25">
      <c r="A417">
        <v>415</v>
      </c>
      <c r="B417">
        <v>10</v>
      </c>
      <c r="C417">
        <v>0</v>
      </c>
      <c r="D417" t="s">
        <v>9069</v>
      </c>
      <c r="F417">
        <v>32</v>
      </c>
      <c r="G417">
        <v>37</v>
      </c>
    </row>
    <row r="418" spans="1:7" x14ac:dyDescent="0.25">
      <c r="A418">
        <v>416</v>
      </c>
      <c r="B418">
        <v>54</v>
      </c>
      <c r="C418">
        <v>0</v>
      </c>
      <c r="D418" t="s">
        <v>9070</v>
      </c>
      <c r="E418" t="s">
        <v>9070</v>
      </c>
      <c r="F418">
        <v>32</v>
      </c>
      <c r="G418">
        <v>38</v>
      </c>
    </row>
    <row r="419" spans="1:7" x14ac:dyDescent="0.25">
      <c r="A419">
        <v>417</v>
      </c>
      <c r="B419">
        <v>54</v>
      </c>
      <c r="C419">
        <v>0</v>
      </c>
      <c r="D419" t="s">
        <v>9071</v>
      </c>
      <c r="E419" t="s">
        <v>9071</v>
      </c>
      <c r="F419">
        <v>32</v>
      </c>
      <c r="G419">
        <v>38</v>
      </c>
    </row>
    <row r="420" spans="1:7" x14ac:dyDescent="0.25">
      <c r="A420">
        <v>418</v>
      </c>
      <c r="B420">
        <v>23</v>
      </c>
      <c r="C420">
        <v>0</v>
      </c>
      <c r="D420" t="s">
        <v>9072</v>
      </c>
      <c r="E420" t="s">
        <v>9072</v>
      </c>
      <c r="F420">
        <v>32</v>
      </c>
      <c r="G420">
        <v>38</v>
      </c>
    </row>
    <row r="421" spans="1:7" x14ac:dyDescent="0.25">
      <c r="A421">
        <v>419</v>
      </c>
      <c r="B421">
        <v>25</v>
      </c>
      <c r="C421">
        <v>0</v>
      </c>
      <c r="D421" t="s">
        <v>9073</v>
      </c>
      <c r="E421" t="s">
        <v>9073</v>
      </c>
      <c r="F421">
        <v>32</v>
      </c>
      <c r="G421">
        <v>38</v>
      </c>
    </row>
    <row r="422" spans="1:7" x14ac:dyDescent="0.25">
      <c r="A422">
        <v>420</v>
      </c>
      <c r="B422">
        <v>2</v>
      </c>
      <c r="C422">
        <v>0</v>
      </c>
      <c r="D422" t="s">
        <v>9074</v>
      </c>
      <c r="E422" t="s">
        <v>9074</v>
      </c>
      <c r="F422">
        <v>32</v>
      </c>
      <c r="G422">
        <v>37</v>
      </c>
    </row>
    <row r="423" spans="1:7" x14ac:dyDescent="0.25">
      <c r="A423">
        <v>421</v>
      </c>
      <c r="B423">
        <v>58</v>
      </c>
      <c r="C423">
        <v>0</v>
      </c>
      <c r="D423" t="s">
        <v>9075</v>
      </c>
      <c r="E423" t="s">
        <v>9075</v>
      </c>
      <c r="F423">
        <v>32</v>
      </c>
      <c r="G423">
        <v>38</v>
      </c>
    </row>
    <row r="424" spans="1:7" x14ac:dyDescent="0.25">
      <c r="A424">
        <v>422</v>
      </c>
      <c r="B424">
        <v>25</v>
      </c>
      <c r="C424">
        <v>0</v>
      </c>
      <c r="D424" t="s">
        <v>9076</v>
      </c>
      <c r="E424" t="s">
        <v>9076</v>
      </c>
      <c r="F424">
        <v>32</v>
      </c>
      <c r="G424">
        <v>37</v>
      </c>
    </row>
    <row r="425" spans="1:7" x14ac:dyDescent="0.25">
      <c r="A425">
        <v>423</v>
      </c>
      <c r="B425">
        <v>25</v>
      </c>
      <c r="C425">
        <v>0</v>
      </c>
      <c r="D425" t="s">
        <v>9077</v>
      </c>
      <c r="E425" t="s">
        <v>9077</v>
      </c>
      <c r="F425">
        <v>32</v>
      </c>
      <c r="G425">
        <v>38</v>
      </c>
    </row>
    <row r="426" spans="1:7" x14ac:dyDescent="0.25">
      <c r="A426">
        <v>424</v>
      </c>
      <c r="B426">
        <v>23</v>
      </c>
      <c r="C426">
        <v>0</v>
      </c>
      <c r="D426" t="s">
        <v>9078</v>
      </c>
      <c r="E426" t="s">
        <v>9078</v>
      </c>
      <c r="F426">
        <v>32</v>
      </c>
      <c r="G426">
        <v>38</v>
      </c>
    </row>
    <row r="427" spans="1:7" x14ac:dyDescent="0.25">
      <c r="A427">
        <v>425</v>
      </c>
      <c r="B427">
        <v>54</v>
      </c>
      <c r="C427">
        <v>0</v>
      </c>
      <c r="D427" t="s">
        <v>9079</v>
      </c>
      <c r="E427" t="s">
        <v>9079</v>
      </c>
      <c r="F427">
        <v>32</v>
      </c>
      <c r="G427">
        <v>38</v>
      </c>
    </row>
    <row r="428" spans="1:7" x14ac:dyDescent="0.25">
      <c r="A428">
        <v>426</v>
      </c>
      <c r="B428">
        <v>26</v>
      </c>
      <c r="C428">
        <v>0</v>
      </c>
      <c r="D428" t="s">
        <v>9080</v>
      </c>
      <c r="E428" t="s">
        <v>9080</v>
      </c>
      <c r="F428">
        <v>32</v>
      </c>
      <c r="G428">
        <v>38</v>
      </c>
    </row>
    <row r="429" spans="1:7" x14ac:dyDescent="0.25">
      <c r="A429">
        <v>427</v>
      </c>
      <c r="B429">
        <v>54</v>
      </c>
      <c r="C429">
        <v>0</v>
      </c>
      <c r="D429" t="s">
        <v>9081</v>
      </c>
      <c r="E429" t="s">
        <v>9081</v>
      </c>
      <c r="F429">
        <v>32</v>
      </c>
      <c r="G429">
        <v>37</v>
      </c>
    </row>
    <row r="430" spans="1:7" x14ac:dyDescent="0.25">
      <c r="A430">
        <v>428</v>
      </c>
      <c r="B430">
        <v>69</v>
      </c>
      <c r="C430">
        <v>0</v>
      </c>
      <c r="D430" t="s">
        <v>9082</v>
      </c>
      <c r="E430" t="s">
        <v>9082</v>
      </c>
      <c r="F430">
        <v>32</v>
      </c>
      <c r="G430">
        <v>38</v>
      </c>
    </row>
    <row r="431" spans="1:7" x14ac:dyDescent="0.25">
      <c r="A431">
        <v>429</v>
      </c>
      <c r="B431">
        <v>54</v>
      </c>
      <c r="C431">
        <v>0</v>
      </c>
      <c r="D431" t="s">
        <v>9083</v>
      </c>
      <c r="E431" t="s">
        <v>9083</v>
      </c>
      <c r="F431">
        <v>32</v>
      </c>
      <c r="G431">
        <v>37</v>
      </c>
    </row>
    <row r="432" spans="1:7" x14ac:dyDescent="0.25">
      <c r="A432">
        <v>430</v>
      </c>
      <c r="B432">
        <v>54</v>
      </c>
      <c r="C432">
        <v>0</v>
      </c>
      <c r="D432" t="s">
        <v>9084</v>
      </c>
      <c r="E432" t="s">
        <v>9084</v>
      </c>
      <c r="F432">
        <v>32</v>
      </c>
      <c r="G432">
        <v>37</v>
      </c>
    </row>
    <row r="433" spans="1:7" x14ac:dyDescent="0.25">
      <c r="A433">
        <v>431</v>
      </c>
      <c r="B433">
        <v>58</v>
      </c>
      <c r="C433">
        <v>0</v>
      </c>
      <c r="D433" t="s">
        <v>9085</v>
      </c>
      <c r="E433" t="s">
        <v>9085</v>
      </c>
      <c r="F433">
        <v>32</v>
      </c>
      <c r="G433">
        <v>37</v>
      </c>
    </row>
    <row r="434" spans="1:7" x14ac:dyDescent="0.25">
      <c r="A434">
        <v>432</v>
      </c>
      <c r="B434">
        <v>54</v>
      </c>
      <c r="C434">
        <v>0</v>
      </c>
      <c r="D434" t="s">
        <v>9086</v>
      </c>
      <c r="E434" t="s">
        <v>9086</v>
      </c>
      <c r="F434">
        <v>32</v>
      </c>
      <c r="G434">
        <v>38</v>
      </c>
    </row>
    <row r="435" spans="1:7" x14ac:dyDescent="0.25">
      <c r="A435">
        <v>433</v>
      </c>
      <c r="B435">
        <v>58</v>
      </c>
      <c r="C435">
        <v>0</v>
      </c>
      <c r="D435" t="s">
        <v>9087</v>
      </c>
      <c r="E435" t="s">
        <v>9087</v>
      </c>
      <c r="F435">
        <v>32</v>
      </c>
      <c r="G435">
        <v>37</v>
      </c>
    </row>
    <row r="436" spans="1:7" x14ac:dyDescent="0.25">
      <c r="A436">
        <v>434</v>
      </c>
      <c r="B436">
        <v>25</v>
      </c>
      <c r="C436">
        <v>0</v>
      </c>
      <c r="D436" t="s">
        <v>9088</v>
      </c>
      <c r="E436" t="s">
        <v>9088</v>
      </c>
      <c r="F436">
        <v>32</v>
      </c>
      <c r="G436">
        <v>37</v>
      </c>
    </row>
    <row r="437" spans="1:7" x14ac:dyDescent="0.25">
      <c r="A437">
        <v>435</v>
      </c>
      <c r="B437">
        <v>40</v>
      </c>
      <c r="C437">
        <v>0</v>
      </c>
      <c r="D437" t="s">
        <v>9089</v>
      </c>
      <c r="E437" t="s">
        <v>9089</v>
      </c>
      <c r="F437">
        <v>31</v>
      </c>
      <c r="G437">
        <v>37</v>
      </c>
    </row>
    <row r="438" spans="1:7" x14ac:dyDescent="0.25">
      <c r="A438">
        <v>436</v>
      </c>
      <c r="B438">
        <v>14</v>
      </c>
      <c r="C438">
        <v>0</v>
      </c>
      <c r="D438" t="s">
        <v>9090</v>
      </c>
      <c r="E438" t="s">
        <v>9090</v>
      </c>
      <c r="F438">
        <v>32</v>
      </c>
      <c r="G438">
        <v>37</v>
      </c>
    </row>
    <row r="439" spans="1:7" x14ac:dyDescent="0.25">
      <c r="A439">
        <v>437</v>
      </c>
      <c r="B439">
        <v>40</v>
      </c>
      <c r="C439">
        <v>0</v>
      </c>
      <c r="D439" t="s">
        <v>1098</v>
      </c>
      <c r="E439" t="s">
        <v>1098</v>
      </c>
      <c r="F439">
        <v>31</v>
      </c>
      <c r="G439">
        <v>38</v>
      </c>
    </row>
    <row r="440" spans="1:7" x14ac:dyDescent="0.25">
      <c r="A440">
        <v>438</v>
      </c>
      <c r="B440">
        <v>54</v>
      </c>
      <c r="C440">
        <v>0</v>
      </c>
      <c r="D440" t="s">
        <v>9091</v>
      </c>
      <c r="E440" t="s">
        <v>9091</v>
      </c>
      <c r="F440">
        <v>32</v>
      </c>
      <c r="G440">
        <v>38</v>
      </c>
    </row>
    <row r="441" spans="1:7" x14ac:dyDescent="0.25">
      <c r="A441">
        <v>439</v>
      </c>
      <c r="B441">
        <v>25</v>
      </c>
      <c r="C441">
        <v>0</v>
      </c>
      <c r="D441" t="s">
        <v>9092</v>
      </c>
      <c r="E441" t="s">
        <v>9092</v>
      </c>
      <c r="F441">
        <v>32</v>
      </c>
      <c r="G441">
        <v>38</v>
      </c>
    </row>
    <row r="442" spans="1:7" x14ac:dyDescent="0.25">
      <c r="A442">
        <v>440</v>
      </c>
      <c r="B442">
        <v>54</v>
      </c>
      <c r="C442">
        <v>300</v>
      </c>
      <c r="D442" t="s">
        <v>9093</v>
      </c>
      <c r="F442">
        <v>32</v>
      </c>
      <c r="G442">
        <v>38</v>
      </c>
    </row>
    <row r="443" spans="1:7" x14ac:dyDescent="0.25">
      <c r="A443">
        <v>441</v>
      </c>
      <c r="B443">
        <v>25</v>
      </c>
      <c r="C443">
        <v>0</v>
      </c>
      <c r="D443" t="s">
        <v>9094</v>
      </c>
      <c r="E443" t="s">
        <v>9094</v>
      </c>
      <c r="F443">
        <v>32</v>
      </c>
      <c r="G443">
        <v>38</v>
      </c>
    </row>
    <row r="444" spans="1:7" x14ac:dyDescent="0.25">
      <c r="A444">
        <v>442</v>
      </c>
      <c r="B444">
        <v>58</v>
      </c>
      <c r="C444">
        <v>300</v>
      </c>
      <c r="D444" t="s">
        <v>9095</v>
      </c>
      <c r="F444">
        <v>32</v>
      </c>
      <c r="G444">
        <v>37</v>
      </c>
    </row>
    <row r="445" spans="1:7" x14ac:dyDescent="0.25">
      <c r="A445">
        <v>443</v>
      </c>
      <c r="B445">
        <v>8</v>
      </c>
      <c r="C445">
        <v>0</v>
      </c>
      <c r="D445" t="s">
        <v>9096</v>
      </c>
      <c r="E445" t="s">
        <v>9096</v>
      </c>
      <c r="F445">
        <v>32</v>
      </c>
      <c r="G445">
        <v>38</v>
      </c>
    </row>
    <row r="446" spans="1:7" x14ac:dyDescent="0.25">
      <c r="A446">
        <v>444</v>
      </c>
      <c r="B446">
        <v>40</v>
      </c>
      <c r="C446">
        <v>0</v>
      </c>
      <c r="D446" t="s">
        <v>9097</v>
      </c>
      <c r="E446" t="s">
        <v>9097</v>
      </c>
      <c r="F446">
        <v>31</v>
      </c>
      <c r="G446">
        <v>37</v>
      </c>
    </row>
    <row r="447" spans="1:7" x14ac:dyDescent="0.25">
      <c r="A447">
        <v>445</v>
      </c>
      <c r="B447">
        <v>40</v>
      </c>
      <c r="C447">
        <v>0</v>
      </c>
      <c r="D447" t="s">
        <v>9098</v>
      </c>
      <c r="E447" t="s">
        <v>9098</v>
      </c>
      <c r="F447">
        <v>31</v>
      </c>
      <c r="G447">
        <v>37</v>
      </c>
    </row>
    <row r="448" spans="1:7" x14ac:dyDescent="0.25">
      <c r="A448">
        <v>446</v>
      </c>
      <c r="B448">
        <v>11</v>
      </c>
      <c r="C448">
        <v>0</v>
      </c>
      <c r="D448" t="s">
        <v>9099</v>
      </c>
      <c r="E448" t="s">
        <v>9099</v>
      </c>
      <c r="F448">
        <v>32</v>
      </c>
      <c r="G448">
        <v>37</v>
      </c>
    </row>
    <row r="449" spans="1:7" x14ac:dyDescent="0.25">
      <c r="A449">
        <v>447</v>
      </c>
      <c r="B449">
        <v>40</v>
      </c>
      <c r="C449">
        <v>0</v>
      </c>
      <c r="D449" t="s">
        <v>9100</v>
      </c>
      <c r="E449" t="s">
        <v>9100</v>
      </c>
      <c r="F449">
        <v>31</v>
      </c>
      <c r="G449">
        <v>37</v>
      </c>
    </row>
    <row r="450" spans="1:7" x14ac:dyDescent="0.25">
      <c r="A450">
        <v>448</v>
      </c>
      <c r="B450">
        <v>2</v>
      </c>
      <c r="C450">
        <v>0</v>
      </c>
      <c r="D450" t="s">
        <v>9101</v>
      </c>
      <c r="E450" t="s">
        <v>9101</v>
      </c>
      <c r="F450">
        <v>32</v>
      </c>
      <c r="G450">
        <v>37</v>
      </c>
    </row>
    <row r="451" spans="1:7" x14ac:dyDescent="0.25">
      <c r="A451">
        <v>449</v>
      </c>
      <c r="B451">
        <v>40</v>
      </c>
      <c r="C451">
        <v>0</v>
      </c>
      <c r="D451" t="s">
        <v>9102</v>
      </c>
      <c r="E451" t="s">
        <v>9102</v>
      </c>
      <c r="F451">
        <v>31</v>
      </c>
      <c r="G451">
        <v>37</v>
      </c>
    </row>
    <row r="452" spans="1:7" x14ac:dyDescent="0.25">
      <c r="A452">
        <v>450</v>
      </c>
      <c r="B452">
        <v>2</v>
      </c>
      <c r="C452">
        <v>0</v>
      </c>
      <c r="D452" t="s">
        <v>9103</v>
      </c>
      <c r="E452" t="s">
        <v>9104</v>
      </c>
      <c r="F452">
        <v>32</v>
      </c>
      <c r="G452">
        <v>37</v>
      </c>
    </row>
    <row r="453" spans="1:7" x14ac:dyDescent="0.25">
      <c r="A453">
        <v>451</v>
      </c>
      <c r="B453">
        <v>84</v>
      </c>
      <c r="C453">
        <v>0</v>
      </c>
      <c r="D453" t="s">
        <v>9105</v>
      </c>
      <c r="E453" t="s">
        <v>9105</v>
      </c>
      <c r="F453">
        <v>32</v>
      </c>
      <c r="G453">
        <v>37</v>
      </c>
    </row>
    <row r="454" spans="1:7" x14ac:dyDescent="0.25">
      <c r="A454">
        <v>452</v>
      </c>
      <c r="B454">
        <v>61</v>
      </c>
      <c r="C454">
        <v>0</v>
      </c>
      <c r="D454" t="s">
        <v>9106</v>
      </c>
      <c r="E454" t="s">
        <v>9106</v>
      </c>
      <c r="F454">
        <v>32</v>
      </c>
      <c r="G454">
        <v>37</v>
      </c>
    </row>
    <row r="455" spans="1:7" x14ac:dyDescent="0.25">
      <c r="A455">
        <v>453</v>
      </c>
      <c r="B455">
        <v>61</v>
      </c>
      <c r="C455">
        <v>0</v>
      </c>
      <c r="D455" t="s">
        <v>9107</v>
      </c>
      <c r="E455" t="s">
        <v>9107</v>
      </c>
      <c r="F455">
        <v>32</v>
      </c>
      <c r="G455">
        <v>37</v>
      </c>
    </row>
    <row r="456" spans="1:7" x14ac:dyDescent="0.25">
      <c r="A456">
        <v>454</v>
      </c>
      <c r="B456">
        <v>25</v>
      </c>
      <c r="C456">
        <v>0</v>
      </c>
      <c r="D456" t="s">
        <v>9108</v>
      </c>
      <c r="E456" t="s">
        <v>9108</v>
      </c>
      <c r="F456">
        <v>32</v>
      </c>
      <c r="G456">
        <v>37</v>
      </c>
    </row>
    <row r="457" spans="1:7" x14ac:dyDescent="0.25">
      <c r="A457">
        <v>455</v>
      </c>
      <c r="B457">
        <v>34</v>
      </c>
      <c r="C457">
        <v>0</v>
      </c>
      <c r="D457" t="s">
        <v>9109</v>
      </c>
      <c r="E457" t="s">
        <v>9109</v>
      </c>
      <c r="F457">
        <v>32</v>
      </c>
      <c r="G457">
        <v>37</v>
      </c>
    </row>
    <row r="458" spans="1:7" x14ac:dyDescent="0.25">
      <c r="A458">
        <v>456</v>
      </c>
      <c r="B458">
        <v>40</v>
      </c>
      <c r="C458">
        <v>0</v>
      </c>
      <c r="D458" t="s">
        <v>9110</v>
      </c>
      <c r="E458" t="s">
        <v>9110</v>
      </c>
      <c r="F458">
        <v>31</v>
      </c>
      <c r="G458">
        <v>38</v>
      </c>
    </row>
    <row r="459" spans="1:7" x14ac:dyDescent="0.25">
      <c r="A459">
        <v>457</v>
      </c>
      <c r="B459">
        <v>8</v>
      </c>
      <c r="C459">
        <v>0</v>
      </c>
      <c r="D459" t="s">
        <v>9111</v>
      </c>
      <c r="E459" t="s">
        <v>9111</v>
      </c>
      <c r="F459">
        <v>32</v>
      </c>
      <c r="G459">
        <v>37</v>
      </c>
    </row>
    <row r="460" spans="1:7" x14ac:dyDescent="0.25">
      <c r="A460">
        <v>458</v>
      </c>
      <c r="B460">
        <v>66</v>
      </c>
      <c r="C460">
        <v>0</v>
      </c>
      <c r="D460" t="s">
        <v>9112</v>
      </c>
      <c r="E460" t="s">
        <v>9112</v>
      </c>
      <c r="F460">
        <v>32</v>
      </c>
      <c r="G460">
        <v>38</v>
      </c>
    </row>
    <row r="461" spans="1:7" x14ac:dyDescent="0.25">
      <c r="A461">
        <v>459</v>
      </c>
      <c r="B461">
        <v>40</v>
      </c>
      <c r="C461">
        <v>0</v>
      </c>
      <c r="D461" t="s">
        <v>9113</v>
      </c>
      <c r="E461" t="s">
        <v>9113</v>
      </c>
      <c r="F461">
        <v>31</v>
      </c>
      <c r="G461">
        <v>37</v>
      </c>
    </row>
    <row r="462" spans="1:7" x14ac:dyDescent="0.25">
      <c r="A462">
        <v>460</v>
      </c>
      <c r="B462">
        <v>35</v>
      </c>
      <c r="C462">
        <v>0</v>
      </c>
      <c r="D462" t="s">
        <v>9114</v>
      </c>
      <c r="E462" t="s">
        <v>9114</v>
      </c>
      <c r="F462">
        <v>32</v>
      </c>
      <c r="G462">
        <v>37</v>
      </c>
    </row>
    <row r="463" spans="1:7" x14ac:dyDescent="0.25">
      <c r="A463">
        <v>461</v>
      </c>
      <c r="B463">
        <v>25</v>
      </c>
      <c r="C463">
        <v>0</v>
      </c>
      <c r="D463" t="s">
        <v>9115</v>
      </c>
      <c r="E463" t="s">
        <v>9115</v>
      </c>
      <c r="F463">
        <v>32</v>
      </c>
      <c r="G463">
        <v>37</v>
      </c>
    </row>
    <row r="464" spans="1:7" x14ac:dyDescent="0.25">
      <c r="A464">
        <v>462</v>
      </c>
      <c r="B464">
        <v>8</v>
      </c>
      <c r="C464">
        <v>0</v>
      </c>
      <c r="D464" t="s">
        <v>9116</v>
      </c>
      <c r="E464" t="s">
        <v>9116</v>
      </c>
      <c r="F464">
        <v>32</v>
      </c>
      <c r="G464">
        <v>37</v>
      </c>
    </row>
    <row r="465" spans="1:7" x14ac:dyDescent="0.25">
      <c r="A465">
        <v>463</v>
      </c>
      <c r="B465">
        <v>50</v>
      </c>
      <c r="C465">
        <v>0</v>
      </c>
      <c r="D465" t="s">
        <v>9117</v>
      </c>
      <c r="E465" t="s">
        <v>9117</v>
      </c>
      <c r="F465">
        <v>32</v>
      </c>
      <c r="G465">
        <v>37</v>
      </c>
    </row>
    <row r="466" spans="1:7" x14ac:dyDescent="0.25">
      <c r="A466">
        <v>464</v>
      </c>
      <c r="B466">
        <v>54</v>
      </c>
      <c r="C466">
        <v>0</v>
      </c>
      <c r="D466" t="s">
        <v>9118</v>
      </c>
      <c r="E466" t="s">
        <v>9118</v>
      </c>
      <c r="F466">
        <v>32</v>
      </c>
      <c r="G466">
        <v>37</v>
      </c>
    </row>
    <row r="467" spans="1:7" x14ac:dyDescent="0.25">
      <c r="A467">
        <v>465</v>
      </c>
      <c r="B467">
        <v>8</v>
      </c>
      <c r="C467">
        <v>0</v>
      </c>
      <c r="D467" t="s">
        <v>9119</v>
      </c>
      <c r="E467" t="s">
        <v>9119</v>
      </c>
      <c r="F467">
        <v>32</v>
      </c>
      <c r="G467">
        <v>37</v>
      </c>
    </row>
    <row r="468" spans="1:7" x14ac:dyDescent="0.25">
      <c r="A468">
        <v>466</v>
      </c>
      <c r="B468">
        <v>40</v>
      </c>
      <c r="C468">
        <v>0</v>
      </c>
      <c r="D468" t="s">
        <v>9120</v>
      </c>
      <c r="E468" t="s">
        <v>9120</v>
      </c>
      <c r="F468">
        <v>31</v>
      </c>
      <c r="G468">
        <v>37</v>
      </c>
    </row>
    <row r="469" spans="1:7" x14ac:dyDescent="0.25">
      <c r="A469">
        <v>467</v>
      </c>
      <c r="B469">
        <v>40</v>
      </c>
      <c r="C469">
        <v>200</v>
      </c>
      <c r="D469" t="s">
        <v>9121</v>
      </c>
      <c r="E469" t="s">
        <v>9121</v>
      </c>
      <c r="F469">
        <v>31</v>
      </c>
      <c r="G469">
        <v>38</v>
      </c>
    </row>
    <row r="470" spans="1:7" x14ac:dyDescent="0.25">
      <c r="A470">
        <v>468</v>
      </c>
      <c r="B470">
        <v>8</v>
      </c>
      <c r="C470">
        <v>0</v>
      </c>
      <c r="D470" t="s">
        <v>9122</v>
      </c>
      <c r="E470" t="s">
        <v>9122</v>
      </c>
      <c r="F470">
        <v>32</v>
      </c>
      <c r="G470">
        <v>38</v>
      </c>
    </row>
    <row r="471" spans="1:7" x14ac:dyDescent="0.25">
      <c r="A471">
        <v>469</v>
      </c>
      <c r="B471">
        <v>54</v>
      </c>
      <c r="C471">
        <v>0</v>
      </c>
      <c r="D471" t="s">
        <v>9123</v>
      </c>
      <c r="E471" t="s">
        <v>9123</v>
      </c>
      <c r="F471">
        <v>32</v>
      </c>
      <c r="G471">
        <v>37</v>
      </c>
    </row>
    <row r="472" spans="1:7" x14ac:dyDescent="0.25">
      <c r="A472">
        <v>470</v>
      </c>
      <c r="B472">
        <v>40</v>
      </c>
      <c r="C472">
        <v>0</v>
      </c>
      <c r="D472" t="s">
        <v>9124</v>
      </c>
      <c r="E472" t="s">
        <v>9124</v>
      </c>
      <c r="F472">
        <v>31</v>
      </c>
      <c r="G472">
        <v>37</v>
      </c>
    </row>
    <row r="473" spans="1:7" x14ac:dyDescent="0.25">
      <c r="A473">
        <v>471</v>
      </c>
      <c r="B473">
        <v>40</v>
      </c>
      <c r="C473">
        <v>0</v>
      </c>
      <c r="D473" t="s">
        <v>8992</v>
      </c>
      <c r="E473" t="s">
        <v>8992</v>
      </c>
      <c r="F473">
        <v>31</v>
      </c>
      <c r="G473">
        <v>37</v>
      </c>
    </row>
    <row r="474" spans="1:7" x14ac:dyDescent="0.25">
      <c r="A474">
        <v>472</v>
      </c>
      <c r="B474">
        <v>54</v>
      </c>
      <c r="C474">
        <v>0</v>
      </c>
      <c r="D474" t="s">
        <v>9125</v>
      </c>
      <c r="E474" t="s">
        <v>9125</v>
      </c>
      <c r="F474">
        <v>32</v>
      </c>
      <c r="G474">
        <v>38</v>
      </c>
    </row>
    <row r="475" spans="1:7" x14ac:dyDescent="0.25">
      <c r="A475">
        <v>473</v>
      </c>
      <c r="B475">
        <v>40</v>
      </c>
      <c r="C475">
        <v>0</v>
      </c>
      <c r="D475" t="s">
        <v>9126</v>
      </c>
      <c r="E475" t="s">
        <v>9126</v>
      </c>
      <c r="F475">
        <v>31</v>
      </c>
      <c r="G475">
        <v>38</v>
      </c>
    </row>
    <row r="476" spans="1:7" x14ac:dyDescent="0.25">
      <c r="A476">
        <v>474</v>
      </c>
      <c r="B476">
        <v>34</v>
      </c>
      <c r="C476">
        <v>0</v>
      </c>
      <c r="D476" t="s">
        <v>9127</v>
      </c>
      <c r="E476" t="s">
        <v>9127</v>
      </c>
      <c r="F476">
        <v>32</v>
      </c>
      <c r="G476">
        <v>37</v>
      </c>
    </row>
    <row r="477" spans="1:7" x14ac:dyDescent="0.25">
      <c r="A477">
        <v>475</v>
      </c>
      <c r="B477">
        <v>40</v>
      </c>
      <c r="C477">
        <v>0</v>
      </c>
      <c r="D477" t="s">
        <v>9128</v>
      </c>
      <c r="E477" t="s">
        <v>9128</v>
      </c>
      <c r="F477">
        <v>31</v>
      </c>
      <c r="G477">
        <v>38</v>
      </c>
    </row>
    <row r="478" spans="1:7" x14ac:dyDescent="0.25">
      <c r="A478">
        <v>476</v>
      </c>
      <c r="B478">
        <v>40</v>
      </c>
      <c r="C478">
        <v>0</v>
      </c>
      <c r="D478" t="s">
        <v>3318</v>
      </c>
      <c r="E478" t="s">
        <v>3318</v>
      </c>
      <c r="F478">
        <v>31</v>
      </c>
      <c r="G478">
        <v>37</v>
      </c>
    </row>
    <row r="479" spans="1:7" x14ac:dyDescent="0.25">
      <c r="A479">
        <v>477</v>
      </c>
      <c r="B479">
        <v>54</v>
      </c>
      <c r="C479">
        <v>0</v>
      </c>
      <c r="D479" t="s">
        <v>9129</v>
      </c>
      <c r="E479" t="s">
        <v>9129</v>
      </c>
      <c r="F479">
        <v>32</v>
      </c>
      <c r="G479">
        <v>37</v>
      </c>
    </row>
    <row r="480" spans="1:7" x14ac:dyDescent="0.25">
      <c r="A480">
        <v>478</v>
      </c>
      <c r="B480">
        <v>54</v>
      </c>
      <c r="C480">
        <v>0</v>
      </c>
      <c r="D480" t="s">
        <v>9130</v>
      </c>
      <c r="E480" t="s">
        <v>9130</v>
      </c>
      <c r="F480">
        <v>32</v>
      </c>
      <c r="G480">
        <v>38</v>
      </c>
    </row>
    <row r="481" spans="1:7" x14ac:dyDescent="0.25">
      <c r="A481">
        <v>479</v>
      </c>
      <c r="B481">
        <v>25</v>
      </c>
      <c r="C481">
        <v>0</v>
      </c>
      <c r="D481" t="s">
        <v>9131</v>
      </c>
      <c r="E481" t="s">
        <v>9131</v>
      </c>
      <c r="F481">
        <v>32</v>
      </c>
      <c r="G481">
        <v>37</v>
      </c>
    </row>
    <row r="482" spans="1:7" x14ac:dyDescent="0.25">
      <c r="A482">
        <v>480</v>
      </c>
      <c r="B482">
        <v>54</v>
      </c>
      <c r="C482">
        <v>0</v>
      </c>
      <c r="D482" t="s">
        <v>9132</v>
      </c>
      <c r="E482" t="s">
        <v>9132</v>
      </c>
      <c r="F482">
        <v>32</v>
      </c>
      <c r="G482">
        <v>37</v>
      </c>
    </row>
    <row r="483" spans="1:7" x14ac:dyDescent="0.25">
      <c r="A483">
        <v>481</v>
      </c>
      <c r="B483">
        <v>7</v>
      </c>
      <c r="C483">
        <v>0</v>
      </c>
      <c r="D483" t="s">
        <v>9133</v>
      </c>
      <c r="E483" t="s">
        <v>9133</v>
      </c>
      <c r="F483">
        <v>32</v>
      </c>
      <c r="G483">
        <v>37</v>
      </c>
    </row>
    <row r="484" spans="1:7" x14ac:dyDescent="0.25">
      <c r="A484">
        <v>482</v>
      </c>
      <c r="B484">
        <v>54</v>
      </c>
      <c r="C484">
        <v>0</v>
      </c>
      <c r="D484" t="s">
        <v>9134</v>
      </c>
      <c r="E484" t="s">
        <v>9134</v>
      </c>
      <c r="F484">
        <v>32</v>
      </c>
      <c r="G484">
        <v>38</v>
      </c>
    </row>
    <row r="485" spans="1:7" x14ac:dyDescent="0.25">
      <c r="A485">
        <v>483</v>
      </c>
      <c r="B485">
        <v>4</v>
      </c>
      <c r="C485">
        <v>0</v>
      </c>
      <c r="D485" t="s">
        <v>9135</v>
      </c>
      <c r="E485" t="s">
        <v>9135</v>
      </c>
      <c r="F485">
        <v>32</v>
      </c>
      <c r="G485">
        <v>37</v>
      </c>
    </row>
    <row r="486" spans="1:7" x14ac:dyDescent="0.25">
      <c r="A486">
        <v>484</v>
      </c>
      <c r="B486">
        <v>4</v>
      </c>
      <c r="C486">
        <v>0</v>
      </c>
      <c r="D486" t="s">
        <v>9136</v>
      </c>
      <c r="E486" t="s">
        <v>9136</v>
      </c>
      <c r="F486">
        <v>32</v>
      </c>
      <c r="G486">
        <v>37</v>
      </c>
    </row>
    <row r="487" spans="1:7" x14ac:dyDescent="0.25">
      <c r="A487">
        <v>485</v>
      </c>
      <c r="B487">
        <v>42</v>
      </c>
      <c r="C487">
        <v>0</v>
      </c>
      <c r="D487" t="s">
        <v>9137</v>
      </c>
      <c r="E487" t="s">
        <v>9137</v>
      </c>
      <c r="F487">
        <v>32</v>
      </c>
      <c r="G487">
        <v>37</v>
      </c>
    </row>
    <row r="488" spans="1:7" x14ac:dyDescent="0.25">
      <c r="A488">
        <v>486</v>
      </c>
      <c r="B488">
        <v>26</v>
      </c>
      <c r="C488">
        <v>0</v>
      </c>
      <c r="D488" t="s">
        <v>9138</v>
      </c>
      <c r="E488" t="s">
        <v>9138</v>
      </c>
      <c r="F488">
        <v>32</v>
      </c>
      <c r="G488">
        <v>37</v>
      </c>
    </row>
    <row r="489" spans="1:7" x14ac:dyDescent="0.25">
      <c r="A489">
        <v>487</v>
      </c>
      <c r="B489">
        <v>6</v>
      </c>
      <c r="C489">
        <v>0</v>
      </c>
      <c r="D489" t="s">
        <v>9139</v>
      </c>
      <c r="E489" t="s">
        <v>9139</v>
      </c>
      <c r="F489">
        <v>32</v>
      </c>
      <c r="G489">
        <v>37</v>
      </c>
    </row>
    <row r="490" spans="1:7" x14ac:dyDescent="0.25">
      <c r="A490">
        <v>488</v>
      </c>
      <c r="B490">
        <v>54</v>
      </c>
      <c r="C490">
        <v>0</v>
      </c>
      <c r="D490" t="s">
        <v>9140</v>
      </c>
      <c r="E490" t="s">
        <v>9140</v>
      </c>
      <c r="F490">
        <v>32</v>
      </c>
      <c r="G490">
        <v>38</v>
      </c>
    </row>
    <row r="491" spans="1:7" x14ac:dyDescent="0.25">
      <c r="A491">
        <v>489</v>
      </c>
      <c r="B491">
        <v>54</v>
      </c>
      <c r="C491">
        <v>0</v>
      </c>
      <c r="D491" t="s">
        <v>9141</v>
      </c>
      <c r="E491" t="s">
        <v>9141</v>
      </c>
      <c r="F491">
        <v>32</v>
      </c>
      <c r="G491">
        <v>37</v>
      </c>
    </row>
    <row r="492" spans="1:7" x14ac:dyDescent="0.25">
      <c r="A492">
        <v>490</v>
      </c>
      <c r="B492">
        <v>23</v>
      </c>
      <c r="C492">
        <v>0</v>
      </c>
      <c r="D492" t="s">
        <v>9142</v>
      </c>
      <c r="E492" t="s">
        <v>9142</v>
      </c>
      <c r="F492">
        <v>32</v>
      </c>
      <c r="G492">
        <v>37</v>
      </c>
    </row>
    <row r="493" spans="1:7" x14ac:dyDescent="0.25">
      <c r="A493">
        <v>491</v>
      </c>
      <c r="B493">
        <v>54</v>
      </c>
      <c r="C493">
        <v>0</v>
      </c>
      <c r="D493" t="s">
        <v>9143</v>
      </c>
      <c r="E493" t="s">
        <v>9143</v>
      </c>
      <c r="F493">
        <v>32</v>
      </c>
      <c r="G493">
        <v>37</v>
      </c>
    </row>
    <row r="494" spans="1:7" x14ac:dyDescent="0.25">
      <c r="A494">
        <v>492</v>
      </c>
      <c r="B494">
        <v>66</v>
      </c>
      <c r="C494">
        <v>0</v>
      </c>
      <c r="D494" t="s">
        <v>9144</v>
      </c>
      <c r="E494" t="s">
        <v>9144</v>
      </c>
      <c r="F494">
        <v>32</v>
      </c>
      <c r="G494">
        <v>37</v>
      </c>
    </row>
    <row r="495" spans="1:7" x14ac:dyDescent="0.25">
      <c r="A495">
        <v>493</v>
      </c>
      <c r="B495">
        <v>58</v>
      </c>
      <c r="C495">
        <v>0</v>
      </c>
      <c r="D495" t="s">
        <v>9145</v>
      </c>
      <c r="E495" t="s">
        <v>9145</v>
      </c>
      <c r="F495">
        <v>32</v>
      </c>
      <c r="G495">
        <v>37</v>
      </c>
    </row>
    <row r="496" spans="1:7" x14ac:dyDescent="0.25">
      <c r="A496">
        <v>494</v>
      </c>
      <c r="B496">
        <v>54</v>
      </c>
      <c r="C496">
        <v>0</v>
      </c>
      <c r="D496" t="s">
        <v>9146</v>
      </c>
      <c r="E496" t="s">
        <v>9146</v>
      </c>
      <c r="F496">
        <v>32</v>
      </c>
      <c r="G496">
        <v>38</v>
      </c>
    </row>
    <row r="497" spans="1:7" x14ac:dyDescent="0.25">
      <c r="A497">
        <v>495</v>
      </c>
      <c r="B497">
        <v>10</v>
      </c>
      <c r="C497">
        <v>0</v>
      </c>
      <c r="D497" t="s">
        <v>9147</v>
      </c>
      <c r="E497" t="s">
        <v>9147</v>
      </c>
      <c r="F497">
        <v>32</v>
      </c>
      <c r="G497">
        <v>37</v>
      </c>
    </row>
    <row r="498" spans="1:7" x14ac:dyDescent="0.25">
      <c r="A498">
        <v>496</v>
      </c>
      <c r="B498">
        <v>54</v>
      </c>
      <c r="C498">
        <v>0</v>
      </c>
      <c r="D498" t="s">
        <v>9148</v>
      </c>
      <c r="E498" t="s">
        <v>9148</v>
      </c>
      <c r="F498">
        <v>32</v>
      </c>
      <c r="G498">
        <v>37</v>
      </c>
    </row>
    <row r="499" spans="1:7" x14ac:dyDescent="0.25">
      <c r="A499">
        <v>497</v>
      </c>
      <c r="B499">
        <v>42</v>
      </c>
      <c r="C499">
        <v>0</v>
      </c>
      <c r="D499" t="s">
        <v>9149</v>
      </c>
      <c r="E499" t="s">
        <v>9149</v>
      </c>
      <c r="F499">
        <v>32</v>
      </c>
      <c r="G499">
        <v>37</v>
      </c>
    </row>
    <row r="500" spans="1:7" x14ac:dyDescent="0.25">
      <c r="A500">
        <v>498</v>
      </c>
      <c r="B500">
        <v>54</v>
      </c>
      <c r="C500">
        <v>0</v>
      </c>
      <c r="D500" t="s">
        <v>9150</v>
      </c>
      <c r="E500" t="s">
        <v>9150</v>
      </c>
      <c r="F500">
        <v>32</v>
      </c>
      <c r="G500">
        <v>38</v>
      </c>
    </row>
    <row r="501" spans="1:7" x14ac:dyDescent="0.25">
      <c r="A501">
        <v>499</v>
      </c>
      <c r="B501">
        <v>40</v>
      </c>
      <c r="C501">
        <v>0</v>
      </c>
      <c r="D501" t="s">
        <v>9151</v>
      </c>
      <c r="E501" t="s">
        <v>9151</v>
      </c>
      <c r="F501">
        <v>31</v>
      </c>
      <c r="G501">
        <v>37</v>
      </c>
    </row>
    <row r="502" spans="1:7" x14ac:dyDescent="0.25">
      <c r="A502">
        <v>500</v>
      </c>
      <c r="B502">
        <v>69</v>
      </c>
      <c r="C502">
        <v>0</v>
      </c>
      <c r="D502" t="s">
        <v>9152</v>
      </c>
      <c r="E502" t="s">
        <v>9152</v>
      </c>
      <c r="F502">
        <v>32</v>
      </c>
      <c r="G502">
        <v>37</v>
      </c>
    </row>
    <row r="503" spans="1:7" x14ac:dyDescent="0.25">
      <c r="A503">
        <v>501</v>
      </c>
      <c r="B503">
        <v>54</v>
      </c>
      <c r="C503">
        <v>0</v>
      </c>
      <c r="D503" t="s">
        <v>9153</v>
      </c>
      <c r="E503" t="s">
        <v>9153</v>
      </c>
      <c r="F503">
        <v>32</v>
      </c>
      <c r="G503">
        <v>38</v>
      </c>
    </row>
    <row r="504" spans="1:7" x14ac:dyDescent="0.25">
      <c r="A504">
        <v>502</v>
      </c>
      <c r="B504">
        <v>54</v>
      </c>
      <c r="C504">
        <v>0</v>
      </c>
      <c r="D504" t="s">
        <v>9154</v>
      </c>
      <c r="E504" t="s">
        <v>9154</v>
      </c>
      <c r="F504">
        <v>32</v>
      </c>
      <c r="G504">
        <v>38</v>
      </c>
    </row>
    <row r="505" spans="1:7" x14ac:dyDescent="0.25">
      <c r="A505">
        <v>503</v>
      </c>
      <c r="B505">
        <v>23</v>
      </c>
      <c r="C505">
        <v>0</v>
      </c>
      <c r="D505" t="s">
        <v>9155</v>
      </c>
      <c r="F505">
        <v>32</v>
      </c>
      <c r="G505">
        <v>37</v>
      </c>
    </row>
    <row r="506" spans="1:7" x14ac:dyDescent="0.25">
      <c r="A506">
        <v>504</v>
      </c>
      <c r="B506">
        <v>54</v>
      </c>
      <c r="C506">
        <v>0</v>
      </c>
      <c r="D506" t="s">
        <v>9156</v>
      </c>
      <c r="E506" t="s">
        <v>9156</v>
      </c>
      <c r="F506">
        <v>32</v>
      </c>
      <c r="G506">
        <v>37</v>
      </c>
    </row>
    <row r="507" spans="1:7" x14ac:dyDescent="0.25">
      <c r="A507">
        <v>505</v>
      </c>
      <c r="B507">
        <v>33</v>
      </c>
      <c r="C507">
        <v>0</v>
      </c>
      <c r="D507" t="s">
        <v>9157</v>
      </c>
      <c r="E507" t="s">
        <v>9157</v>
      </c>
      <c r="F507">
        <v>32</v>
      </c>
      <c r="G507">
        <v>37</v>
      </c>
    </row>
    <row r="508" spans="1:7" x14ac:dyDescent="0.25">
      <c r="A508">
        <v>506</v>
      </c>
      <c r="B508">
        <v>33</v>
      </c>
      <c r="C508">
        <v>0</v>
      </c>
      <c r="D508" t="s">
        <v>9158</v>
      </c>
      <c r="E508" t="s">
        <v>9158</v>
      </c>
      <c r="F508">
        <v>32</v>
      </c>
      <c r="G508">
        <v>37</v>
      </c>
    </row>
    <row r="509" spans="1:7" x14ac:dyDescent="0.25">
      <c r="A509">
        <v>507</v>
      </c>
      <c r="B509">
        <v>54</v>
      </c>
      <c r="C509">
        <v>0</v>
      </c>
      <c r="D509" t="s">
        <v>9159</v>
      </c>
      <c r="E509" t="s">
        <v>9159</v>
      </c>
      <c r="F509">
        <v>32</v>
      </c>
      <c r="G509">
        <v>37</v>
      </c>
    </row>
    <row r="510" spans="1:7" x14ac:dyDescent="0.25">
      <c r="A510">
        <v>508</v>
      </c>
      <c r="B510">
        <v>8</v>
      </c>
      <c r="C510">
        <v>0</v>
      </c>
      <c r="D510" t="s">
        <v>9160</v>
      </c>
      <c r="E510" t="s">
        <v>9160</v>
      </c>
      <c r="F510">
        <v>32</v>
      </c>
      <c r="G510">
        <v>37</v>
      </c>
    </row>
    <row r="511" spans="1:7" x14ac:dyDescent="0.25">
      <c r="A511">
        <v>509</v>
      </c>
      <c r="B511">
        <v>54</v>
      </c>
      <c r="C511">
        <v>0</v>
      </c>
      <c r="D511" t="s">
        <v>9161</v>
      </c>
      <c r="E511" t="s">
        <v>9161</v>
      </c>
      <c r="F511">
        <v>32</v>
      </c>
      <c r="G511">
        <v>37</v>
      </c>
    </row>
    <row r="512" spans="1:7" x14ac:dyDescent="0.25">
      <c r="A512">
        <v>510</v>
      </c>
      <c r="B512">
        <v>26</v>
      </c>
      <c r="C512">
        <v>0</v>
      </c>
      <c r="D512" t="s">
        <v>9162</v>
      </c>
      <c r="E512" t="s">
        <v>9162</v>
      </c>
      <c r="F512">
        <v>32</v>
      </c>
      <c r="G512">
        <v>37</v>
      </c>
    </row>
    <row r="513" spans="1:7" x14ac:dyDescent="0.25">
      <c r="A513">
        <v>511</v>
      </c>
      <c r="B513">
        <v>23</v>
      </c>
      <c r="C513">
        <v>0</v>
      </c>
      <c r="D513" t="s">
        <v>9163</v>
      </c>
      <c r="F513">
        <v>32</v>
      </c>
      <c r="G513">
        <v>37</v>
      </c>
    </row>
    <row r="514" spans="1:7" x14ac:dyDescent="0.25">
      <c r="A514">
        <v>512</v>
      </c>
      <c r="B514">
        <v>54</v>
      </c>
      <c r="C514">
        <v>0</v>
      </c>
      <c r="D514" t="s">
        <v>9164</v>
      </c>
      <c r="E514" t="s">
        <v>9164</v>
      </c>
      <c r="F514">
        <v>32</v>
      </c>
      <c r="G514">
        <v>37</v>
      </c>
    </row>
    <row r="515" spans="1:7" x14ac:dyDescent="0.25">
      <c r="A515">
        <v>513</v>
      </c>
      <c r="B515">
        <v>54</v>
      </c>
      <c r="C515">
        <v>0</v>
      </c>
      <c r="D515" t="s">
        <v>9165</v>
      </c>
      <c r="E515" t="s">
        <v>9165</v>
      </c>
      <c r="F515">
        <v>32</v>
      </c>
      <c r="G515">
        <v>37</v>
      </c>
    </row>
    <row r="516" spans="1:7" x14ac:dyDescent="0.25">
      <c r="A516">
        <v>514</v>
      </c>
      <c r="B516">
        <v>59</v>
      </c>
      <c r="C516">
        <v>0</v>
      </c>
      <c r="D516" t="s">
        <v>9166</v>
      </c>
      <c r="E516" t="s">
        <v>9166</v>
      </c>
      <c r="F516">
        <v>32</v>
      </c>
      <c r="G516">
        <v>37</v>
      </c>
    </row>
    <row r="517" spans="1:7" x14ac:dyDescent="0.25">
      <c r="A517">
        <v>515</v>
      </c>
      <c r="B517">
        <v>4</v>
      </c>
      <c r="C517">
        <v>0</v>
      </c>
      <c r="D517" t="s">
        <v>9167</v>
      </c>
      <c r="E517" t="s">
        <v>9167</v>
      </c>
      <c r="F517">
        <v>32</v>
      </c>
      <c r="G517">
        <v>37</v>
      </c>
    </row>
    <row r="518" spans="1:7" x14ac:dyDescent="0.25">
      <c r="A518">
        <v>516</v>
      </c>
      <c r="B518">
        <v>42</v>
      </c>
      <c r="C518">
        <v>0</v>
      </c>
      <c r="D518" t="s">
        <v>9168</v>
      </c>
      <c r="E518" t="s">
        <v>9168</v>
      </c>
      <c r="F518">
        <v>32</v>
      </c>
      <c r="G518">
        <v>37</v>
      </c>
    </row>
    <row r="519" spans="1:7" x14ac:dyDescent="0.25">
      <c r="A519">
        <v>517</v>
      </c>
      <c r="B519">
        <v>10</v>
      </c>
      <c r="C519">
        <v>0</v>
      </c>
      <c r="D519" t="s">
        <v>9169</v>
      </c>
      <c r="E519" t="s">
        <v>9169</v>
      </c>
      <c r="F519">
        <v>32</v>
      </c>
      <c r="G519">
        <v>37</v>
      </c>
    </row>
    <row r="520" spans="1:7" x14ac:dyDescent="0.25">
      <c r="A520">
        <v>518</v>
      </c>
      <c r="B520">
        <v>54</v>
      </c>
      <c r="C520">
        <v>0</v>
      </c>
      <c r="D520" t="s">
        <v>9170</v>
      </c>
      <c r="E520" t="s">
        <v>9170</v>
      </c>
      <c r="F520">
        <v>32</v>
      </c>
      <c r="G520">
        <v>37</v>
      </c>
    </row>
    <row r="521" spans="1:7" x14ac:dyDescent="0.25">
      <c r="A521">
        <v>519</v>
      </c>
      <c r="B521">
        <v>40</v>
      </c>
      <c r="C521">
        <v>0</v>
      </c>
      <c r="D521" t="s">
        <v>9171</v>
      </c>
      <c r="E521" t="s">
        <v>9171</v>
      </c>
      <c r="F521">
        <v>31</v>
      </c>
      <c r="G521">
        <v>38</v>
      </c>
    </row>
    <row r="522" spans="1:7" x14ac:dyDescent="0.25">
      <c r="A522">
        <v>520</v>
      </c>
      <c r="B522">
        <v>8</v>
      </c>
      <c r="C522">
        <v>0</v>
      </c>
      <c r="D522" t="s">
        <v>9172</v>
      </c>
      <c r="E522" t="s">
        <v>9172</v>
      </c>
      <c r="F522">
        <v>32</v>
      </c>
      <c r="G522">
        <v>38</v>
      </c>
    </row>
    <row r="523" spans="1:7" x14ac:dyDescent="0.25">
      <c r="A523">
        <v>521</v>
      </c>
      <c r="B523">
        <v>59</v>
      </c>
      <c r="C523">
        <v>0</v>
      </c>
      <c r="D523" t="s">
        <v>9173</v>
      </c>
      <c r="E523" t="s">
        <v>9173</v>
      </c>
      <c r="F523">
        <v>32</v>
      </c>
      <c r="G523">
        <v>38</v>
      </c>
    </row>
    <row r="524" spans="1:7" x14ac:dyDescent="0.25">
      <c r="A524">
        <v>522</v>
      </c>
      <c r="B524">
        <v>8</v>
      </c>
      <c r="C524">
        <v>0</v>
      </c>
      <c r="D524" t="s">
        <v>9174</v>
      </c>
      <c r="E524" t="s">
        <v>9174</v>
      </c>
      <c r="F524">
        <v>32</v>
      </c>
      <c r="G524">
        <v>38</v>
      </c>
    </row>
    <row r="525" spans="1:7" x14ac:dyDescent="0.25">
      <c r="A525">
        <v>523</v>
      </c>
      <c r="B525">
        <v>33</v>
      </c>
      <c r="C525">
        <v>0</v>
      </c>
      <c r="D525" t="s">
        <v>9175</v>
      </c>
      <c r="E525" t="s">
        <v>9175</v>
      </c>
      <c r="F525">
        <v>32</v>
      </c>
      <c r="G525">
        <v>38</v>
      </c>
    </row>
    <row r="526" spans="1:7" x14ac:dyDescent="0.25">
      <c r="A526">
        <v>524</v>
      </c>
      <c r="B526">
        <v>34</v>
      </c>
      <c r="C526">
        <v>0</v>
      </c>
      <c r="D526" t="s">
        <v>9176</v>
      </c>
      <c r="E526" t="s">
        <v>9176</v>
      </c>
      <c r="F526">
        <v>32</v>
      </c>
      <c r="G526">
        <v>38</v>
      </c>
    </row>
    <row r="527" spans="1:7" x14ac:dyDescent="0.25">
      <c r="A527">
        <v>525</v>
      </c>
      <c r="B527">
        <v>79</v>
      </c>
      <c r="C527">
        <v>300</v>
      </c>
      <c r="D527" t="s">
        <v>9177</v>
      </c>
      <c r="F527">
        <v>32</v>
      </c>
      <c r="G527">
        <v>37</v>
      </c>
    </row>
    <row r="528" spans="1:7" x14ac:dyDescent="0.25">
      <c r="A528">
        <v>526</v>
      </c>
      <c r="B528">
        <v>54</v>
      </c>
      <c r="C528">
        <v>0</v>
      </c>
      <c r="D528" t="s">
        <v>9178</v>
      </c>
      <c r="E528" t="s">
        <v>9178</v>
      </c>
      <c r="F528">
        <v>32</v>
      </c>
      <c r="G528">
        <v>38</v>
      </c>
    </row>
    <row r="529" spans="1:7" x14ac:dyDescent="0.25">
      <c r="A529">
        <v>527</v>
      </c>
      <c r="B529">
        <v>8</v>
      </c>
      <c r="C529">
        <v>0</v>
      </c>
      <c r="D529" t="s">
        <v>9179</v>
      </c>
      <c r="E529" t="s">
        <v>9179</v>
      </c>
      <c r="F529">
        <v>32</v>
      </c>
      <c r="G529">
        <v>37</v>
      </c>
    </row>
    <row r="530" spans="1:7" x14ac:dyDescent="0.25">
      <c r="A530">
        <v>528</v>
      </c>
      <c r="B530">
        <v>26</v>
      </c>
      <c r="C530">
        <v>0</v>
      </c>
      <c r="D530" t="s">
        <v>9180</v>
      </c>
      <c r="E530" t="s">
        <v>9180</v>
      </c>
      <c r="F530">
        <v>32</v>
      </c>
      <c r="G530">
        <v>37</v>
      </c>
    </row>
    <row r="531" spans="1:7" x14ac:dyDescent="0.25">
      <c r="A531">
        <v>529</v>
      </c>
      <c r="B531">
        <v>58</v>
      </c>
      <c r="C531">
        <v>0</v>
      </c>
      <c r="D531" t="s">
        <v>9181</v>
      </c>
      <c r="E531" t="s">
        <v>9181</v>
      </c>
      <c r="F531">
        <v>32</v>
      </c>
      <c r="G531">
        <v>37</v>
      </c>
    </row>
    <row r="532" spans="1:7" x14ac:dyDescent="0.25">
      <c r="A532">
        <v>530</v>
      </c>
      <c r="B532">
        <v>4</v>
      </c>
      <c r="C532">
        <v>0</v>
      </c>
      <c r="D532" t="s">
        <v>9182</v>
      </c>
      <c r="E532" t="s">
        <v>9182</v>
      </c>
      <c r="F532">
        <v>32</v>
      </c>
      <c r="G532">
        <v>37</v>
      </c>
    </row>
    <row r="533" spans="1:7" x14ac:dyDescent="0.25">
      <c r="A533">
        <v>531</v>
      </c>
      <c r="B533">
        <v>54</v>
      </c>
      <c r="C533">
        <v>0</v>
      </c>
      <c r="D533" t="s">
        <v>9183</v>
      </c>
      <c r="E533" t="s">
        <v>9183</v>
      </c>
      <c r="F533">
        <v>32</v>
      </c>
      <c r="G533">
        <v>37</v>
      </c>
    </row>
    <row r="534" spans="1:7" x14ac:dyDescent="0.25">
      <c r="A534">
        <v>532</v>
      </c>
      <c r="B534">
        <v>54</v>
      </c>
      <c r="C534">
        <v>0</v>
      </c>
      <c r="D534" t="s">
        <v>9184</v>
      </c>
      <c r="E534" t="s">
        <v>9184</v>
      </c>
      <c r="F534">
        <v>32</v>
      </c>
      <c r="G534">
        <v>37</v>
      </c>
    </row>
    <row r="535" spans="1:7" x14ac:dyDescent="0.25">
      <c r="A535">
        <v>533</v>
      </c>
      <c r="B535">
        <v>54</v>
      </c>
      <c r="C535">
        <v>0</v>
      </c>
      <c r="D535" t="s">
        <v>9185</v>
      </c>
      <c r="E535" t="s">
        <v>9185</v>
      </c>
      <c r="F535">
        <v>32</v>
      </c>
      <c r="G535">
        <v>37</v>
      </c>
    </row>
    <row r="536" spans="1:7" x14ac:dyDescent="0.25">
      <c r="A536">
        <v>534</v>
      </c>
      <c r="B536">
        <v>4</v>
      </c>
      <c r="C536">
        <v>0</v>
      </c>
      <c r="D536" t="s">
        <v>9186</v>
      </c>
      <c r="E536" t="s">
        <v>9186</v>
      </c>
      <c r="F536">
        <v>32</v>
      </c>
      <c r="G536">
        <v>37</v>
      </c>
    </row>
    <row r="537" spans="1:7" x14ac:dyDescent="0.25">
      <c r="A537">
        <v>535</v>
      </c>
      <c r="B537">
        <v>24</v>
      </c>
      <c r="C537">
        <v>0</v>
      </c>
      <c r="D537" t="s">
        <v>9187</v>
      </c>
      <c r="E537" t="s">
        <v>9187</v>
      </c>
      <c r="F537">
        <v>32</v>
      </c>
      <c r="G537">
        <v>37</v>
      </c>
    </row>
    <row r="538" spans="1:7" x14ac:dyDescent="0.25">
      <c r="A538">
        <v>536</v>
      </c>
      <c r="B538">
        <v>58</v>
      </c>
      <c r="C538">
        <v>0</v>
      </c>
      <c r="D538" t="s">
        <v>9188</v>
      </c>
      <c r="E538" t="s">
        <v>9188</v>
      </c>
      <c r="F538">
        <v>32</v>
      </c>
      <c r="G538">
        <v>37</v>
      </c>
    </row>
    <row r="539" spans="1:7" x14ac:dyDescent="0.25">
      <c r="A539">
        <v>537</v>
      </c>
      <c r="B539">
        <v>54</v>
      </c>
      <c r="C539">
        <v>0</v>
      </c>
      <c r="D539" t="s">
        <v>9189</v>
      </c>
      <c r="E539" t="s">
        <v>9189</v>
      </c>
      <c r="F539">
        <v>32</v>
      </c>
      <c r="G539">
        <v>37</v>
      </c>
    </row>
    <row r="540" spans="1:7" x14ac:dyDescent="0.25">
      <c r="A540">
        <v>538</v>
      </c>
      <c r="B540">
        <v>54</v>
      </c>
      <c r="C540">
        <v>0</v>
      </c>
      <c r="D540" t="s">
        <v>9190</v>
      </c>
      <c r="E540" t="s">
        <v>9190</v>
      </c>
      <c r="F540">
        <v>32</v>
      </c>
      <c r="G540">
        <v>37</v>
      </c>
    </row>
    <row r="541" spans="1:7" x14ac:dyDescent="0.25">
      <c r="A541">
        <v>539</v>
      </c>
      <c r="B541">
        <v>4</v>
      </c>
      <c r="C541">
        <v>0</v>
      </c>
      <c r="D541" t="s">
        <v>9191</v>
      </c>
      <c r="E541" t="s">
        <v>9191</v>
      </c>
      <c r="F541">
        <v>32</v>
      </c>
      <c r="G541">
        <v>37</v>
      </c>
    </row>
    <row r="542" spans="1:7" x14ac:dyDescent="0.25">
      <c r="A542">
        <v>540</v>
      </c>
      <c r="B542">
        <v>4</v>
      </c>
      <c r="C542">
        <v>0</v>
      </c>
      <c r="D542" t="s">
        <v>9192</v>
      </c>
      <c r="E542" t="s">
        <v>9192</v>
      </c>
      <c r="F542">
        <v>32</v>
      </c>
      <c r="G542">
        <v>37</v>
      </c>
    </row>
    <row r="543" spans="1:7" x14ac:dyDescent="0.25">
      <c r="A543">
        <v>541</v>
      </c>
      <c r="B543">
        <v>54</v>
      </c>
      <c r="C543">
        <v>0</v>
      </c>
      <c r="D543" t="s">
        <v>9193</v>
      </c>
      <c r="E543" t="s">
        <v>9193</v>
      </c>
      <c r="F543">
        <v>32</v>
      </c>
      <c r="G543">
        <v>37</v>
      </c>
    </row>
    <row r="544" spans="1:7" x14ac:dyDescent="0.25">
      <c r="A544">
        <v>542</v>
      </c>
      <c r="B544">
        <v>44</v>
      </c>
      <c r="C544">
        <v>0</v>
      </c>
      <c r="D544" t="s">
        <v>9194</v>
      </c>
      <c r="E544" t="s">
        <v>9194</v>
      </c>
      <c r="F544">
        <v>32</v>
      </c>
      <c r="G544">
        <v>37</v>
      </c>
    </row>
    <row r="545" spans="1:7" x14ac:dyDescent="0.25">
      <c r="A545">
        <v>543</v>
      </c>
      <c r="B545">
        <v>58</v>
      </c>
      <c r="C545">
        <v>0</v>
      </c>
      <c r="D545" t="s">
        <v>9195</v>
      </c>
      <c r="E545" t="s">
        <v>9195</v>
      </c>
      <c r="F545">
        <v>32</v>
      </c>
      <c r="G545">
        <v>37</v>
      </c>
    </row>
    <row r="546" spans="1:7" x14ac:dyDescent="0.25">
      <c r="A546">
        <v>544</v>
      </c>
      <c r="B546">
        <v>54</v>
      </c>
      <c r="C546">
        <v>0</v>
      </c>
      <c r="D546" t="s">
        <v>9196</v>
      </c>
      <c r="E546" t="s">
        <v>9196</v>
      </c>
      <c r="F546">
        <v>32</v>
      </c>
      <c r="G546">
        <v>37</v>
      </c>
    </row>
    <row r="547" spans="1:7" x14ac:dyDescent="0.25">
      <c r="A547">
        <v>545</v>
      </c>
      <c r="B547">
        <v>45</v>
      </c>
      <c r="C547">
        <v>0</v>
      </c>
      <c r="D547" t="s">
        <v>9197</v>
      </c>
      <c r="E547" t="s">
        <v>9197</v>
      </c>
      <c r="F547">
        <v>32</v>
      </c>
      <c r="G547">
        <v>37</v>
      </c>
    </row>
    <row r="548" spans="1:7" x14ac:dyDescent="0.25">
      <c r="A548">
        <v>546</v>
      </c>
      <c r="B548">
        <v>54</v>
      </c>
      <c r="C548">
        <v>0</v>
      </c>
      <c r="D548" t="s">
        <v>9198</v>
      </c>
      <c r="E548" t="s">
        <v>9198</v>
      </c>
      <c r="F548">
        <v>32</v>
      </c>
      <c r="G548">
        <v>37</v>
      </c>
    </row>
    <row r="549" spans="1:7" x14ac:dyDescent="0.25">
      <c r="A549">
        <v>547</v>
      </c>
      <c r="B549">
        <v>40</v>
      </c>
      <c r="C549">
        <v>0</v>
      </c>
      <c r="D549" t="s">
        <v>9199</v>
      </c>
      <c r="E549" t="s">
        <v>9199</v>
      </c>
      <c r="F549">
        <v>31</v>
      </c>
      <c r="G549">
        <v>38</v>
      </c>
    </row>
    <row r="550" spans="1:7" x14ac:dyDescent="0.25">
      <c r="A550">
        <v>548</v>
      </c>
      <c r="B550">
        <v>54</v>
      </c>
      <c r="C550">
        <v>0</v>
      </c>
      <c r="D550" t="s">
        <v>9200</v>
      </c>
      <c r="E550" t="s">
        <v>9200</v>
      </c>
      <c r="F550">
        <v>32</v>
      </c>
      <c r="G550">
        <v>38</v>
      </c>
    </row>
    <row r="551" spans="1:7" x14ac:dyDescent="0.25">
      <c r="A551">
        <v>549</v>
      </c>
      <c r="B551">
        <v>72</v>
      </c>
      <c r="C551">
        <v>300</v>
      </c>
      <c r="D551" t="s">
        <v>9201</v>
      </c>
      <c r="F551">
        <v>32</v>
      </c>
      <c r="G551">
        <v>38</v>
      </c>
    </row>
    <row r="552" spans="1:7" x14ac:dyDescent="0.25">
      <c r="A552">
        <v>550</v>
      </c>
      <c r="B552">
        <v>8</v>
      </c>
      <c r="C552">
        <v>0</v>
      </c>
      <c r="D552" t="s">
        <v>9202</v>
      </c>
      <c r="E552" t="s">
        <v>9202</v>
      </c>
      <c r="F552">
        <v>32</v>
      </c>
      <c r="G552">
        <v>38</v>
      </c>
    </row>
    <row r="553" spans="1:7" x14ac:dyDescent="0.25">
      <c r="A553">
        <v>551</v>
      </c>
      <c r="B553">
        <v>42</v>
      </c>
      <c r="C553">
        <v>0</v>
      </c>
      <c r="D553" t="s">
        <v>9203</v>
      </c>
      <c r="E553" t="s">
        <v>9203</v>
      </c>
      <c r="F553">
        <v>32</v>
      </c>
      <c r="G553">
        <v>38</v>
      </c>
    </row>
    <row r="554" spans="1:7" x14ac:dyDescent="0.25">
      <c r="A554">
        <v>552</v>
      </c>
      <c r="B554">
        <v>54</v>
      </c>
      <c r="C554">
        <v>0</v>
      </c>
      <c r="D554" t="s">
        <v>9204</v>
      </c>
      <c r="E554" t="s">
        <v>9204</v>
      </c>
      <c r="F554">
        <v>32</v>
      </c>
      <c r="G554">
        <v>38</v>
      </c>
    </row>
    <row r="555" spans="1:7" x14ac:dyDescent="0.25">
      <c r="A555">
        <v>553</v>
      </c>
      <c r="B555">
        <v>4</v>
      </c>
      <c r="C555">
        <v>0</v>
      </c>
      <c r="D555" t="s">
        <v>9205</v>
      </c>
      <c r="E555" t="s">
        <v>9205</v>
      </c>
      <c r="F555">
        <v>32</v>
      </c>
      <c r="G555">
        <v>38</v>
      </c>
    </row>
    <row r="556" spans="1:7" x14ac:dyDescent="0.25">
      <c r="A556">
        <v>554</v>
      </c>
      <c r="B556">
        <v>10</v>
      </c>
      <c r="C556">
        <v>0</v>
      </c>
      <c r="D556" t="s">
        <v>9206</v>
      </c>
      <c r="E556" t="s">
        <v>9206</v>
      </c>
      <c r="F556">
        <v>32</v>
      </c>
      <c r="G556">
        <v>38</v>
      </c>
    </row>
    <row r="557" spans="1:7" x14ac:dyDescent="0.25">
      <c r="A557">
        <v>555</v>
      </c>
      <c r="B557">
        <v>33</v>
      </c>
      <c r="C557">
        <v>0</v>
      </c>
      <c r="D557" t="s">
        <v>9207</v>
      </c>
      <c r="E557" t="s">
        <v>9207</v>
      </c>
      <c r="F557">
        <v>32</v>
      </c>
      <c r="G557">
        <v>38</v>
      </c>
    </row>
    <row r="558" spans="1:7" x14ac:dyDescent="0.25">
      <c r="A558">
        <v>556</v>
      </c>
      <c r="B558">
        <v>54</v>
      </c>
      <c r="C558">
        <v>0</v>
      </c>
      <c r="D558" t="s">
        <v>9208</v>
      </c>
      <c r="E558" t="s">
        <v>9208</v>
      </c>
      <c r="F558">
        <v>32</v>
      </c>
      <c r="G558">
        <v>38</v>
      </c>
    </row>
    <row r="559" spans="1:7" x14ac:dyDescent="0.25">
      <c r="A559">
        <v>557</v>
      </c>
      <c r="B559">
        <v>54</v>
      </c>
      <c r="C559">
        <v>0</v>
      </c>
      <c r="D559" t="s">
        <v>9209</v>
      </c>
      <c r="E559" t="s">
        <v>9209</v>
      </c>
      <c r="F559">
        <v>32</v>
      </c>
      <c r="G559">
        <v>38</v>
      </c>
    </row>
    <row r="560" spans="1:7" x14ac:dyDescent="0.25">
      <c r="A560">
        <v>558</v>
      </c>
      <c r="B560">
        <v>40</v>
      </c>
      <c r="C560">
        <v>0</v>
      </c>
      <c r="D560" t="s">
        <v>9210</v>
      </c>
      <c r="E560" t="s">
        <v>9210</v>
      </c>
      <c r="F560">
        <v>31</v>
      </c>
      <c r="G560">
        <v>38</v>
      </c>
    </row>
    <row r="561" spans="1:7" x14ac:dyDescent="0.25">
      <c r="A561">
        <v>559</v>
      </c>
      <c r="B561">
        <v>54</v>
      </c>
      <c r="C561">
        <v>0</v>
      </c>
      <c r="D561" t="s">
        <v>9211</v>
      </c>
      <c r="E561" t="s">
        <v>9211</v>
      </c>
      <c r="F561">
        <v>32</v>
      </c>
      <c r="G561">
        <v>38</v>
      </c>
    </row>
    <row r="562" spans="1:7" x14ac:dyDescent="0.25">
      <c r="A562">
        <v>560</v>
      </c>
      <c r="B562">
        <v>33</v>
      </c>
      <c r="C562">
        <v>0</v>
      </c>
      <c r="D562" t="s">
        <v>9212</v>
      </c>
      <c r="E562" t="s">
        <v>9212</v>
      </c>
      <c r="F562">
        <v>32</v>
      </c>
      <c r="G562">
        <v>38</v>
      </c>
    </row>
    <row r="563" spans="1:7" x14ac:dyDescent="0.25">
      <c r="A563">
        <v>561</v>
      </c>
      <c r="B563">
        <v>54</v>
      </c>
      <c r="C563">
        <v>0</v>
      </c>
      <c r="D563" t="s">
        <v>9213</v>
      </c>
      <c r="E563" t="s">
        <v>9213</v>
      </c>
      <c r="F563">
        <v>32</v>
      </c>
      <c r="G563">
        <v>38</v>
      </c>
    </row>
    <row r="564" spans="1:7" x14ac:dyDescent="0.25">
      <c r="A564">
        <v>562</v>
      </c>
      <c r="B564">
        <v>4</v>
      </c>
      <c r="C564">
        <v>0</v>
      </c>
      <c r="D564" t="s">
        <v>9214</v>
      </c>
      <c r="E564" t="s">
        <v>9214</v>
      </c>
      <c r="F564">
        <v>32</v>
      </c>
      <c r="G564">
        <v>38</v>
      </c>
    </row>
    <row r="565" spans="1:7" x14ac:dyDescent="0.25">
      <c r="A565">
        <v>563</v>
      </c>
      <c r="B565">
        <v>54</v>
      </c>
      <c r="C565">
        <v>0</v>
      </c>
      <c r="D565" t="s">
        <v>9215</v>
      </c>
      <c r="E565" t="s">
        <v>9215</v>
      </c>
      <c r="F565">
        <v>32</v>
      </c>
      <c r="G565">
        <v>38</v>
      </c>
    </row>
    <row r="566" spans="1:7" x14ac:dyDescent="0.25">
      <c r="A566">
        <v>564</v>
      </c>
      <c r="B566">
        <v>10</v>
      </c>
      <c r="C566">
        <v>0</v>
      </c>
      <c r="D566" t="s">
        <v>9216</v>
      </c>
      <c r="E566" t="s">
        <v>9216</v>
      </c>
      <c r="F566">
        <v>32</v>
      </c>
      <c r="G566">
        <v>38</v>
      </c>
    </row>
    <row r="567" spans="1:7" x14ac:dyDescent="0.25">
      <c r="A567">
        <v>565</v>
      </c>
      <c r="B567">
        <v>33</v>
      </c>
      <c r="C567">
        <v>0</v>
      </c>
      <c r="D567" t="s">
        <v>9217</v>
      </c>
      <c r="E567" t="s">
        <v>9217</v>
      </c>
      <c r="F567">
        <v>32</v>
      </c>
      <c r="G567">
        <v>38</v>
      </c>
    </row>
    <row r="568" spans="1:7" x14ac:dyDescent="0.25">
      <c r="A568">
        <v>566</v>
      </c>
      <c r="B568">
        <v>40</v>
      </c>
      <c r="C568">
        <v>0</v>
      </c>
      <c r="D568" t="s">
        <v>9218</v>
      </c>
      <c r="E568" t="s">
        <v>9218</v>
      </c>
      <c r="F568">
        <v>31</v>
      </c>
      <c r="G568">
        <v>38</v>
      </c>
    </row>
    <row r="569" spans="1:7" x14ac:dyDescent="0.25">
      <c r="A569">
        <v>567</v>
      </c>
      <c r="B569">
        <v>21</v>
      </c>
      <c r="C569">
        <v>0</v>
      </c>
      <c r="D569" t="s">
        <v>9219</v>
      </c>
      <c r="F569">
        <v>32</v>
      </c>
      <c r="G569">
        <v>37</v>
      </c>
    </row>
    <row r="570" spans="1:7" x14ac:dyDescent="0.25">
      <c r="A570">
        <v>568</v>
      </c>
      <c r="B570">
        <v>55</v>
      </c>
      <c r="C570">
        <v>0</v>
      </c>
      <c r="D570" t="s">
        <v>9220</v>
      </c>
      <c r="E570" t="s">
        <v>9220</v>
      </c>
      <c r="F570">
        <v>32</v>
      </c>
      <c r="G570">
        <v>38</v>
      </c>
    </row>
    <row r="571" spans="1:7" x14ac:dyDescent="0.25">
      <c r="A571">
        <v>569</v>
      </c>
      <c r="B571">
        <v>54</v>
      </c>
      <c r="C571">
        <v>0</v>
      </c>
      <c r="D571" t="s">
        <v>9221</v>
      </c>
      <c r="E571" t="s">
        <v>9221</v>
      </c>
      <c r="F571">
        <v>32</v>
      </c>
      <c r="G571">
        <v>38</v>
      </c>
    </row>
    <row r="572" spans="1:7" x14ac:dyDescent="0.25">
      <c r="A572">
        <v>570</v>
      </c>
      <c r="B572">
        <v>51</v>
      </c>
      <c r="C572">
        <v>0</v>
      </c>
      <c r="D572" t="s">
        <v>9222</v>
      </c>
      <c r="E572" t="s">
        <v>9222</v>
      </c>
      <c r="F572">
        <v>32</v>
      </c>
      <c r="G572">
        <v>37</v>
      </c>
    </row>
    <row r="573" spans="1:7" x14ac:dyDescent="0.25">
      <c r="A573">
        <v>571</v>
      </c>
      <c r="B573">
        <v>10</v>
      </c>
      <c r="C573">
        <v>300</v>
      </c>
      <c r="D573" t="s">
        <v>9223</v>
      </c>
      <c r="E573" t="s">
        <v>9224</v>
      </c>
      <c r="F573">
        <v>32</v>
      </c>
      <c r="G573">
        <v>37</v>
      </c>
    </row>
    <row r="574" spans="1:7" x14ac:dyDescent="0.25">
      <c r="A574">
        <v>572</v>
      </c>
      <c r="B574">
        <v>23</v>
      </c>
      <c r="C574">
        <v>0</v>
      </c>
      <c r="D574" t="s">
        <v>9225</v>
      </c>
      <c r="E574" t="s">
        <v>9225</v>
      </c>
      <c r="F574">
        <v>32</v>
      </c>
      <c r="G574">
        <v>37</v>
      </c>
    </row>
    <row r="575" spans="1:7" x14ac:dyDescent="0.25">
      <c r="A575">
        <v>573</v>
      </c>
      <c r="B575">
        <v>69</v>
      </c>
      <c r="C575">
        <v>300</v>
      </c>
      <c r="D575" t="s">
        <v>9226</v>
      </c>
      <c r="F575">
        <v>32</v>
      </c>
      <c r="G575">
        <v>37</v>
      </c>
    </row>
    <row r="576" spans="1:7" x14ac:dyDescent="0.25">
      <c r="A576">
        <v>574</v>
      </c>
      <c r="B576">
        <v>47</v>
      </c>
      <c r="C576">
        <v>0</v>
      </c>
      <c r="D576" t="s">
        <v>9227</v>
      </c>
      <c r="E576" t="s">
        <v>9227</v>
      </c>
      <c r="F576">
        <v>32</v>
      </c>
      <c r="G576">
        <v>37</v>
      </c>
    </row>
    <row r="577" spans="1:7" x14ac:dyDescent="0.25">
      <c r="A577">
        <v>575</v>
      </c>
      <c r="B577">
        <v>25</v>
      </c>
      <c r="C577">
        <v>200</v>
      </c>
      <c r="D577" t="s">
        <v>9228</v>
      </c>
      <c r="E577" t="s">
        <v>9228</v>
      </c>
      <c r="F577">
        <v>32</v>
      </c>
      <c r="G577">
        <v>37</v>
      </c>
    </row>
    <row r="578" spans="1:7" x14ac:dyDescent="0.25">
      <c r="A578">
        <v>576</v>
      </c>
      <c r="B578">
        <v>40</v>
      </c>
      <c r="C578">
        <v>0</v>
      </c>
      <c r="D578" t="s">
        <v>9229</v>
      </c>
      <c r="E578" t="s">
        <v>9229</v>
      </c>
      <c r="F578">
        <v>31</v>
      </c>
      <c r="G578">
        <v>38</v>
      </c>
    </row>
    <row r="579" spans="1:7" x14ac:dyDescent="0.25">
      <c r="A579">
        <v>577</v>
      </c>
      <c r="B579">
        <v>54</v>
      </c>
      <c r="C579">
        <v>0</v>
      </c>
      <c r="D579" t="s">
        <v>9230</v>
      </c>
      <c r="E579" t="s">
        <v>9230</v>
      </c>
      <c r="F579">
        <v>32</v>
      </c>
      <c r="G579">
        <v>38</v>
      </c>
    </row>
    <row r="580" spans="1:7" x14ac:dyDescent="0.25">
      <c r="A580">
        <v>578</v>
      </c>
      <c r="B580">
        <v>83</v>
      </c>
      <c r="C580">
        <v>0</v>
      </c>
      <c r="D580" t="s">
        <v>9231</v>
      </c>
      <c r="E580" t="s">
        <v>9231</v>
      </c>
      <c r="F580">
        <v>32</v>
      </c>
      <c r="G580">
        <v>38</v>
      </c>
    </row>
    <row r="581" spans="1:7" x14ac:dyDescent="0.25">
      <c r="A581">
        <v>579</v>
      </c>
      <c r="B581">
        <v>54</v>
      </c>
      <c r="C581">
        <v>0</v>
      </c>
      <c r="D581" t="s">
        <v>9232</v>
      </c>
      <c r="E581" t="s">
        <v>9232</v>
      </c>
      <c r="F581">
        <v>32</v>
      </c>
      <c r="G581">
        <v>38</v>
      </c>
    </row>
    <row r="582" spans="1:7" x14ac:dyDescent="0.25">
      <c r="A582">
        <v>580</v>
      </c>
      <c r="B582">
        <v>24</v>
      </c>
      <c r="C582">
        <v>0</v>
      </c>
      <c r="D582" t="s">
        <v>9233</v>
      </c>
      <c r="E582" t="s">
        <v>9233</v>
      </c>
      <c r="F582">
        <v>32</v>
      </c>
      <c r="G582">
        <v>37</v>
      </c>
    </row>
    <row r="583" spans="1:7" x14ac:dyDescent="0.25">
      <c r="A583">
        <v>581</v>
      </c>
      <c r="B583">
        <v>58</v>
      </c>
      <c r="C583">
        <v>0</v>
      </c>
      <c r="D583" t="s">
        <v>9234</v>
      </c>
      <c r="E583" t="s">
        <v>9234</v>
      </c>
      <c r="F583">
        <v>32</v>
      </c>
      <c r="G583">
        <v>38</v>
      </c>
    </row>
    <row r="584" spans="1:7" x14ac:dyDescent="0.25">
      <c r="A584">
        <v>582</v>
      </c>
      <c r="B584">
        <v>69</v>
      </c>
      <c r="C584">
        <v>0</v>
      </c>
      <c r="D584" t="s">
        <v>9235</v>
      </c>
      <c r="E584" t="s">
        <v>9235</v>
      </c>
      <c r="F584">
        <v>32</v>
      </c>
      <c r="G584">
        <v>37</v>
      </c>
    </row>
    <row r="585" spans="1:7" x14ac:dyDescent="0.25">
      <c r="A585">
        <v>583</v>
      </c>
      <c r="B585">
        <v>58</v>
      </c>
      <c r="C585">
        <v>0</v>
      </c>
      <c r="D585" t="s">
        <v>9236</v>
      </c>
      <c r="E585" t="s">
        <v>9236</v>
      </c>
      <c r="F585">
        <v>32</v>
      </c>
      <c r="G585">
        <v>37</v>
      </c>
    </row>
    <row r="586" spans="1:7" x14ac:dyDescent="0.25">
      <c r="A586">
        <v>584</v>
      </c>
      <c r="B586">
        <v>54</v>
      </c>
      <c r="C586">
        <v>0</v>
      </c>
      <c r="D586" t="s">
        <v>9237</v>
      </c>
      <c r="E586" t="s">
        <v>9237</v>
      </c>
      <c r="F586">
        <v>32</v>
      </c>
      <c r="G586">
        <v>37</v>
      </c>
    </row>
    <row r="587" spans="1:7" x14ac:dyDescent="0.25">
      <c r="A587">
        <v>585</v>
      </c>
      <c r="B587">
        <v>40</v>
      </c>
      <c r="C587">
        <v>0</v>
      </c>
      <c r="D587" t="s">
        <v>9238</v>
      </c>
      <c r="E587" t="s">
        <v>9238</v>
      </c>
      <c r="F587">
        <v>31</v>
      </c>
      <c r="G587">
        <v>38</v>
      </c>
    </row>
    <row r="588" spans="1:7" x14ac:dyDescent="0.25">
      <c r="A588">
        <v>586</v>
      </c>
      <c r="B588">
        <v>33</v>
      </c>
      <c r="C588">
        <v>0</v>
      </c>
      <c r="D588" t="s">
        <v>9239</v>
      </c>
      <c r="E588" t="s">
        <v>9239</v>
      </c>
      <c r="F588">
        <v>32</v>
      </c>
      <c r="G588">
        <v>37</v>
      </c>
    </row>
    <row r="589" spans="1:7" x14ac:dyDescent="0.25">
      <c r="A589">
        <v>587</v>
      </c>
      <c r="B589">
        <v>33</v>
      </c>
      <c r="C589">
        <v>0</v>
      </c>
      <c r="D589" t="s">
        <v>9240</v>
      </c>
      <c r="E589" t="s">
        <v>9240</v>
      </c>
      <c r="F589">
        <v>32</v>
      </c>
      <c r="G589">
        <v>38</v>
      </c>
    </row>
    <row r="590" spans="1:7" x14ac:dyDescent="0.25">
      <c r="A590">
        <v>588</v>
      </c>
      <c r="B590">
        <v>26</v>
      </c>
      <c r="C590">
        <v>0</v>
      </c>
      <c r="D590" t="s">
        <v>9138</v>
      </c>
      <c r="E590" t="s">
        <v>9138</v>
      </c>
      <c r="F590">
        <v>32</v>
      </c>
      <c r="G590">
        <v>37</v>
      </c>
    </row>
    <row r="591" spans="1:7" x14ac:dyDescent="0.25">
      <c r="A591">
        <v>589</v>
      </c>
      <c r="B591">
        <v>55</v>
      </c>
      <c r="C591">
        <v>0</v>
      </c>
      <c r="D591" t="s">
        <v>9241</v>
      </c>
      <c r="E591" t="s">
        <v>9241</v>
      </c>
      <c r="F591">
        <v>32</v>
      </c>
      <c r="G591">
        <v>37</v>
      </c>
    </row>
    <row r="592" spans="1:7" x14ac:dyDescent="0.25">
      <c r="A592">
        <v>590</v>
      </c>
      <c r="B592">
        <v>40</v>
      </c>
      <c r="C592">
        <v>0</v>
      </c>
      <c r="D592" t="s">
        <v>9242</v>
      </c>
      <c r="E592" t="s">
        <v>9242</v>
      </c>
      <c r="F592">
        <v>31</v>
      </c>
      <c r="G592">
        <v>37</v>
      </c>
    </row>
    <row r="593" spans="1:7" x14ac:dyDescent="0.25">
      <c r="A593">
        <v>591</v>
      </c>
      <c r="B593">
        <v>10</v>
      </c>
      <c r="C593">
        <v>0</v>
      </c>
      <c r="D593" t="s">
        <v>9243</v>
      </c>
      <c r="E593" t="s">
        <v>9243</v>
      </c>
      <c r="F593">
        <v>32</v>
      </c>
      <c r="G593">
        <v>38</v>
      </c>
    </row>
    <row r="594" spans="1:7" x14ac:dyDescent="0.25">
      <c r="A594">
        <v>592</v>
      </c>
      <c r="B594">
        <v>4</v>
      </c>
      <c r="C594">
        <v>0</v>
      </c>
      <c r="D594" t="s">
        <v>9244</v>
      </c>
      <c r="E594" t="s">
        <v>9244</v>
      </c>
      <c r="F594">
        <v>32</v>
      </c>
      <c r="G594">
        <v>37</v>
      </c>
    </row>
    <row r="595" spans="1:7" x14ac:dyDescent="0.25">
      <c r="A595">
        <v>593</v>
      </c>
      <c r="B595">
        <v>40</v>
      </c>
      <c r="C595">
        <v>0</v>
      </c>
      <c r="D595" t="s">
        <v>9245</v>
      </c>
      <c r="E595" t="s">
        <v>9245</v>
      </c>
      <c r="F595">
        <v>31</v>
      </c>
      <c r="G595">
        <v>38</v>
      </c>
    </row>
    <row r="596" spans="1:7" x14ac:dyDescent="0.25">
      <c r="A596">
        <v>594</v>
      </c>
      <c r="B596">
        <v>58</v>
      </c>
      <c r="C596">
        <v>0</v>
      </c>
      <c r="D596" t="s">
        <v>9246</v>
      </c>
      <c r="E596" t="s">
        <v>9246</v>
      </c>
      <c r="F596">
        <v>32</v>
      </c>
      <c r="G596">
        <v>37</v>
      </c>
    </row>
    <row r="597" spans="1:7" x14ac:dyDescent="0.25">
      <c r="A597">
        <v>595</v>
      </c>
      <c r="B597">
        <v>8</v>
      </c>
      <c r="C597">
        <v>0</v>
      </c>
      <c r="D597" t="s">
        <v>9247</v>
      </c>
      <c r="E597" t="s">
        <v>9247</v>
      </c>
      <c r="F597">
        <v>32</v>
      </c>
      <c r="G597">
        <v>38</v>
      </c>
    </row>
    <row r="598" spans="1:7" x14ac:dyDescent="0.25">
      <c r="A598">
        <v>596</v>
      </c>
      <c r="B598">
        <v>26</v>
      </c>
      <c r="C598">
        <v>0</v>
      </c>
      <c r="D598" t="s">
        <v>9248</v>
      </c>
      <c r="E598" t="s">
        <v>9248</v>
      </c>
      <c r="F598">
        <v>32</v>
      </c>
      <c r="G598">
        <v>38</v>
      </c>
    </row>
    <row r="599" spans="1:7" x14ac:dyDescent="0.25">
      <c r="A599">
        <v>597</v>
      </c>
      <c r="B599">
        <v>54</v>
      </c>
      <c r="C599">
        <v>0</v>
      </c>
      <c r="D599" t="s">
        <v>9249</v>
      </c>
      <c r="E599" t="s">
        <v>9249</v>
      </c>
      <c r="F599">
        <v>32</v>
      </c>
      <c r="G599">
        <v>38</v>
      </c>
    </row>
    <row r="600" spans="1:7" x14ac:dyDescent="0.25">
      <c r="A600">
        <v>598</v>
      </c>
      <c r="B600">
        <v>54</v>
      </c>
      <c r="C600">
        <v>0</v>
      </c>
      <c r="D600" t="s">
        <v>9250</v>
      </c>
      <c r="E600" t="s">
        <v>9250</v>
      </c>
      <c r="F600">
        <v>32</v>
      </c>
      <c r="G600">
        <v>38</v>
      </c>
    </row>
    <row r="601" spans="1:7" x14ac:dyDescent="0.25">
      <c r="A601">
        <v>599</v>
      </c>
      <c r="B601">
        <v>36</v>
      </c>
      <c r="C601">
        <v>300</v>
      </c>
      <c r="D601" t="s">
        <v>9251</v>
      </c>
      <c r="F601">
        <v>32</v>
      </c>
      <c r="G601">
        <v>37</v>
      </c>
    </row>
    <row r="602" spans="1:7" x14ac:dyDescent="0.25">
      <c r="A602">
        <v>600</v>
      </c>
      <c r="B602">
        <v>8</v>
      </c>
      <c r="C602">
        <v>0</v>
      </c>
      <c r="D602" t="s">
        <v>9252</v>
      </c>
      <c r="E602" t="s">
        <v>9252</v>
      </c>
      <c r="F602">
        <v>32</v>
      </c>
      <c r="G602">
        <v>38</v>
      </c>
    </row>
    <row r="603" spans="1:7" x14ac:dyDescent="0.25">
      <c r="A603">
        <v>601</v>
      </c>
      <c r="B603">
        <v>54</v>
      </c>
      <c r="C603">
        <v>0</v>
      </c>
      <c r="D603" t="s">
        <v>9253</v>
      </c>
      <c r="E603" t="s">
        <v>9253</v>
      </c>
      <c r="F603">
        <v>32</v>
      </c>
      <c r="G603">
        <v>38</v>
      </c>
    </row>
    <row r="604" spans="1:7" x14ac:dyDescent="0.25">
      <c r="A604">
        <v>602</v>
      </c>
      <c r="B604">
        <v>54</v>
      </c>
      <c r="C604">
        <v>0</v>
      </c>
      <c r="D604" t="s">
        <v>9254</v>
      </c>
      <c r="E604" t="s">
        <v>9254</v>
      </c>
      <c r="F604">
        <v>32</v>
      </c>
      <c r="G604">
        <v>38</v>
      </c>
    </row>
    <row r="605" spans="1:7" x14ac:dyDescent="0.25">
      <c r="A605">
        <v>603</v>
      </c>
      <c r="B605">
        <v>54</v>
      </c>
      <c r="C605">
        <v>0</v>
      </c>
      <c r="D605" t="s">
        <v>9255</v>
      </c>
      <c r="E605" t="s">
        <v>9255</v>
      </c>
      <c r="F605">
        <v>32</v>
      </c>
      <c r="G605">
        <v>38</v>
      </c>
    </row>
    <row r="606" spans="1:7" x14ac:dyDescent="0.25">
      <c r="A606">
        <v>604</v>
      </c>
      <c r="B606">
        <v>8</v>
      </c>
      <c r="C606">
        <v>0</v>
      </c>
      <c r="D606" t="s">
        <v>9256</v>
      </c>
      <c r="E606" t="s">
        <v>9256</v>
      </c>
      <c r="F606">
        <v>32</v>
      </c>
      <c r="G606">
        <v>38</v>
      </c>
    </row>
    <row r="607" spans="1:7" x14ac:dyDescent="0.25">
      <c r="A607">
        <v>605</v>
      </c>
      <c r="B607">
        <v>54</v>
      </c>
      <c r="C607">
        <v>0</v>
      </c>
      <c r="D607" t="s">
        <v>9257</v>
      </c>
      <c r="E607" t="s">
        <v>9257</v>
      </c>
      <c r="F607">
        <v>32</v>
      </c>
      <c r="G607">
        <v>38</v>
      </c>
    </row>
    <row r="608" spans="1:7" x14ac:dyDescent="0.25">
      <c r="A608">
        <v>606</v>
      </c>
      <c r="B608">
        <v>8</v>
      </c>
      <c r="C608">
        <v>0</v>
      </c>
      <c r="D608" t="s">
        <v>9258</v>
      </c>
      <c r="E608" t="s">
        <v>9258</v>
      </c>
      <c r="F608">
        <v>32</v>
      </c>
      <c r="G608">
        <v>37</v>
      </c>
    </row>
    <row r="609" spans="1:7" x14ac:dyDescent="0.25">
      <c r="A609">
        <v>607</v>
      </c>
      <c r="B609">
        <v>54</v>
      </c>
      <c r="C609">
        <v>0</v>
      </c>
      <c r="D609" t="s">
        <v>9259</v>
      </c>
      <c r="E609" t="s">
        <v>9260</v>
      </c>
      <c r="F609">
        <v>32</v>
      </c>
      <c r="G609">
        <v>37</v>
      </c>
    </row>
    <row r="610" spans="1:7" x14ac:dyDescent="0.25">
      <c r="A610">
        <v>608</v>
      </c>
      <c r="B610">
        <v>52</v>
      </c>
      <c r="C610">
        <v>0</v>
      </c>
      <c r="D610" t="s">
        <v>9261</v>
      </c>
      <c r="F610">
        <v>32</v>
      </c>
      <c r="G610">
        <v>37</v>
      </c>
    </row>
    <row r="611" spans="1:7" x14ac:dyDescent="0.25">
      <c r="A611">
        <v>609</v>
      </c>
      <c r="B611">
        <v>55</v>
      </c>
      <c r="C611">
        <v>0</v>
      </c>
      <c r="D611" t="s">
        <v>9262</v>
      </c>
      <c r="E611" t="s">
        <v>9262</v>
      </c>
      <c r="F611">
        <v>32</v>
      </c>
      <c r="G611">
        <v>37</v>
      </c>
    </row>
    <row r="612" spans="1:7" x14ac:dyDescent="0.25">
      <c r="A612">
        <v>610</v>
      </c>
      <c r="B612">
        <v>54</v>
      </c>
      <c r="C612">
        <v>0</v>
      </c>
      <c r="D612" t="s">
        <v>9263</v>
      </c>
      <c r="E612" t="s">
        <v>9263</v>
      </c>
      <c r="F612">
        <v>32</v>
      </c>
      <c r="G612">
        <v>37</v>
      </c>
    </row>
    <row r="613" spans="1:7" x14ac:dyDescent="0.25">
      <c r="A613">
        <v>611</v>
      </c>
      <c r="B613">
        <v>23</v>
      </c>
      <c r="C613">
        <v>0</v>
      </c>
      <c r="D613" t="s">
        <v>9264</v>
      </c>
      <c r="F613">
        <v>32</v>
      </c>
      <c r="G613">
        <v>38</v>
      </c>
    </row>
    <row r="614" spans="1:7" x14ac:dyDescent="0.25">
      <c r="A614">
        <v>612</v>
      </c>
      <c r="B614">
        <v>59</v>
      </c>
      <c r="C614">
        <v>0</v>
      </c>
      <c r="D614" t="s">
        <v>9265</v>
      </c>
      <c r="E614" t="s">
        <v>9265</v>
      </c>
      <c r="F614">
        <v>32</v>
      </c>
      <c r="G614">
        <v>37</v>
      </c>
    </row>
    <row r="615" spans="1:7" x14ac:dyDescent="0.25">
      <c r="A615">
        <v>613</v>
      </c>
      <c r="B615">
        <v>59</v>
      </c>
      <c r="C615">
        <v>0</v>
      </c>
      <c r="D615" t="s">
        <v>9266</v>
      </c>
      <c r="E615" t="s">
        <v>9266</v>
      </c>
      <c r="F615">
        <v>32</v>
      </c>
      <c r="G615">
        <v>37</v>
      </c>
    </row>
    <row r="616" spans="1:7" x14ac:dyDescent="0.25">
      <c r="A616">
        <v>614</v>
      </c>
      <c r="B616">
        <v>18</v>
      </c>
      <c r="C616">
        <v>0</v>
      </c>
      <c r="D616" t="s">
        <v>9267</v>
      </c>
      <c r="E616" t="s">
        <v>9267</v>
      </c>
      <c r="F616">
        <v>32</v>
      </c>
      <c r="G616">
        <v>37</v>
      </c>
    </row>
    <row r="617" spans="1:7" x14ac:dyDescent="0.25">
      <c r="A617">
        <v>615</v>
      </c>
      <c r="B617">
        <v>54</v>
      </c>
      <c r="C617">
        <v>0</v>
      </c>
      <c r="D617" t="s">
        <v>9268</v>
      </c>
      <c r="E617" t="s">
        <v>9268</v>
      </c>
      <c r="F617">
        <v>32</v>
      </c>
      <c r="G617">
        <v>37</v>
      </c>
    </row>
    <row r="618" spans="1:7" x14ac:dyDescent="0.25">
      <c r="A618">
        <v>616</v>
      </c>
      <c r="B618">
        <v>40</v>
      </c>
      <c r="C618">
        <v>0</v>
      </c>
      <c r="D618" t="s">
        <v>9269</v>
      </c>
      <c r="E618" t="s">
        <v>9269</v>
      </c>
      <c r="F618">
        <v>31</v>
      </c>
      <c r="G618">
        <v>38</v>
      </c>
    </row>
    <row r="619" spans="1:7" x14ac:dyDescent="0.25">
      <c r="A619">
        <v>617</v>
      </c>
      <c r="B619">
        <v>8</v>
      </c>
      <c r="C619">
        <v>0</v>
      </c>
      <c r="D619" t="s">
        <v>9270</v>
      </c>
      <c r="E619" t="s">
        <v>9270</v>
      </c>
      <c r="F619">
        <v>32</v>
      </c>
      <c r="G619">
        <v>38</v>
      </c>
    </row>
    <row r="620" spans="1:7" x14ac:dyDescent="0.25">
      <c r="A620">
        <v>618</v>
      </c>
      <c r="B620">
        <v>54</v>
      </c>
      <c r="C620">
        <v>0</v>
      </c>
      <c r="D620" t="s">
        <v>9271</v>
      </c>
      <c r="E620" t="s">
        <v>9271</v>
      </c>
      <c r="F620">
        <v>32</v>
      </c>
      <c r="G620">
        <v>38</v>
      </c>
    </row>
    <row r="621" spans="1:7" x14ac:dyDescent="0.25">
      <c r="A621">
        <v>619</v>
      </c>
      <c r="B621">
        <v>49</v>
      </c>
      <c r="C621">
        <v>0</v>
      </c>
      <c r="D621" t="s">
        <v>9272</v>
      </c>
      <c r="E621" t="s">
        <v>9272</v>
      </c>
      <c r="F621">
        <v>32</v>
      </c>
      <c r="G621">
        <v>38</v>
      </c>
    </row>
    <row r="622" spans="1:7" x14ac:dyDescent="0.25">
      <c r="A622">
        <v>620</v>
      </c>
      <c r="B622">
        <v>43</v>
      </c>
      <c r="C622">
        <v>0</v>
      </c>
      <c r="D622" t="s">
        <v>9273</v>
      </c>
      <c r="E622" t="s">
        <v>9273</v>
      </c>
      <c r="F622">
        <v>32</v>
      </c>
      <c r="G622">
        <v>38</v>
      </c>
    </row>
    <row r="623" spans="1:7" x14ac:dyDescent="0.25">
      <c r="A623">
        <v>621</v>
      </c>
      <c r="B623">
        <v>54</v>
      </c>
      <c r="C623">
        <v>0</v>
      </c>
      <c r="D623" t="s">
        <v>9274</v>
      </c>
      <c r="E623" t="s">
        <v>9274</v>
      </c>
      <c r="F623">
        <v>32</v>
      </c>
      <c r="G623">
        <v>38</v>
      </c>
    </row>
    <row r="624" spans="1:7" x14ac:dyDescent="0.25">
      <c r="A624">
        <v>622</v>
      </c>
      <c r="B624">
        <v>54</v>
      </c>
      <c r="C624">
        <v>0</v>
      </c>
      <c r="D624" t="s">
        <v>9275</v>
      </c>
      <c r="E624" t="s">
        <v>9275</v>
      </c>
      <c r="F624">
        <v>32</v>
      </c>
      <c r="G624">
        <v>38</v>
      </c>
    </row>
    <row r="625" spans="1:7" x14ac:dyDescent="0.25">
      <c r="A625">
        <v>623</v>
      </c>
      <c r="B625">
        <v>54</v>
      </c>
      <c r="C625">
        <v>0</v>
      </c>
      <c r="D625" t="s">
        <v>9276</v>
      </c>
      <c r="E625" t="s">
        <v>9276</v>
      </c>
      <c r="F625">
        <v>32</v>
      </c>
      <c r="G625">
        <v>38</v>
      </c>
    </row>
    <row r="626" spans="1:7" x14ac:dyDescent="0.25">
      <c r="A626">
        <v>624</v>
      </c>
      <c r="B626">
        <v>49</v>
      </c>
      <c r="C626">
        <v>0</v>
      </c>
      <c r="D626" t="s">
        <v>9277</v>
      </c>
      <c r="E626" t="s">
        <v>9277</v>
      </c>
      <c r="F626">
        <v>32</v>
      </c>
      <c r="G626">
        <v>38</v>
      </c>
    </row>
    <row r="627" spans="1:7" x14ac:dyDescent="0.25">
      <c r="A627">
        <v>625</v>
      </c>
      <c r="B627">
        <v>55</v>
      </c>
      <c r="C627">
        <v>0</v>
      </c>
      <c r="D627" t="s">
        <v>9278</v>
      </c>
      <c r="E627" t="s">
        <v>9278</v>
      </c>
      <c r="F627">
        <v>32</v>
      </c>
      <c r="G627">
        <v>38</v>
      </c>
    </row>
    <row r="628" spans="1:7" x14ac:dyDescent="0.25">
      <c r="A628">
        <v>626</v>
      </c>
      <c r="B628">
        <v>54</v>
      </c>
      <c r="C628">
        <v>0</v>
      </c>
      <c r="D628" t="s">
        <v>9279</v>
      </c>
      <c r="E628" t="s">
        <v>9279</v>
      </c>
      <c r="F628">
        <v>32</v>
      </c>
      <c r="G628">
        <v>38</v>
      </c>
    </row>
    <row r="629" spans="1:7" x14ac:dyDescent="0.25">
      <c r="A629">
        <v>627</v>
      </c>
      <c r="B629">
        <v>54</v>
      </c>
      <c r="C629">
        <v>0</v>
      </c>
      <c r="D629" t="s">
        <v>9280</v>
      </c>
      <c r="E629" t="s">
        <v>9280</v>
      </c>
      <c r="F629">
        <v>32</v>
      </c>
      <c r="G629">
        <v>38</v>
      </c>
    </row>
    <row r="630" spans="1:7" x14ac:dyDescent="0.25">
      <c r="A630">
        <v>628</v>
      </c>
      <c r="B630">
        <v>4</v>
      </c>
      <c r="C630">
        <v>0</v>
      </c>
      <c r="D630" t="s">
        <v>9281</v>
      </c>
      <c r="E630" t="s">
        <v>9281</v>
      </c>
      <c r="F630">
        <v>32</v>
      </c>
      <c r="G630">
        <v>38</v>
      </c>
    </row>
    <row r="631" spans="1:7" x14ac:dyDescent="0.25">
      <c r="A631">
        <v>629</v>
      </c>
      <c r="B631">
        <v>73</v>
      </c>
      <c r="C631">
        <v>0</v>
      </c>
      <c r="D631" t="s">
        <v>9282</v>
      </c>
      <c r="E631" t="s">
        <v>9282</v>
      </c>
      <c r="F631">
        <v>32</v>
      </c>
      <c r="G631">
        <v>38</v>
      </c>
    </row>
    <row r="632" spans="1:7" x14ac:dyDescent="0.25">
      <c r="A632">
        <v>630</v>
      </c>
      <c r="B632">
        <v>4</v>
      </c>
      <c r="C632">
        <v>0</v>
      </c>
      <c r="D632" t="s">
        <v>9283</v>
      </c>
      <c r="E632" t="s">
        <v>9283</v>
      </c>
      <c r="F632">
        <v>32</v>
      </c>
      <c r="G632">
        <v>38</v>
      </c>
    </row>
    <row r="633" spans="1:7" x14ac:dyDescent="0.25">
      <c r="A633">
        <v>631</v>
      </c>
      <c r="B633">
        <v>10</v>
      </c>
      <c r="C633">
        <v>0</v>
      </c>
      <c r="D633" t="s">
        <v>9284</v>
      </c>
      <c r="E633" t="s">
        <v>9284</v>
      </c>
      <c r="F633">
        <v>32</v>
      </c>
      <c r="G633">
        <v>38</v>
      </c>
    </row>
    <row r="634" spans="1:7" x14ac:dyDescent="0.25">
      <c r="A634">
        <v>632</v>
      </c>
      <c r="B634">
        <v>33</v>
      </c>
      <c r="C634">
        <v>0</v>
      </c>
      <c r="D634" t="s">
        <v>9285</v>
      </c>
      <c r="E634" t="s">
        <v>9285</v>
      </c>
      <c r="F634">
        <v>32</v>
      </c>
      <c r="G634">
        <v>38</v>
      </c>
    </row>
    <row r="635" spans="1:7" x14ac:dyDescent="0.25">
      <c r="A635">
        <v>633</v>
      </c>
      <c r="B635">
        <v>79</v>
      </c>
      <c r="C635">
        <v>200</v>
      </c>
      <c r="D635" t="s">
        <v>9286</v>
      </c>
      <c r="F635">
        <v>32</v>
      </c>
      <c r="G635">
        <v>37</v>
      </c>
    </row>
    <row r="636" spans="1:7" x14ac:dyDescent="0.25">
      <c r="A636">
        <v>634</v>
      </c>
      <c r="B636">
        <v>42</v>
      </c>
      <c r="C636">
        <v>0</v>
      </c>
      <c r="D636" t="s">
        <v>9287</v>
      </c>
      <c r="E636" t="s">
        <v>9287</v>
      </c>
      <c r="F636">
        <v>32</v>
      </c>
      <c r="G636">
        <v>38</v>
      </c>
    </row>
    <row r="637" spans="1:7" x14ac:dyDescent="0.25">
      <c r="A637">
        <v>635</v>
      </c>
      <c r="B637">
        <v>42</v>
      </c>
      <c r="C637">
        <v>0</v>
      </c>
      <c r="D637" t="s">
        <v>9288</v>
      </c>
      <c r="E637" t="s">
        <v>9288</v>
      </c>
      <c r="F637">
        <v>32</v>
      </c>
      <c r="G637">
        <v>38</v>
      </c>
    </row>
    <row r="638" spans="1:7" x14ac:dyDescent="0.25">
      <c r="A638">
        <v>636</v>
      </c>
      <c r="B638">
        <v>58</v>
      </c>
      <c r="C638">
        <v>0</v>
      </c>
      <c r="D638" t="s">
        <v>9289</v>
      </c>
      <c r="E638" t="s">
        <v>9289</v>
      </c>
      <c r="F638">
        <v>32</v>
      </c>
      <c r="G638">
        <v>38</v>
      </c>
    </row>
    <row r="639" spans="1:7" x14ac:dyDescent="0.25">
      <c r="A639">
        <v>637</v>
      </c>
      <c r="B639">
        <v>55</v>
      </c>
      <c r="C639">
        <v>0</v>
      </c>
      <c r="D639" t="s">
        <v>9290</v>
      </c>
      <c r="E639" t="s">
        <v>9290</v>
      </c>
      <c r="F639">
        <v>32</v>
      </c>
      <c r="G639">
        <v>38</v>
      </c>
    </row>
    <row r="640" spans="1:7" x14ac:dyDescent="0.25">
      <c r="A640">
        <v>638</v>
      </c>
      <c r="B640">
        <v>34</v>
      </c>
      <c r="C640">
        <v>0</v>
      </c>
      <c r="D640" t="s">
        <v>9291</v>
      </c>
      <c r="E640" t="s">
        <v>9291</v>
      </c>
      <c r="F640">
        <v>32</v>
      </c>
      <c r="G640">
        <v>38</v>
      </c>
    </row>
    <row r="641" spans="1:7" x14ac:dyDescent="0.25">
      <c r="A641">
        <v>639</v>
      </c>
      <c r="B641">
        <v>54</v>
      </c>
      <c r="C641">
        <v>0</v>
      </c>
      <c r="D641" t="s">
        <v>9292</v>
      </c>
      <c r="E641" t="s">
        <v>9292</v>
      </c>
      <c r="F641">
        <v>32</v>
      </c>
      <c r="G641">
        <v>38</v>
      </c>
    </row>
    <row r="642" spans="1:7" x14ac:dyDescent="0.25">
      <c r="A642">
        <v>640</v>
      </c>
      <c r="B642">
        <v>26</v>
      </c>
      <c r="C642">
        <v>0</v>
      </c>
      <c r="D642" t="s">
        <v>9293</v>
      </c>
      <c r="E642" t="s">
        <v>9293</v>
      </c>
      <c r="F642">
        <v>32</v>
      </c>
      <c r="G642">
        <v>38</v>
      </c>
    </row>
    <row r="643" spans="1:7" x14ac:dyDescent="0.25">
      <c r="A643">
        <v>641</v>
      </c>
      <c r="B643">
        <v>66</v>
      </c>
      <c r="C643">
        <v>0</v>
      </c>
      <c r="D643" t="s">
        <v>9294</v>
      </c>
      <c r="E643" t="s">
        <v>9294</v>
      </c>
      <c r="F643">
        <v>32</v>
      </c>
      <c r="G643">
        <v>38</v>
      </c>
    </row>
    <row r="644" spans="1:7" x14ac:dyDescent="0.25">
      <c r="A644">
        <v>642</v>
      </c>
      <c r="B644">
        <v>54</v>
      </c>
      <c r="C644">
        <v>0</v>
      </c>
      <c r="D644" t="s">
        <v>9295</v>
      </c>
      <c r="E644" t="s">
        <v>9295</v>
      </c>
      <c r="F644">
        <v>32</v>
      </c>
      <c r="G644">
        <v>38</v>
      </c>
    </row>
    <row r="645" spans="1:7" x14ac:dyDescent="0.25">
      <c r="A645">
        <v>643</v>
      </c>
      <c r="B645">
        <v>54</v>
      </c>
      <c r="C645">
        <v>0</v>
      </c>
      <c r="D645" t="s">
        <v>9296</v>
      </c>
      <c r="E645" t="s">
        <v>9296</v>
      </c>
      <c r="F645">
        <v>32</v>
      </c>
      <c r="G645">
        <v>38</v>
      </c>
    </row>
    <row r="646" spans="1:7" x14ac:dyDescent="0.25">
      <c r="A646">
        <v>644</v>
      </c>
      <c r="B646">
        <v>66</v>
      </c>
      <c r="C646">
        <v>0</v>
      </c>
      <c r="D646" t="s">
        <v>9297</v>
      </c>
      <c r="E646" t="s">
        <v>9297</v>
      </c>
      <c r="F646">
        <v>32</v>
      </c>
      <c r="G646">
        <v>38</v>
      </c>
    </row>
    <row r="647" spans="1:7" x14ac:dyDescent="0.25">
      <c r="A647">
        <v>645</v>
      </c>
      <c r="B647">
        <v>54</v>
      </c>
      <c r="C647">
        <v>0</v>
      </c>
      <c r="D647" t="s">
        <v>9298</v>
      </c>
      <c r="E647" t="s">
        <v>9298</v>
      </c>
      <c r="F647">
        <v>32</v>
      </c>
      <c r="G647">
        <v>38</v>
      </c>
    </row>
    <row r="648" spans="1:7" x14ac:dyDescent="0.25">
      <c r="A648">
        <v>646</v>
      </c>
      <c r="B648">
        <v>40</v>
      </c>
      <c r="C648">
        <v>0</v>
      </c>
      <c r="D648" t="s">
        <v>9299</v>
      </c>
      <c r="E648" t="s">
        <v>9299</v>
      </c>
      <c r="F648">
        <v>31</v>
      </c>
      <c r="G648">
        <v>38</v>
      </c>
    </row>
    <row r="649" spans="1:7" x14ac:dyDescent="0.25">
      <c r="A649">
        <v>647</v>
      </c>
      <c r="B649">
        <v>54</v>
      </c>
      <c r="C649">
        <v>0</v>
      </c>
      <c r="D649" t="s">
        <v>9300</v>
      </c>
      <c r="E649" t="s">
        <v>9300</v>
      </c>
      <c r="F649">
        <v>32</v>
      </c>
      <c r="G649">
        <v>38</v>
      </c>
    </row>
    <row r="650" spans="1:7" x14ac:dyDescent="0.25">
      <c r="A650">
        <v>648</v>
      </c>
      <c r="B650">
        <v>40</v>
      </c>
      <c r="C650">
        <v>0</v>
      </c>
      <c r="D650" t="s">
        <v>9301</v>
      </c>
      <c r="E650" t="s">
        <v>9301</v>
      </c>
      <c r="F650">
        <v>31</v>
      </c>
      <c r="G650">
        <v>37</v>
      </c>
    </row>
    <row r="651" spans="1:7" x14ac:dyDescent="0.25">
      <c r="A651">
        <v>649</v>
      </c>
      <c r="B651">
        <v>10</v>
      </c>
      <c r="C651">
        <v>0</v>
      </c>
      <c r="D651" t="s">
        <v>9302</v>
      </c>
      <c r="E651" t="s">
        <v>9302</v>
      </c>
      <c r="F651">
        <v>32</v>
      </c>
      <c r="G651">
        <v>37</v>
      </c>
    </row>
    <row r="652" spans="1:7" x14ac:dyDescent="0.25">
      <c r="A652">
        <v>650</v>
      </c>
      <c r="B652">
        <v>54</v>
      </c>
      <c r="C652">
        <v>0</v>
      </c>
      <c r="D652" t="s">
        <v>9253</v>
      </c>
      <c r="E652" t="s">
        <v>9253</v>
      </c>
      <c r="F652">
        <v>32</v>
      </c>
      <c r="G652">
        <v>38</v>
      </c>
    </row>
    <row r="653" spans="1:7" x14ac:dyDescent="0.25">
      <c r="A653">
        <v>651</v>
      </c>
      <c r="B653">
        <v>8</v>
      </c>
      <c r="C653">
        <v>0</v>
      </c>
      <c r="D653" t="s">
        <v>9303</v>
      </c>
      <c r="E653" t="s">
        <v>9303</v>
      </c>
      <c r="F653">
        <v>32</v>
      </c>
      <c r="G653">
        <v>38</v>
      </c>
    </row>
    <row r="654" spans="1:7" x14ac:dyDescent="0.25">
      <c r="A654">
        <v>652</v>
      </c>
      <c r="B654">
        <v>5</v>
      </c>
      <c r="C654">
        <v>0</v>
      </c>
      <c r="D654" t="s">
        <v>9304</v>
      </c>
      <c r="E654" t="s">
        <v>9304</v>
      </c>
      <c r="F654">
        <v>32</v>
      </c>
      <c r="G654">
        <v>38</v>
      </c>
    </row>
    <row r="655" spans="1:7" x14ac:dyDescent="0.25">
      <c r="A655">
        <v>653</v>
      </c>
      <c r="B655">
        <v>59</v>
      </c>
      <c r="C655">
        <v>0</v>
      </c>
      <c r="D655" t="s">
        <v>9305</v>
      </c>
      <c r="E655" t="s">
        <v>9305</v>
      </c>
      <c r="F655">
        <v>32</v>
      </c>
      <c r="G655">
        <v>38</v>
      </c>
    </row>
    <row r="656" spans="1:7" x14ac:dyDescent="0.25">
      <c r="A656">
        <v>654</v>
      </c>
      <c r="B656">
        <v>8</v>
      </c>
      <c r="C656">
        <v>0</v>
      </c>
      <c r="D656" t="s">
        <v>9306</v>
      </c>
      <c r="E656" t="s">
        <v>9306</v>
      </c>
      <c r="F656">
        <v>32</v>
      </c>
      <c r="G656">
        <v>38</v>
      </c>
    </row>
    <row r="657" spans="1:7" x14ac:dyDescent="0.25">
      <c r="A657">
        <v>655</v>
      </c>
      <c r="B657">
        <v>54</v>
      </c>
      <c r="C657">
        <v>0</v>
      </c>
      <c r="D657" t="s">
        <v>9307</v>
      </c>
      <c r="E657" t="s">
        <v>9307</v>
      </c>
      <c r="F657">
        <v>32</v>
      </c>
      <c r="G657">
        <v>38</v>
      </c>
    </row>
    <row r="658" spans="1:7" x14ac:dyDescent="0.25">
      <c r="A658">
        <v>656</v>
      </c>
      <c r="B658">
        <v>54</v>
      </c>
      <c r="C658">
        <v>0</v>
      </c>
      <c r="D658" t="s">
        <v>9308</v>
      </c>
      <c r="E658" t="s">
        <v>9308</v>
      </c>
      <c r="F658">
        <v>32</v>
      </c>
      <c r="G658">
        <v>38</v>
      </c>
    </row>
    <row r="659" spans="1:7" x14ac:dyDescent="0.25">
      <c r="A659">
        <v>657</v>
      </c>
      <c r="B659">
        <v>14</v>
      </c>
      <c r="C659">
        <v>300</v>
      </c>
      <c r="D659" t="s">
        <v>9309</v>
      </c>
      <c r="F659">
        <v>32</v>
      </c>
      <c r="G659">
        <v>37</v>
      </c>
    </row>
    <row r="660" spans="1:7" x14ac:dyDescent="0.25">
      <c r="A660">
        <v>658</v>
      </c>
      <c r="B660">
        <v>40</v>
      </c>
      <c r="C660">
        <v>0</v>
      </c>
      <c r="D660" t="s">
        <v>9310</v>
      </c>
      <c r="E660" t="s">
        <v>9310</v>
      </c>
      <c r="F660">
        <v>31</v>
      </c>
      <c r="G660">
        <v>38</v>
      </c>
    </row>
    <row r="661" spans="1:7" x14ac:dyDescent="0.25">
      <c r="A661">
        <v>659</v>
      </c>
      <c r="B661">
        <v>8</v>
      </c>
      <c r="C661">
        <v>0</v>
      </c>
      <c r="D661" t="s">
        <v>9311</v>
      </c>
      <c r="E661" t="s">
        <v>9311</v>
      </c>
      <c r="F661">
        <v>32</v>
      </c>
      <c r="G661">
        <v>38</v>
      </c>
    </row>
    <row r="662" spans="1:7" x14ac:dyDescent="0.25">
      <c r="A662">
        <v>660</v>
      </c>
      <c r="B662">
        <v>54</v>
      </c>
      <c r="C662">
        <v>0</v>
      </c>
      <c r="D662" t="s">
        <v>9312</v>
      </c>
      <c r="E662" t="s">
        <v>9312</v>
      </c>
      <c r="F662">
        <v>32</v>
      </c>
      <c r="G662">
        <v>38</v>
      </c>
    </row>
    <row r="663" spans="1:7" x14ac:dyDescent="0.25">
      <c r="A663">
        <v>661</v>
      </c>
      <c r="B663">
        <v>54</v>
      </c>
      <c r="C663">
        <v>0</v>
      </c>
      <c r="D663" t="s">
        <v>9313</v>
      </c>
      <c r="E663" t="s">
        <v>9313</v>
      </c>
      <c r="F663">
        <v>32</v>
      </c>
      <c r="G663">
        <v>37</v>
      </c>
    </row>
    <row r="664" spans="1:7" x14ac:dyDescent="0.25">
      <c r="A664">
        <v>662</v>
      </c>
      <c r="B664">
        <v>54</v>
      </c>
      <c r="C664">
        <v>0</v>
      </c>
      <c r="D664" t="s">
        <v>9314</v>
      </c>
      <c r="E664" t="s">
        <v>9314</v>
      </c>
      <c r="F664">
        <v>32</v>
      </c>
      <c r="G664">
        <v>38</v>
      </c>
    </row>
    <row r="665" spans="1:7" x14ac:dyDescent="0.25">
      <c r="A665">
        <v>663</v>
      </c>
      <c r="B665">
        <v>26</v>
      </c>
      <c r="C665">
        <v>0</v>
      </c>
      <c r="D665" t="s">
        <v>9315</v>
      </c>
      <c r="E665" t="s">
        <v>9315</v>
      </c>
      <c r="F665">
        <v>32</v>
      </c>
      <c r="G665">
        <v>38</v>
      </c>
    </row>
    <row r="666" spans="1:7" x14ac:dyDescent="0.25">
      <c r="A666">
        <v>664</v>
      </c>
      <c r="B666">
        <v>7</v>
      </c>
      <c r="C666">
        <v>300</v>
      </c>
      <c r="D666" t="s">
        <v>9316</v>
      </c>
      <c r="F666">
        <v>32</v>
      </c>
      <c r="G666">
        <v>37</v>
      </c>
    </row>
    <row r="667" spans="1:7" x14ac:dyDescent="0.25">
      <c r="A667">
        <v>665</v>
      </c>
      <c r="B667">
        <v>42</v>
      </c>
      <c r="C667">
        <v>0</v>
      </c>
      <c r="D667" t="s">
        <v>9317</v>
      </c>
      <c r="E667" t="s">
        <v>9317</v>
      </c>
      <c r="F667">
        <v>32</v>
      </c>
      <c r="G667">
        <v>38</v>
      </c>
    </row>
    <row r="668" spans="1:7" x14ac:dyDescent="0.25">
      <c r="A668">
        <v>666</v>
      </c>
      <c r="B668">
        <v>54</v>
      </c>
      <c r="C668">
        <v>0</v>
      </c>
      <c r="D668" t="s">
        <v>9318</v>
      </c>
      <c r="E668" t="s">
        <v>9318</v>
      </c>
      <c r="F668">
        <v>32</v>
      </c>
      <c r="G668">
        <v>38</v>
      </c>
    </row>
    <row r="669" spans="1:7" x14ac:dyDescent="0.25">
      <c r="A669">
        <v>667</v>
      </c>
      <c r="B669">
        <v>54</v>
      </c>
      <c r="C669">
        <v>0</v>
      </c>
      <c r="D669" t="s">
        <v>9319</v>
      </c>
      <c r="E669" t="s">
        <v>9319</v>
      </c>
      <c r="F669">
        <v>32</v>
      </c>
      <c r="G669">
        <v>38</v>
      </c>
    </row>
    <row r="670" spans="1:7" x14ac:dyDescent="0.25">
      <c r="A670">
        <v>668</v>
      </c>
      <c r="B670">
        <v>14</v>
      </c>
      <c r="C670">
        <v>300</v>
      </c>
      <c r="D670" t="s">
        <v>9320</v>
      </c>
      <c r="F670">
        <v>32</v>
      </c>
      <c r="G670">
        <v>37</v>
      </c>
    </row>
    <row r="671" spans="1:7" x14ac:dyDescent="0.25">
      <c r="A671">
        <v>669</v>
      </c>
      <c r="B671">
        <v>14</v>
      </c>
      <c r="C671">
        <v>300</v>
      </c>
      <c r="D671" t="s">
        <v>9321</v>
      </c>
      <c r="E671" t="s">
        <v>9321</v>
      </c>
      <c r="F671">
        <v>32</v>
      </c>
      <c r="G671">
        <v>37</v>
      </c>
    </row>
    <row r="672" spans="1:7" x14ac:dyDescent="0.25">
      <c r="A672">
        <v>670</v>
      </c>
      <c r="B672">
        <v>58</v>
      </c>
      <c r="C672">
        <v>300</v>
      </c>
      <c r="D672" t="s">
        <v>9322</v>
      </c>
      <c r="F672">
        <v>32</v>
      </c>
      <c r="G672">
        <v>37</v>
      </c>
    </row>
    <row r="673" spans="1:7" x14ac:dyDescent="0.25">
      <c r="A673">
        <v>671</v>
      </c>
      <c r="B673">
        <v>54</v>
      </c>
      <c r="C673">
        <v>0</v>
      </c>
      <c r="D673" t="s">
        <v>9323</v>
      </c>
      <c r="E673" t="s">
        <v>9323</v>
      </c>
      <c r="F673">
        <v>32</v>
      </c>
      <c r="G673">
        <v>38</v>
      </c>
    </row>
    <row r="674" spans="1:7" x14ac:dyDescent="0.25">
      <c r="A674">
        <v>672</v>
      </c>
      <c r="B674">
        <v>25</v>
      </c>
      <c r="C674">
        <v>0</v>
      </c>
      <c r="D674" t="s">
        <v>9324</v>
      </c>
      <c r="E674" t="s">
        <v>9324</v>
      </c>
      <c r="F674">
        <v>32</v>
      </c>
      <c r="G674">
        <v>38</v>
      </c>
    </row>
    <row r="675" spans="1:7" x14ac:dyDescent="0.25">
      <c r="A675">
        <v>673</v>
      </c>
      <c r="B675">
        <v>77</v>
      </c>
      <c r="C675">
        <v>0</v>
      </c>
      <c r="D675" t="s">
        <v>7340</v>
      </c>
      <c r="E675" t="s">
        <v>7340</v>
      </c>
      <c r="F675">
        <v>31</v>
      </c>
      <c r="G675">
        <v>37</v>
      </c>
    </row>
    <row r="676" spans="1:7" x14ac:dyDescent="0.25">
      <c r="A676">
        <v>674</v>
      </c>
      <c r="B676">
        <v>40</v>
      </c>
      <c r="C676">
        <v>0</v>
      </c>
      <c r="D676" t="s">
        <v>9325</v>
      </c>
      <c r="E676" t="s">
        <v>9325</v>
      </c>
      <c r="F676">
        <v>31</v>
      </c>
      <c r="G676">
        <v>38</v>
      </c>
    </row>
    <row r="677" spans="1:7" x14ac:dyDescent="0.25">
      <c r="A677">
        <v>675</v>
      </c>
      <c r="B677">
        <v>33</v>
      </c>
      <c r="C677">
        <v>0</v>
      </c>
      <c r="D677" t="s">
        <v>9326</v>
      </c>
      <c r="E677" t="s">
        <v>9326</v>
      </c>
      <c r="F677">
        <v>32</v>
      </c>
      <c r="G677">
        <v>38</v>
      </c>
    </row>
    <row r="678" spans="1:7" x14ac:dyDescent="0.25">
      <c r="A678">
        <v>676</v>
      </c>
      <c r="B678">
        <v>1</v>
      </c>
      <c r="C678">
        <v>0</v>
      </c>
      <c r="D678" t="s">
        <v>9327</v>
      </c>
      <c r="E678" t="s">
        <v>9327</v>
      </c>
      <c r="F678">
        <v>32</v>
      </c>
      <c r="G678">
        <v>38</v>
      </c>
    </row>
    <row r="679" spans="1:7" x14ac:dyDescent="0.25">
      <c r="A679">
        <v>677</v>
      </c>
      <c r="B679">
        <v>23</v>
      </c>
      <c r="C679">
        <v>0</v>
      </c>
      <c r="D679" t="s">
        <v>9328</v>
      </c>
      <c r="E679" t="s">
        <v>9328</v>
      </c>
      <c r="F679">
        <v>32</v>
      </c>
      <c r="G679">
        <v>38</v>
      </c>
    </row>
    <row r="680" spans="1:7" x14ac:dyDescent="0.25">
      <c r="A680">
        <v>678</v>
      </c>
      <c r="B680">
        <v>54</v>
      </c>
      <c r="C680">
        <v>0</v>
      </c>
      <c r="D680" t="s">
        <v>9329</v>
      </c>
      <c r="E680" t="s">
        <v>9329</v>
      </c>
      <c r="F680">
        <v>32</v>
      </c>
      <c r="G680">
        <v>38</v>
      </c>
    </row>
    <row r="681" spans="1:7" x14ac:dyDescent="0.25">
      <c r="A681">
        <v>679</v>
      </c>
      <c r="B681">
        <v>8</v>
      </c>
      <c r="C681">
        <v>0</v>
      </c>
      <c r="D681" t="s">
        <v>9330</v>
      </c>
      <c r="E681" t="s">
        <v>9330</v>
      </c>
      <c r="F681">
        <v>32</v>
      </c>
      <c r="G681">
        <v>38</v>
      </c>
    </row>
    <row r="682" spans="1:7" x14ac:dyDescent="0.25">
      <c r="A682">
        <v>680</v>
      </c>
      <c r="B682">
        <v>8</v>
      </c>
      <c r="C682">
        <v>0</v>
      </c>
      <c r="D682" t="s">
        <v>9331</v>
      </c>
      <c r="E682" t="s">
        <v>9331</v>
      </c>
      <c r="F682">
        <v>32</v>
      </c>
      <c r="G682">
        <v>38</v>
      </c>
    </row>
    <row r="683" spans="1:7" x14ac:dyDescent="0.25">
      <c r="A683">
        <v>681</v>
      </c>
      <c r="B683">
        <v>54</v>
      </c>
      <c r="C683">
        <v>0</v>
      </c>
      <c r="D683" t="s">
        <v>9332</v>
      </c>
      <c r="E683" t="s">
        <v>9332</v>
      </c>
      <c r="F683">
        <v>32</v>
      </c>
      <c r="G683">
        <v>38</v>
      </c>
    </row>
    <row r="684" spans="1:7" x14ac:dyDescent="0.25">
      <c r="A684">
        <v>682</v>
      </c>
      <c r="B684">
        <v>54</v>
      </c>
      <c r="C684">
        <v>0</v>
      </c>
      <c r="D684" t="s">
        <v>9333</v>
      </c>
      <c r="E684" t="s">
        <v>9333</v>
      </c>
      <c r="F684">
        <v>32</v>
      </c>
      <c r="G684">
        <v>38</v>
      </c>
    </row>
    <row r="685" spans="1:7" x14ac:dyDescent="0.25">
      <c r="A685">
        <v>683</v>
      </c>
      <c r="B685">
        <v>8</v>
      </c>
      <c r="C685">
        <v>0</v>
      </c>
      <c r="D685" t="s">
        <v>9334</v>
      </c>
      <c r="E685" t="s">
        <v>9334</v>
      </c>
      <c r="F685">
        <v>32</v>
      </c>
      <c r="G685">
        <v>38</v>
      </c>
    </row>
    <row r="686" spans="1:7" x14ac:dyDescent="0.25">
      <c r="A686">
        <v>684</v>
      </c>
      <c r="B686">
        <v>54</v>
      </c>
      <c r="C686">
        <v>0</v>
      </c>
      <c r="D686" t="s">
        <v>9335</v>
      </c>
      <c r="E686" t="s">
        <v>9335</v>
      </c>
      <c r="F686">
        <v>32</v>
      </c>
      <c r="G686">
        <v>38</v>
      </c>
    </row>
    <row r="687" spans="1:7" x14ac:dyDescent="0.25">
      <c r="A687">
        <v>685</v>
      </c>
      <c r="B687">
        <v>59</v>
      </c>
      <c r="C687">
        <v>0</v>
      </c>
      <c r="D687" t="s">
        <v>9336</v>
      </c>
      <c r="E687" t="s">
        <v>9336</v>
      </c>
      <c r="F687">
        <v>32</v>
      </c>
      <c r="G687">
        <v>38</v>
      </c>
    </row>
    <row r="688" spans="1:7" x14ac:dyDescent="0.25">
      <c r="A688">
        <v>686</v>
      </c>
      <c r="B688">
        <v>54</v>
      </c>
      <c r="C688">
        <v>0</v>
      </c>
      <c r="D688" t="s">
        <v>9337</v>
      </c>
      <c r="E688" t="s">
        <v>9337</v>
      </c>
      <c r="F688">
        <v>32</v>
      </c>
      <c r="G688">
        <v>38</v>
      </c>
    </row>
    <row r="689" spans="1:7" x14ac:dyDescent="0.25">
      <c r="A689">
        <v>687</v>
      </c>
      <c r="B689">
        <v>4</v>
      </c>
      <c r="C689">
        <v>0</v>
      </c>
      <c r="D689" t="s">
        <v>9338</v>
      </c>
      <c r="E689" t="s">
        <v>9338</v>
      </c>
      <c r="F689">
        <v>32</v>
      </c>
      <c r="G689">
        <v>38</v>
      </c>
    </row>
    <row r="690" spans="1:7" x14ac:dyDescent="0.25">
      <c r="A690">
        <v>688</v>
      </c>
      <c r="B690">
        <v>26</v>
      </c>
      <c r="C690">
        <v>0</v>
      </c>
      <c r="D690" t="s">
        <v>9339</v>
      </c>
      <c r="E690" t="s">
        <v>9339</v>
      </c>
      <c r="F690">
        <v>32</v>
      </c>
      <c r="G690">
        <v>38</v>
      </c>
    </row>
    <row r="691" spans="1:7" x14ac:dyDescent="0.25">
      <c r="A691">
        <v>689</v>
      </c>
      <c r="B691">
        <v>10</v>
      </c>
      <c r="C691">
        <v>0</v>
      </c>
      <c r="D691" t="s">
        <v>9340</v>
      </c>
      <c r="E691" t="s">
        <v>9340</v>
      </c>
      <c r="F691">
        <v>32</v>
      </c>
      <c r="G691">
        <v>38</v>
      </c>
    </row>
    <row r="692" spans="1:7" x14ac:dyDescent="0.25">
      <c r="A692">
        <v>690</v>
      </c>
      <c r="B692">
        <v>8</v>
      </c>
      <c r="C692">
        <v>0</v>
      </c>
      <c r="D692" t="s">
        <v>9341</v>
      </c>
      <c r="E692" t="s">
        <v>9341</v>
      </c>
      <c r="F692">
        <v>32</v>
      </c>
      <c r="G692">
        <v>38</v>
      </c>
    </row>
    <row r="693" spans="1:7" x14ac:dyDescent="0.25">
      <c r="A693">
        <v>691</v>
      </c>
      <c r="B693">
        <v>59</v>
      </c>
      <c r="C693">
        <v>200</v>
      </c>
      <c r="D693" t="s">
        <v>9342</v>
      </c>
      <c r="E693" t="s">
        <v>9342</v>
      </c>
      <c r="F693">
        <v>32</v>
      </c>
      <c r="G693">
        <v>37</v>
      </c>
    </row>
    <row r="694" spans="1:7" x14ac:dyDescent="0.25">
      <c r="A694">
        <v>692</v>
      </c>
      <c r="B694">
        <v>54</v>
      </c>
      <c r="C694">
        <v>0</v>
      </c>
      <c r="D694" t="s">
        <v>9343</v>
      </c>
      <c r="E694" t="s">
        <v>9343</v>
      </c>
      <c r="F694">
        <v>32</v>
      </c>
      <c r="G694">
        <v>38</v>
      </c>
    </row>
    <row r="695" spans="1:7" x14ac:dyDescent="0.25">
      <c r="A695">
        <v>693</v>
      </c>
      <c r="B695">
        <v>58</v>
      </c>
      <c r="C695">
        <v>300</v>
      </c>
      <c r="D695" t="s">
        <v>9322</v>
      </c>
      <c r="F695">
        <v>32</v>
      </c>
      <c r="G695">
        <v>37</v>
      </c>
    </row>
    <row r="696" spans="1:7" x14ac:dyDescent="0.25">
      <c r="A696">
        <v>694</v>
      </c>
      <c r="B696">
        <v>10</v>
      </c>
      <c r="C696">
        <v>0</v>
      </c>
      <c r="D696" t="s">
        <v>9344</v>
      </c>
      <c r="E696" t="s">
        <v>9344</v>
      </c>
      <c r="F696">
        <v>32</v>
      </c>
      <c r="G696">
        <v>38</v>
      </c>
    </row>
    <row r="697" spans="1:7" x14ac:dyDescent="0.25">
      <c r="A697">
        <v>695</v>
      </c>
      <c r="B697">
        <v>33</v>
      </c>
      <c r="C697">
        <v>0</v>
      </c>
      <c r="D697" t="s">
        <v>9345</v>
      </c>
      <c r="E697" t="s">
        <v>9345</v>
      </c>
      <c r="F697">
        <v>32</v>
      </c>
      <c r="G697">
        <v>38</v>
      </c>
    </row>
    <row r="698" spans="1:7" x14ac:dyDescent="0.25">
      <c r="A698">
        <v>696</v>
      </c>
      <c r="B698">
        <v>54</v>
      </c>
      <c r="C698">
        <v>0</v>
      </c>
      <c r="D698" t="s">
        <v>9346</v>
      </c>
      <c r="E698" t="s">
        <v>9346</v>
      </c>
      <c r="F698">
        <v>32</v>
      </c>
      <c r="G698">
        <v>38</v>
      </c>
    </row>
    <row r="699" spans="1:7" x14ac:dyDescent="0.25">
      <c r="A699">
        <v>697</v>
      </c>
      <c r="B699">
        <v>5</v>
      </c>
      <c r="C699">
        <v>0</v>
      </c>
      <c r="D699" t="s">
        <v>9347</v>
      </c>
      <c r="E699" t="s">
        <v>9347</v>
      </c>
      <c r="F699">
        <v>32</v>
      </c>
      <c r="G699">
        <v>38</v>
      </c>
    </row>
    <row r="700" spans="1:7" x14ac:dyDescent="0.25">
      <c r="A700">
        <v>698</v>
      </c>
      <c r="B700">
        <v>34</v>
      </c>
      <c r="C700">
        <v>300</v>
      </c>
      <c r="D700" t="s">
        <v>9348</v>
      </c>
      <c r="E700" t="s">
        <v>9348</v>
      </c>
      <c r="F700">
        <v>32</v>
      </c>
      <c r="G700">
        <v>37</v>
      </c>
    </row>
    <row r="701" spans="1:7" x14ac:dyDescent="0.25">
      <c r="A701">
        <v>699</v>
      </c>
      <c r="B701">
        <v>54</v>
      </c>
      <c r="C701">
        <v>0</v>
      </c>
      <c r="D701" t="s">
        <v>9349</v>
      </c>
      <c r="E701" t="s">
        <v>9349</v>
      </c>
      <c r="F701">
        <v>32</v>
      </c>
      <c r="G701">
        <v>38</v>
      </c>
    </row>
    <row r="702" spans="1:7" x14ac:dyDescent="0.25">
      <c r="A702">
        <v>700</v>
      </c>
      <c r="B702">
        <v>54</v>
      </c>
      <c r="C702">
        <v>0</v>
      </c>
      <c r="D702" t="s">
        <v>9350</v>
      </c>
      <c r="E702" t="s">
        <v>9350</v>
      </c>
      <c r="F702">
        <v>32</v>
      </c>
      <c r="G702">
        <v>37</v>
      </c>
    </row>
    <row r="703" spans="1:7" x14ac:dyDescent="0.25">
      <c r="A703">
        <v>701</v>
      </c>
      <c r="B703">
        <v>60</v>
      </c>
      <c r="C703">
        <v>0</v>
      </c>
      <c r="D703" t="s">
        <v>9351</v>
      </c>
      <c r="E703" t="s">
        <v>9351</v>
      </c>
      <c r="F703">
        <v>32</v>
      </c>
      <c r="G703">
        <v>38</v>
      </c>
    </row>
    <row r="704" spans="1:7" x14ac:dyDescent="0.25">
      <c r="A704">
        <v>702</v>
      </c>
      <c r="B704">
        <v>4</v>
      </c>
      <c r="C704">
        <v>0</v>
      </c>
      <c r="D704" t="s">
        <v>9352</v>
      </c>
      <c r="E704" t="s">
        <v>9352</v>
      </c>
      <c r="F704">
        <v>32</v>
      </c>
      <c r="G704">
        <v>38</v>
      </c>
    </row>
    <row r="705" spans="1:7" x14ac:dyDescent="0.25">
      <c r="A705">
        <v>703</v>
      </c>
      <c r="B705">
        <v>54</v>
      </c>
      <c r="C705">
        <v>0</v>
      </c>
      <c r="D705" t="s">
        <v>9353</v>
      </c>
      <c r="E705" t="s">
        <v>9353</v>
      </c>
      <c r="F705">
        <v>32</v>
      </c>
      <c r="G705">
        <v>38</v>
      </c>
    </row>
    <row r="706" spans="1:7" x14ac:dyDescent="0.25">
      <c r="A706">
        <v>704</v>
      </c>
      <c r="B706">
        <v>26</v>
      </c>
      <c r="C706">
        <v>0</v>
      </c>
      <c r="D706" t="s">
        <v>9354</v>
      </c>
      <c r="E706" t="s">
        <v>9354</v>
      </c>
      <c r="F706">
        <v>32</v>
      </c>
      <c r="G706">
        <v>38</v>
      </c>
    </row>
    <row r="707" spans="1:7" x14ac:dyDescent="0.25">
      <c r="A707">
        <v>705</v>
      </c>
      <c r="B707">
        <v>11</v>
      </c>
      <c r="C707">
        <v>0</v>
      </c>
      <c r="D707" t="s">
        <v>9355</v>
      </c>
      <c r="E707" t="s">
        <v>9355</v>
      </c>
      <c r="F707">
        <v>32</v>
      </c>
      <c r="G707">
        <v>38</v>
      </c>
    </row>
    <row r="708" spans="1:7" x14ac:dyDescent="0.25">
      <c r="A708">
        <v>706</v>
      </c>
      <c r="B708">
        <v>66</v>
      </c>
      <c r="C708">
        <v>0</v>
      </c>
      <c r="D708" t="s">
        <v>9356</v>
      </c>
      <c r="E708" t="s">
        <v>9356</v>
      </c>
      <c r="F708">
        <v>32</v>
      </c>
      <c r="G708">
        <v>38</v>
      </c>
    </row>
    <row r="709" spans="1:7" x14ac:dyDescent="0.25">
      <c r="A709">
        <v>707</v>
      </c>
      <c r="B709">
        <v>11</v>
      </c>
      <c r="C709">
        <v>0</v>
      </c>
      <c r="D709" t="s">
        <v>9357</v>
      </c>
      <c r="E709" t="s">
        <v>9357</v>
      </c>
      <c r="F709">
        <v>32</v>
      </c>
      <c r="G709">
        <v>38</v>
      </c>
    </row>
    <row r="710" spans="1:7" x14ac:dyDescent="0.25">
      <c r="A710">
        <v>708</v>
      </c>
      <c r="B710">
        <v>4</v>
      </c>
      <c r="C710">
        <v>0</v>
      </c>
      <c r="D710" t="s">
        <v>9358</v>
      </c>
      <c r="F710">
        <v>32</v>
      </c>
      <c r="G710">
        <v>37</v>
      </c>
    </row>
    <row r="711" spans="1:7" x14ac:dyDescent="0.25">
      <c r="A711">
        <v>709</v>
      </c>
      <c r="B711">
        <v>40</v>
      </c>
      <c r="C711">
        <v>0</v>
      </c>
      <c r="D711" t="s">
        <v>9359</v>
      </c>
      <c r="E711" t="s">
        <v>9359</v>
      </c>
      <c r="F711">
        <v>31</v>
      </c>
      <c r="G711">
        <v>38</v>
      </c>
    </row>
    <row r="712" spans="1:7" x14ac:dyDescent="0.25">
      <c r="A712">
        <v>710</v>
      </c>
      <c r="B712">
        <v>4</v>
      </c>
      <c r="C712">
        <v>0</v>
      </c>
      <c r="D712" t="s">
        <v>9360</v>
      </c>
      <c r="E712" t="s">
        <v>9360</v>
      </c>
      <c r="F712">
        <v>32</v>
      </c>
      <c r="G712">
        <v>38</v>
      </c>
    </row>
    <row r="713" spans="1:7" x14ac:dyDescent="0.25">
      <c r="A713">
        <v>711</v>
      </c>
      <c r="B713">
        <v>8</v>
      </c>
      <c r="C713">
        <v>0</v>
      </c>
      <c r="D713" t="s">
        <v>9361</v>
      </c>
      <c r="E713" t="s">
        <v>9361</v>
      </c>
      <c r="F713">
        <v>32</v>
      </c>
      <c r="G713">
        <v>38</v>
      </c>
    </row>
    <row r="714" spans="1:7" x14ac:dyDescent="0.25">
      <c r="A714">
        <v>712</v>
      </c>
      <c r="B714">
        <v>54</v>
      </c>
      <c r="C714">
        <v>0</v>
      </c>
      <c r="D714" t="s">
        <v>9362</v>
      </c>
      <c r="E714" t="s">
        <v>9362</v>
      </c>
      <c r="F714">
        <v>32</v>
      </c>
      <c r="G714">
        <v>38</v>
      </c>
    </row>
    <row r="715" spans="1:7" x14ac:dyDescent="0.25">
      <c r="A715">
        <v>713</v>
      </c>
      <c r="B715">
        <v>54</v>
      </c>
      <c r="C715">
        <v>0</v>
      </c>
      <c r="D715" t="s">
        <v>9363</v>
      </c>
      <c r="E715" t="s">
        <v>9363</v>
      </c>
      <c r="F715">
        <v>32</v>
      </c>
      <c r="G715">
        <v>38</v>
      </c>
    </row>
    <row r="716" spans="1:7" x14ac:dyDescent="0.25">
      <c r="A716">
        <v>714</v>
      </c>
      <c r="B716">
        <v>54</v>
      </c>
      <c r="C716">
        <v>0</v>
      </c>
      <c r="D716" t="s">
        <v>9364</v>
      </c>
      <c r="E716" t="s">
        <v>9364</v>
      </c>
      <c r="F716">
        <v>32</v>
      </c>
      <c r="G716">
        <v>38</v>
      </c>
    </row>
    <row r="717" spans="1:7" x14ac:dyDescent="0.25">
      <c r="A717">
        <v>715</v>
      </c>
      <c r="B717">
        <v>54</v>
      </c>
      <c r="C717">
        <v>0</v>
      </c>
      <c r="D717" t="s">
        <v>9365</v>
      </c>
      <c r="E717" t="s">
        <v>9365</v>
      </c>
      <c r="F717">
        <v>32</v>
      </c>
      <c r="G717">
        <v>38</v>
      </c>
    </row>
    <row r="718" spans="1:7" x14ac:dyDescent="0.25">
      <c r="A718">
        <v>716</v>
      </c>
      <c r="B718">
        <v>25</v>
      </c>
      <c r="C718">
        <v>300</v>
      </c>
      <c r="D718" t="s">
        <v>9366</v>
      </c>
      <c r="F718">
        <v>32</v>
      </c>
      <c r="G718">
        <v>37</v>
      </c>
    </row>
    <row r="719" spans="1:7" x14ac:dyDescent="0.25">
      <c r="A719">
        <v>717</v>
      </c>
      <c r="B719">
        <v>27</v>
      </c>
      <c r="C719">
        <v>0</v>
      </c>
      <c r="D719" t="s">
        <v>9367</v>
      </c>
      <c r="E719" t="s">
        <v>9367</v>
      </c>
      <c r="F719">
        <v>32</v>
      </c>
      <c r="G719">
        <v>38</v>
      </c>
    </row>
    <row r="720" spans="1:7" x14ac:dyDescent="0.25">
      <c r="A720">
        <v>718</v>
      </c>
      <c r="B720">
        <v>54</v>
      </c>
      <c r="C720">
        <v>0</v>
      </c>
      <c r="D720" t="s">
        <v>9368</v>
      </c>
      <c r="E720" t="s">
        <v>9368</v>
      </c>
      <c r="F720">
        <v>32</v>
      </c>
      <c r="G720">
        <v>38</v>
      </c>
    </row>
    <row r="721" spans="1:7" x14ac:dyDescent="0.25">
      <c r="A721">
        <v>719</v>
      </c>
      <c r="B721">
        <v>66</v>
      </c>
      <c r="C721">
        <v>0</v>
      </c>
      <c r="D721" t="s">
        <v>9369</v>
      </c>
      <c r="E721" t="s">
        <v>9369</v>
      </c>
      <c r="F721">
        <v>32</v>
      </c>
      <c r="G721">
        <v>38</v>
      </c>
    </row>
    <row r="722" spans="1:7" x14ac:dyDescent="0.25">
      <c r="A722">
        <v>720</v>
      </c>
      <c r="B722">
        <v>63</v>
      </c>
      <c r="C722">
        <v>0</v>
      </c>
      <c r="D722" t="s">
        <v>9370</v>
      </c>
      <c r="E722" t="s">
        <v>9370</v>
      </c>
      <c r="F722">
        <v>32</v>
      </c>
      <c r="G722">
        <v>38</v>
      </c>
    </row>
    <row r="723" spans="1:7" x14ac:dyDescent="0.25">
      <c r="A723">
        <v>721</v>
      </c>
      <c r="B723">
        <v>83</v>
      </c>
      <c r="C723">
        <v>0</v>
      </c>
      <c r="D723" t="s">
        <v>9371</v>
      </c>
      <c r="E723" t="s">
        <v>9371</v>
      </c>
      <c r="F723">
        <v>32</v>
      </c>
      <c r="G723">
        <v>38</v>
      </c>
    </row>
    <row r="724" spans="1:7" x14ac:dyDescent="0.25">
      <c r="A724">
        <v>722</v>
      </c>
      <c r="B724">
        <v>54</v>
      </c>
      <c r="C724">
        <v>0</v>
      </c>
      <c r="D724" t="s">
        <v>9372</v>
      </c>
      <c r="E724" t="s">
        <v>9372</v>
      </c>
      <c r="F724">
        <v>32</v>
      </c>
      <c r="G724">
        <v>38</v>
      </c>
    </row>
    <row r="725" spans="1:7" x14ac:dyDescent="0.25">
      <c r="A725">
        <v>723</v>
      </c>
      <c r="B725">
        <v>33</v>
      </c>
      <c r="C725">
        <v>0</v>
      </c>
      <c r="D725" t="s">
        <v>9373</v>
      </c>
      <c r="E725" t="s">
        <v>9373</v>
      </c>
      <c r="F725">
        <v>32</v>
      </c>
      <c r="G725">
        <v>38</v>
      </c>
    </row>
    <row r="726" spans="1:7" x14ac:dyDescent="0.25">
      <c r="A726">
        <v>724</v>
      </c>
      <c r="B726">
        <v>4</v>
      </c>
      <c r="C726">
        <v>0</v>
      </c>
      <c r="D726" t="s">
        <v>9374</v>
      </c>
      <c r="E726" t="s">
        <v>9374</v>
      </c>
      <c r="F726">
        <v>32</v>
      </c>
      <c r="G726">
        <v>38</v>
      </c>
    </row>
    <row r="727" spans="1:7" x14ac:dyDescent="0.25">
      <c r="A727">
        <v>725</v>
      </c>
      <c r="B727">
        <v>6</v>
      </c>
      <c r="C727">
        <v>0</v>
      </c>
      <c r="D727" t="s">
        <v>9375</v>
      </c>
      <c r="E727" t="s">
        <v>9375</v>
      </c>
      <c r="F727">
        <v>32</v>
      </c>
      <c r="G727">
        <v>37</v>
      </c>
    </row>
    <row r="728" spans="1:7" x14ac:dyDescent="0.25">
      <c r="A728">
        <v>726</v>
      </c>
      <c r="B728">
        <v>81</v>
      </c>
      <c r="C728">
        <v>0</v>
      </c>
      <c r="D728" t="s">
        <v>9376</v>
      </c>
      <c r="E728" t="s">
        <v>9376</v>
      </c>
      <c r="F728">
        <v>32</v>
      </c>
      <c r="G728">
        <v>38</v>
      </c>
    </row>
    <row r="729" spans="1:7" x14ac:dyDescent="0.25">
      <c r="A729">
        <v>727</v>
      </c>
      <c r="B729">
        <v>42</v>
      </c>
      <c r="C729">
        <v>0</v>
      </c>
      <c r="D729" t="s">
        <v>9377</v>
      </c>
      <c r="E729" t="s">
        <v>9377</v>
      </c>
      <c r="F729">
        <v>32</v>
      </c>
      <c r="G729">
        <v>38</v>
      </c>
    </row>
    <row r="730" spans="1:7" x14ac:dyDescent="0.25">
      <c r="A730">
        <v>728</v>
      </c>
      <c r="B730">
        <v>8</v>
      </c>
      <c r="C730">
        <v>0</v>
      </c>
      <c r="D730" t="s">
        <v>9378</v>
      </c>
      <c r="E730" t="s">
        <v>9378</v>
      </c>
      <c r="F730">
        <v>32</v>
      </c>
      <c r="G730">
        <v>38</v>
      </c>
    </row>
    <row r="731" spans="1:7" x14ac:dyDescent="0.25">
      <c r="A731">
        <v>729</v>
      </c>
      <c r="B731">
        <v>4</v>
      </c>
      <c r="C731">
        <v>0</v>
      </c>
      <c r="D731" t="s">
        <v>9379</v>
      </c>
      <c r="E731" t="s">
        <v>9379</v>
      </c>
      <c r="F731">
        <v>32</v>
      </c>
      <c r="G731">
        <v>38</v>
      </c>
    </row>
    <row r="732" spans="1:7" x14ac:dyDescent="0.25">
      <c r="A732">
        <v>730</v>
      </c>
      <c r="B732">
        <v>58</v>
      </c>
      <c r="C732">
        <v>0</v>
      </c>
      <c r="D732" t="s">
        <v>9380</v>
      </c>
      <c r="E732" t="s">
        <v>9380</v>
      </c>
      <c r="F732">
        <v>32</v>
      </c>
      <c r="G732">
        <v>38</v>
      </c>
    </row>
    <row r="733" spans="1:7" x14ac:dyDescent="0.25">
      <c r="A733">
        <v>731</v>
      </c>
      <c r="B733">
        <v>24</v>
      </c>
      <c r="C733">
        <v>0</v>
      </c>
      <c r="D733" t="s">
        <v>9381</v>
      </c>
      <c r="E733" t="s">
        <v>9381</v>
      </c>
      <c r="F733">
        <v>32</v>
      </c>
      <c r="G733">
        <v>38</v>
      </c>
    </row>
    <row r="734" spans="1:7" x14ac:dyDescent="0.25">
      <c r="A734">
        <v>732</v>
      </c>
      <c r="B734">
        <v>40</v>
      </c>
      <c r="C734">
        <v>0</v>
      </c>
      <c r="D734" t="s">
        <v>9382</v>
      </c>
      <c r="E734" t="s">
        <v>9382</v>
      </c>
      <c r="F734">
        <v>31</v>
      </c>
      <c r="G734">
        <v>37</v>
      </c>
    </row>
    <row r="735" spans="1:7" x14ac:dyDescent="0.25">
      <c r="A735">
        <v>733</v>
      </c>
      <c r="B735">
        <v>10</v>
      </c>
      <c r="C735">
        <v>0</v>
      </c>
      <c r="D735" t="s">
        <v>9383</v>
      </c>
      <c r="E735" t="s">
        <v>9383</v>
      </c>
      <c r="F735">
        <v>32</v>
      </c>
      <c r="G735">
        <v>38</v>
      </c>
    </row>
    <row r="736" spans="1:7" x14ac:dyDescent="0.25">
      <c r="A736">
        <v>734</v>
      </c>
      <c r="B736">
        <v>54</v>
      </c>
      <c r="C736">
        <v>0</v>
      </c>
      <c r="D736" t="s">
        <v>9384</v>
      </c>
      <c r="E736" t="s">
        <v>9384</v>
      </c>
      <c r="F736">
        <v>32</v>
      </c>
      <c r="G736">
        <v>38</v>
      </c>
    </row>
    <row r="737" spans="1:7" x14ac:dyDescent="0.25">
      <c r="A737">
        <v>735</v>
      </c>
      <c r="B737">
        <v>79</v>
      </c>
      <c r="C737">
        <v>300</v>
      </c>
      <c r="D737" t="s">
        <v>9385</v>
      </c>
      <c r="F737">
        <v>32</v>
      </c>
      <c r="G737">
        <v>37</v>
      </c>
    </row>
    <row r="738" spans="1:7" x14ac:dyDescent="0.25">
      <c r="A738">
        <v>736</v>
      </c>
      <c r="B738">
        <v>40</v>
      </c>
      <c r="C738">
        <v>0</v>
      </c>
      <c r="D738" t="s">
        <v>9386</v>
      </c>
      <c r="E738" t="s">
        <v>9386</v>
      </c>
      <c r="F738">
        <v>31</v>
      </c>
      <c r="G738">
        <v>38</v>
      </c>
    </row>
    <row r="739" spans="1:7" x14ac:dyDescent="0.25">
      <c r="A739">
        <v>737</v>
      </c>
      <c r="B739">
        <v>54</v>
      </c>
      <c r="C739">
        <v>0</v>
      </c>
      <c r="D739" t="s">
        <v>9387</v>
      </c>
      <c r="E739" t="s">
        <v>9387</v>
      </c>
      <c r="F739">
        <v>32</v>
      </c>
      <c r="G739">
        <v>38</v>
      </c>
    </row>
    <row r="740" spans="1:7" x14ac:dyDescent="0.25">
      <c r="A740">
        <v>738</v>
      </c>
      <c r="B740">
        <v>23</v>
      </c>
      <c r="C740">
        <v>300</v>
      </c>
      <c r="D740" t="s">
        <v>9388</v>
      </c>
      <c r="F740">
        <v>32</v>
      </c>
      <c r="G740">
        <v>37</v>
      </c>
    </row>
    <row r="741" spans="1:7" x14ac:dyDescent="0.25">
      <c r="A741">
        <v>739</v>
      </c>
      <c r="B741">
        <v>54</v>
      </c>
      <c r="C741">
        <v>0</v>
      </c>
      <c r="D741" t="s">
        <v>9389</v>
      </c>
      <c r="E741" t="s">
        <v>9389</v>
      </c>
      <c r="F741">
        <v>32</v>
      </c>
      <c r="G741">
        <v>38</v>
      </c>
    </row>
    <row r="742" spans="1:7" x14ac:dyDescent="0.25">
      <c r="A742">
        <v>740</v>
      </c>
      <c r="B742">
        <v>84</v>
      </c>
      <c r="C742">
        <v>0</v>
      </c>
      <c r="D742" t="s">
        <v>9390</v>
      </c>
      <c r="E742" t="s">
        <v>9390</v>
      </c>
      <c r="F742">
        <v>32</v>
      </c>
      <c r="G742">
        <v>38</v>
      </c>
    </row>
    <row r="743" spans="1:7" x14ac:dyDescent="0.25">
      <c r="A743">
        <v>741</v>
      </c>
      <c r="B743">
        <v>45</v>
      </c>
      <c r="C743">
        <v>0</v>
      </c>
      <c r="D743" t="s">
        <v>9391</v>
      </c>
      <c r="E743" t="s">
        <v>9391</v>
      </c>
      <c r="F743">
        <v>32</v>
      </c>
      <c r="G743">
        <v>38</v>
      </c>
    </row>
    <row r="744" spans="1:7" x14ac:dyDescent="0.25">
      <c r="A744">
        <v>742</v>
      </c>
      <c r="B744">
        <v>54</v>
      </c>
      <c r="C744">
        <v>0</v>
      </c>
      <c r="D744" t="s">
        <v>9392</v>
      </c>
      <c r="E744" t="s">
        <v>9392</v>
      </c>
      <c r="F744">
        <v>32</v>
      </c>
      <c r="G744">
        <v>38</v>
      </c>
    </row>
    <row r="745" spans="1:7" x14ac:dyDescent="0.25">
      <c r="A745">
        <v>743</v>
      </c>
      <c r="B745">
        <v>40</v>
      </c>
      <c r="C745">
        <v>0</v>
      </c>
      <c r="D745" t="s">
        <v>9393</v>
      </c>
      <c r="E745" t="s">
        <v>9393</v>
      </c>
      <c r="F745">
        <v>31</v>
      </c>
      <c r="G745">
        <v>37</v>
      </c>
    </row>
    <row r="746" spans="1:7" x14ac:dyDescent="0.25">
      <c r="A746">
        <v>744</v>
      </c>
      <c r="B746">
        <v>24</v>
      </c>
      <c r="C746">
        <v>0</v>
      </c>
      <c r="D746" t="s">
        <v>9394</v>
      </c>
      <c r="E746" t="s">
        <v>9394</v>
      </c>
      <c r="F746">
        <v>32</v>
      </c>
      <c r="G746">
        <v>38</v>
      </c>
    </row>
    <row r="747" spans="1:7" x14ac:dyDescent="0.25">
      <c r="A747">
        <v>745</v>
      </c>
      <c r="B747">
        <v>55</v>
      </c>
      <c r="C747">
        <v>0</v>
      </c>
      <c r="D747" t="s">
        <v>9395</v>
      </c>
      <c r="E747" t="s">
        <v>9395</v>
      </c>
      <c r="F747">
        <v>32</v>
      </c>
      <c r="G747">
        <v>37</v>
      </c>
    </row>
    <row r="748" spans="1:7" x14ac:dyDescent="0.25">
      <c r="A748">
        <v>746</v>
      </c>
      <c r="B748">
        <v>55</v>
      </c>
      <c r="C748">
        <v>300</v>
      </c>
      <c r="D748" t="s">
        <v>9396</v>
      </c>
      <c r="F748">
        <v>32</v>
      </c>
      <c r="G748">
        <v>37</v>
      </c>
    </row>
    <row r="749" spans="1:7" x14ac:dyDescent="0.25">
      <c r="A749">
        <v>747</v>
      </c>
      <c r="B749">
        <v>10</v>
      </c>
      <c r="C749">
        <v>300</v>
      </c>
      <c r="D749" t="s">
        <v>9397</v>
      </c>
      <c r="F749">
        <v>32</v>
      </c>
      <c r="G749">
        <v>37</v>
      </c>
    </row>
    <row r="750" spans="1:7" x14ac:dyDescent="0.25">
      <c r="A750">
        <v>748</v>
      </c>
      <c r="B750">
        <v>4</v>
      </c>
      <c r="C750">
        <v>0</v>
      </c>
      <c r="D750" t="s">
        <v>9398</v>
      </c>
      <c r="E750" t="s">
        <v>9398</v>
      </c>
      <c r="F750">
        <v>32</v>
      </c>
      <c r="G750">
        <v>38</v>
      </c>
    </row>
    <row r="751" spans="1:7" x14ac:dyDescent="0.25">
      <c r="A751">
        <v>749</v>
      </c>
      <c r="B751">
        <v>66</v>
      </c>
      <c r="C751">
        <v>0</v>
      </c>
      <c r="D751" t="s">
        <v>9399</v>
      </c>
      <c r="E751" t="s">
        <v>9399</v>
      </c>
      <c r="F751">
        <v>32</v>
      </c>
      <c r="G751">
        <v>38</v>
      </c>
    </row>
    <row r="752" spans="1:7" x14ac:dyDescent="0.25">
      <c r="A752">
        <v>750</v>
      </c>
      <c r="B752">
        <v>42</v>
      </c>
      <c r="C752">
        <v>0</v>
      </c>
      <c r="D752" t="s">
        <v>9400</v>
      </c>
      <c r="E752" t="s">
        <v>9400</v>
      </c>
      <c r="F752">
        <v>32</v>
      </c>
      <c r="G752">
        <v>38</v>
      </c>
    </row>
    <row r="753" spans="1:7" x14ac:dyDescent="0.25">
      <c r="A753">
        <v>751</v>
      </c>
      <c r="B753">
        <v>83</v>
      </c>
      <c r="C753">
        <v>0</v>
      </c>
      <c r="D753" t="s">
        <v>9401</v>
      </c>
      <c r="E753" t="s">
        <v>9401</v>
      </c>
      <c r="F753">
        <v>32</v>
      </c>
      <c r="G753">
        <v>38</v>
      </c>
    </row>
    <row r="754" spans="1:7" x14ac:dyDescent="0.25">
      <c r="A754">
        <v>752</v>
      </c>
      <c r="B754">
        <v>42</v>
      </c>
      <c r="C754">
        <v>0</v>
      </c>
      <c r="D754" t="s">
        <v>9402</v>
      </c>
      <c r="E754" t="s">
        <v>9402</v>
      </c>
      <c r="F754">
        <v>32</v>
      </c>
      <c r="G754">
        <v>38</v>
      </c>
    </row>
    <row r="755" spans="1:7" x14ac:dyDescent="0.25">
      <c r="A755">
        <v>753</v>
      </c>
      <c r="B755">
        <v>54</v>
      </c>
      <c r="C755">
        <v>0</v>
      </c>
      <c r="D755" t="s">
        <v>9403</v>
      </c>
      <c r="E755" t="s">
        <v>9403</v>
      </c>
      <c r="F755">
        <v>32</v>
      </c>
      <c r="G755">
        <v>38</v>
      </c>
    </row>
    <row r="756" spans="1:7" x14ac:dyDescent="0.25">
      <c r="A756">
        <v>754</v>
      </c>
      <c r="B756">
        <v>42</v>
      </c>
      <c r="C756">
        <v>0</v>
      </c>
      <c r="D756" t="s">
        <v>9404</v>
      </c>
      <c r="E756" t="s">
        <v>9404</v>
      </c>
      <c r="F756">
        <v>32</v>
      </c>
      <c r="G756">
        <v>37</v>
      </c>
    </row>
    <row r="757" spans="1:7" x14ac:dyDescent="0.25">
      <c r="A757">
        <v>755</v>
      </c>
      <c r="B757">
        <v>8</v>
      </c>
      <c r="C757">
        <v>0</v>
      </c>
      <c r="D757" t="s">
        <v>9405</v>
      </c>
      <c r="E757" t="s">
        <v>9405</v>
      </c>
      <c r="F757">
        <v>32</v>
      </c>
      <c r="G757">
        <v>38</v>
      </c>
    </row>
    <row r="758" spans="1:7" x14ac:dyDescent="0.25">
      <c r="A758">
        <v>756</v>
      </c>
      <c r="B758">
        <v>42</v>
      </c>
      <c r="C758">
        <v>0</v>
      </c>
      <c r="D758" t="s">
        <v>9406</v>
      </c>
      <c r="E758" t="s">
        <v>9406</v>
      </c>
      <c r="F758">
        <v>32</v>
      </c>
      <c r="G758">
        <v>38</v>
      </c>
    </row>
    <row r="759" spans="1:7" x14ac:dyDescent="0.25">
      <c r="A759">
        <v>757</v>
      </c>
      <c r="B759">
        <v>52</v>
      </c>
      <c r="C759">
        <v>0</v>
      </c>
      <c r="D759" t="s">
        <v>9407</v>
      </c>
      <c r="E759" t="s">
        <v>9407</v>
      </c>
      <c r="F759">
        <v>32</v>
      </c>
      <c r="G759">
        <v>37</v>
      </c>
    </row>
    <row r="760" spans="1:7" x14ac:dyDescent="0.25">
      <c r="A760">
        <v>758</v>
      </c>
      <c r="B760">
        <v>54</v>
      </c>
      <c r="C760">
        <v>0</v>
      </c>
      <c r="D760" t="s">
        <v>9408</v>
      </c>
      <c r="E760" t="s">
        <v>9408</v>
      </c>
      <c r="F760">
        <v>32</v>
      </c>
      <c r="G760">
        <v>38</v>
      </c>
    </row>
    <row r="761" spans="1:7" x14ac:dyDescent="0.25">
      <c r="A761">
        <v>759</v>
      </c>
      <c r="B761">
        <v>49</v>
      </c>
      <c r="C761">
        <v>0</v>
      </c>
      <c r="D761" t="s">
        <v>9409</v>
      </c>
      <c r="E761" t="s">
        <v>9409</v>
      </c>
      <c r="F761">
        <v>32</v>
      </c>
      <c r="G761">
        <v>38</v>
      </c>
    </row>
    <row r="762" spans="1:7" x14ac:dyDescent="0.25">
      <c r="A762">
        <v>760</v>
      </c>
      <c r="B762">
        <v>10</v>
      </c>
      <c r="C762">
        <v>0</v>
      </c>
      <c r="D762" t="s">
        <v>9410</v>
      </c>
      <c r="E762" t="s">
        <v>9410</v>
      </c>
      <c r="F762">
        <v>32</v>
      </c>
      <c r="G762">
        <v>38</v>
      </c>
    </row>
    <row r="763" spans="1:7" x14ac:dyDescent="0.25">
      <c r="A763">
        <v>761</v>
      </c>
      <c r="B763">
        <v>54</v>
      </c>
      <c r="C763">
        <v>0</v>
      </c>
      <c r="D763" t="s">
        <v>9411</v>
      </c>
      <c r="E763" t="s">
        <v>9411</v>
      </c>
      <c r="F763">
        <v>32</v>
      </c>
      <c r="G763">
        <v>38</v>
      </c>
    </row>
    <row r="764" spans="1:7" x14ac:dyDescent="0.25">
      <c r="A764">
        <v>762</v>
      </c>
      <c r="B764">
        <v>55</v>
      </c>
      <c r="C764">
        <v>0</v>
      </c>
      <c r="D764" t="s">
        <v>9412</v>
      </c>
      <c r="E764" t="s">
        <v>9412</v>
      </c>
      <c r="F764">
        <v>32</v>
      </c>
      <c r="G764">
        <v>38</v>
      </c>
    </row>
    <row r="765" spans="1:7" x14ac:dyDescent="0.25">
      <c r="A765">
        <v>763</v>
      </c>
      <c r="B765">
        <v>40</v>
      </c>
      <c r="C765">
        <v>0</v>
      </c>
      <c r="D765" t="s">
        <v>9413</v>
      </c>
      <c r="E765" t="s">
        <v>9413</v>
      </c>
      <c r="F765">
        <v>31</v>
      </c>
      <c r="G765">
        <v>38</v>
      </c>
    </row>
    <row r="766" spans="1:7" x14ac:dyDescent="0.25">
      <c r="A766">
        <v>764</v>
      </c>
      <c r="B766">
        <v>42</v>
      </c>
      <c r="C766">
        <v>0</v>
      </c>
      <c r="D766" t="s">
        <v>9414</v>
      </c>
      <c r="E766" t="s">
        <v>9414</v>
      </c>
      <c r="F766">
        <v>32</v>
      </c>
      <c r="G766">
        <v>38</v>
      </c>
    </row>
    <row r="767" spans="1:7" x14ac:dyDescent="0.25">
      <c r="A767">
        <v>765</v>
      </c>
      <c r="B767">
        <v>44</v>
      </c>
      <c r="C767">
        <v>0</v>
      </c>
      <c r="D767" t="s">
        <v>9415</v>
      </c>
      <c r="E767" t="s">
        <v>9415</v>
      </c>
      <c r="F767">
        <v>32</v>
      </c>
      <c r="G767">
        <v>38</v>
      </c>
    </row>
    <row r="768" spans="1:7" x14ac:dyDescent="0.25">
      <c r="A768">
        <v>766</v>
      </c>
      <c r="B768">
        <v>4</v>
      </c>
      <c r="C768">
        <v>0</v>
      </c>
      <c r="D768" t="s">
        <v>9416</v>
      </c>
      <c r="E768" t="s">
        <v>9416</v>
      </c>
      <c r="F768">
        <v>32</v>
      </c>
      <c r="G768">
        <v>38</v>
      </c>
    </row>
    <row r="769" spans="1:7" x14ac:dyDescent="0.25">
      <c r="A769">
        <v>767</v>
      </c>
      <c r="B769">
        <v>54</v>
      </c>
      <c r="C769">
        <v>0</v>
      </c>
      <c r="D769" t="s">
        <v>9417</v>
      </c>
      <c r="E769" t="s">
        <v>9417</v>
      </c>
      <c r="F769">
        <v>32</v>
      </c>
      <c r="G769">
        <v>38</v>
      </c>
    </row>
    <row r="770" spans="1:7" x14ac:dyDescent="0.25">
      <c r="A770">
        <v>768</v>
      </c>
      <c r="B770">
        <v>42</v>
      </c>
      <c r="C770">
        <v>0</v>
      </c>
      <c r="D770" t="s">
        <v>9418</v>
      </c>
      <c r="E770" t="s">
        <v>9418</v>
      </c>
      <c r="F770">
        <v>32</v>
      </c>
      <c r="G770">
        <v>38</v>
      </c>
    </row>
    <row r="771" spans="1:7" x14ac:dyDescent="0.25">
      <c r="A771">
        <v>769</v>
      </c>
      <c r="B771">
        <v>42</v>
      </c>
      <c r="C771">
        <v>0</v>
      </c>
      <c r="D771" t="s">
        <v>9419</v>
      </c>
      <c r="E771" t="s">
        <v>9419</v>
      </c>
      <c r="F771">
        <v>32</v>
      </c>
      <c r="G771">
        <v>38</v>
      </c>
    </row>
    <row r="772" spans="1:7" x14ac:dyDescent="0.25">
      <c r="A772">
        <v>770</v>
      </c>
      <c r="B772">
        <v>54</v>
      </c>
      <c r="C772">
        <v>0</v>
      </c>
      <c r="D772" t="s">
        <v>9420</v>
      </c>
      <c r="E772" t="s">
        <v>9420</v>
      </c>
      <c r="F772">
        <v>32</v>
      </c>
      <c r="G772">
        <v>38</v>
      </c>
    </row>
    <row r="773" spans="1:7" x14ac:dyDescent="0.25">
      <c r="A773">
        <v>771</v>
      </c>
      <c r="B773">
        <v>33</v>
      </c>
      <c r="C773">
        <v>0</v>
      </c>
      <c r="D773" t="s">
        <v>9421</v>
      </c>
      <c r="E773" t="s">
        <v>9421</v>
      </c>
      <c r="F773">
        <v>32</v>
      </c>
      <c r="G773">
        <v>38</v>
      </c>
    </row>
    <row r="774" spans="1:7" x14ac:dyDescent="0.25">
      <c r="A774">
        <v>772</v>
      </c>
      <c r="B774">
        <v>40</v>
      </c>
      <c r="C774">
        <v>0</v>
      </c>
      <c r="D774" t="s">
        <v>505</v>
      </c>
      <c r="E774" t="s">
        <v>505</v>
      </c>
      <c r="F774">
        <v>31</v>
      </c>
      <c r="G774">
        <v>38</v>
      </c>
    </row>
    <row r="775" spans="1:7" x14ac:dyDescent="0.25">
      <c r="A775">
        <v>773</v>
      </c>
      <c r="B775">
        <v>54</v>
      </c>
      <c r="C775">
        <v>0</v>
      </c>
      <c r="D775" t="s">
        <v>9422</v>
      </c>
      <c r="E775" t="s">
        <v>9422</v>
      </c>
      <c r="F775">
        <v>32</v>
      </c>
      <c r="G775">
        <v>38</v>
      </c>
    </row>
    <row r="776" spans="1:7" x14ac:dyDescent="0.25">
      <c r="A776">
        <v>774</v>
      </c>
      <c r="B776">
        <v>8</v>
      </c>
      <c r="C776">
        <v>0</v>
      </c>
      <c r="D776" t="s">
        <v>9423</v>
      </c>
      <c r="E776" t="s">
        <v>9423</v>
      </c>
      <c r="F776">
        <v>32</v>
      </c>
      <c r="G776">
        <v>38</v>
      </c>
    </row>
    <row r="777" spans="1:7" x14ac:dyDescent="0.25">
      <c r="A777">
        <v>775</v>
      </c>
      <c r="B777">
        <v>42</v>
      </c>
      <c r="C777">
        <v>0</v>
      </c>
      <c r="D777" t="s">
        <v>9424</v>
      </c>
      <c r="E777" t="s">
        <v>9424</v>
      </c>
      <c r="F777">
        <v>32</v>
      </c>
      <c r="G777">
        <v>38</v>
      </c>
    </row>
    <row r="778" spans="1:7" x14ac:dyDescent="0.25">
      <c r="A778">
        <v>776</v>
      </c>
      <c r="B778">
        <v>8</v>
      </c>
      <c r="C778">
        <v>0</v>
      </c>
      <c r="D778" t="s">
        <v>9425</v>
      </c>
      <c r="E778" t="s">
        <v>9425</v>
      </c>
      <c r="F778">
        <v>32</v>
      </c>
      <c r="G778">
        <v>38</v>
      </c>
    </row>
    <row r="779" spans="1:7" x14ac:dyDescent="0.25">
      <c r="A779">
        <v>777</v>
      </c>
      <c r="B779">
        <v>10</v>
      </c>
      <c r="C779">
        <v>0</v>
      </c>
      <c r="D779" t="s">
        <v>9426</v>
      </c>
      <c r="E779" t="s">
        <v>9426</v>
      </c>
      <c r="F779">
        <v>32</v>
      </c>
      <c r="G779">
        <v>38</v>
      </c>
    </row>
    <row r="780" spans="1:7" x14ac:dyDescent="0.25">
      <c r="A780">
        <v>778</v>
      </c>
      <c r="B780">
        <v>54</v>
      </c>
      <c r="C780">
        <v>0</v>
      </c>
      <c r="D780" t="s">
        <v>9427</v>
      </c>
      <c r="E780" t="s">
        <v>9427</v>
      </c>
      <c r="F780">
        <v>32</v>
      </c>
      <c r="G780">
        <v>38</v>
      </c>
    </row>
    <row r="781" spans="1:7" x14ac:dyDescent="0.25">
      <c r="A781">
        <v>779</v>
      </c>
      <c r="B781">
        <v>54</v>
      </c>
      <c r="C781">
        <v>0</v>
      </c>
      <c r="D781" t="s">
        <v>9428</v>
      </c>
      <c r="E781" t="s">
        <v>9428</v>
      </c>
      <c r="F781">
        <v>32</v>
      </c>
      <c r="G781">
        <v>38</v>
      </c>
    </row>
    <row r="782" spans="1:7" x14ac:dyDescent="0.25">
      <c r="A782">
        <v>780</v>
      </c>
      <c r="B782">
        <v>81</v>
      </c>
      <c r="C782">
        <v>0</v>
      </c>
      <c r="D782" t="s">
        <v>9429</v>
      </c>
      <c r="E782" t="s">
        <v>9429</v>
      </c>
      <c r="F782">
        <v>32</v>
      </c>
      <c r="G782">
        <v>38</v>
      </c>
    </row>
    <row r="783" spans="1:7" x14ac:dyDescent="0.25">
      <c r="A783">
        <v>781</v>
      </c>
      <c r="B783">
        <v>40</v>
      </c>
      <c r="C783">
        <v>0</v>
      </c>
      <c r="D783" t="s">
        <v>9430</v>
      </c>
      <c r="E783" t="s">
        <v>9430</v>
      </c>
      <c r="F783">
        <v>31</v>
      </c>
      <c r="G783">
        <v>38</v>
      </c>
    </row>
    <row r="784" spans="1:7" x14ac:dyDescent="0.25">
      <c r="A784">
        <v>782</v>
      </c>
      <c r="B784">
        <v>54</v>
      </c>
      <c r="C784">
        <v>0</v>
      </c>
      <c r="D784" t="s">
        <v>9431</v>
      </c>
      <c r="E784" t="s">
        <v>9431</v>
      </c>
      <c r="F784">
        <v>32</v>
      </c>
      <c r="G784">
        <v>37</v>
      </c>
    </row>
    <row r="785" spans="1:7" x14ac:dyDescent="0.25">
      <c r="A785">
        <v>783</v>
      </c>
      <c r="B785">
        <v>54</v>
      </c>
      <c r="C785">
        <v>0</v>
      </c>
      <c r="D785" t="s">
        <v>9432</v>
      </c>
      <c r="E785" t="s">
        <v>9432</v>
      </c>
      <c r="F785">
        <v>32</v>
      </c>
      <c r="G785">
        <v>37</v>
      </c>
    </row>
    <row r="786" spans="1:7" x14ac:dyDescent="0.25">
      <c r="A786">
        <v>784</v>
      </c>
      <c r="B786">
        <v>79</v>
      </c>
      <c r="C786">
        <v>300</v>
      </c>
      <c r="D786" t="s">
        <v>9433</v>
      </c>
      <c r="F786">
        <v>32</v>
      </c>
      <c r="G786">
        <v>37</v>
      </c>
    </row>
    <row r="787" spans="1:7" x14ac:dyDescent="0.25">
      <c r="A787">
        <v>785</v>
      </c>
      <c r="B787">
        <v>10</v>
      </c>
      <c r="C787">
        <v>0</v>
      </c>
      <c r="D787" t="s">
        <v>9434</v>
      </c>
      <c r="E787" t="s">
        <v>9434</v>
      </c>
      <c r="F787">
        <v>32</v>
      </c>
      <c r="G787">
        <v>37</v>
      </c>
    </row>
    <row r="788" spans="1:7" x14ac:dyDescent="0.25">
      <c r="A788">
        <v>786</v>
      </c>
      <c r="B788">
        <v>54</v>
      </c>
      <c r="C788">
        <v>0</v>
      </c>
      <c r="D788" t="s">
        <v>9435</v>
      </c>
      <c r="E788" t="s">
        <v>9435</v>
      </c>
      <c r="F788">
        <v>32</v>
      </c>
      <c r="G788">
        <v>37</v>
      </c>
    </row>
    <row r="789" spans="1:7" x14ac:dyDescent="0.25">
      <c r="A789">
        <v>787</v>
      </c>
      <c r="B789">
        <v>42</v>
      </c>
      <c r="C789">
        <v>0</v>
      </c>
      <c r="D789" t="s">
        <v>9436</v>
      </c>
      <c r="E789" t="s">
        <v>9436</v>
      </c>
      <c r="F789">
        <v>32</v>
      </c>
      <c r="G789">
        <v>37</v>
      </c>
    </row>
    <row r="790" spans="1:7" x14ac:dyDescent="0.25">
      <c r="A790">
        <v>788</v>
      </c>
      <c r="B790">
        <v>4</v>
      </c>
      <c r="C790">
        <v>0</v>
      </c>
      <c r="D790" t="s">
        <v>9205</v>
      </c>
      <c r="E790" t="s">
        <v>9205</v>
      </c>
      <c r="F790">
        <v>32</v>
      </c>
      <c r="G790">
        <v>37</v>
      </c>
    </row>
    <row r="791" spans="1:7" x14ac:dyDescent="0.25">
      <c r="A791">
        <v>789</v>
      </c>
      <c r="B791">
        <v>4</v>
      </c>
      <c r="C791">
        <v>0</v>
      </c>
      <c r="D791" t="s">
        <v>9437</v>
      </c>
      <c r="E791" t="s">
        <v>9437</v>
      </c>
      <c r="F791">
        <v>32</v>
      </c>
      <c r="G791">
        <v>37</v>
      </c>
    </row>
    <row r="792" spans="1:7" x14ac:dyDescent="0.25">
      <c r="A792">
        <v>790</v>
      </c>
      <c r="B792">
        <v>8</v>
      </c>
      <c r="C792">
        <v>0</v>
      </c>
      <c r="D792" t="s">
        <v>9438</v>
      </c>
      <c r="E792" t="s">
        <v>9438</v>
      </c>
      <c r="F792">
        <v>32</v>
      </c>
      <c r="G792">
        <v>37</v>
      </c>
    </row>
    <row r="793" spans="1:7" x14ac:dyDescent="0.25">
      <c r="A793">
        <v>791</v>
      </c>
      <c r="B793">
        <v>58</v>
      </c>
      <c r="C793">
        <v>300</v>
      </c>
      <c r="D793" t="s">
        <v>9439</v>
      </c>
      <c r="F793">
        <v>32</v>
      </c>
      <c r="G793">
        <v>37</v>
      </c>
    </row>
    <row r="794" spans="1:7" x14ac:dyDescent="0.25">
      <c r="A794">
        <v>792</v>
      </c>
      <c r="B794">
        <v>75</v>
      </c>
      <c r="C794">
        <v>0</v>
      </c>
      <c r="D794" t="s">
        <v>9440</v>
      </c>
      <c r="E794" t="s">
        <v>9440</v>
      </c>
      <c r="F794">
        <v>32</v>
      </c>
      <c r="G794">
        <v>37</v>
      </c>
    </row>
    <row r="795" spans="1:7" x14ac:dyDescent="0.25">
      <c r="A795">
        <v>793</v>
      </c>
      <c r="B795">
        <v>54</v>
      </c>
      <c r="C795">
        <v>0</v>
      </c>
      <c r="D795" t="s">
        <v>9441</v>
      </c>
      <c r="E795" t="s">
        <v>9441</v>
      </c>
      <c r="F795">
        <v>32</v>
      </c>
      <c r="G795">
        <v>37</v>
      </c>
    </row>
    <row r="796" spans="1:7" x14ac:dyDescent="0.25">
      <c r="A796">
        <v>794</v>
      </c>
      <c r="B796">
        <v>66</v>
      </c>
      <c r="C796">
        <v>0</v>
      </c>
      <c r="D796" t="s">
        <v>9442</v>
      </c>
      <c r="E796" t="s">
        <v>9442</v>
      </c>
      <c r="F796">
        <v>32</v>
      </c>
      <c r="G796">
        <v>37</v>
      </c>
    </row>
    <row r="797" spans="1:7" x14ac:dyDescent="0.25">
      <c r="A797">
        <v>795</v>
      </c>
      <c r="B797">
        <v>54</v>
      </c>
      <c r="C797">
        <v>0</v>
      </c>
      <c r="D797" t="s">
        <v>9443</v>
      </c>
      <c r="E797" t="s">
        <v>9443</v>
      </c>
      <c r="F797">
        <v>32</v>
      </c>
      <c r="G797">
        <v>37</v>
      </c>
    </row>
    <row r="798" spans="1:7" x14ac:dyDescent="0.25">
      <c r="A798">
        <v>796</v>
      </c>
      <c r="B798">
        <v>54</v>
      </c>
      <c r="C798">
        <v>0</v>
      </c>
      <c r="D798" t="s">
        <v>9444</v>
      </c>
      <c r="E798" t="s">
        <v>9444</v>
      </c>
      <c r="F798">
        <v>32</v>
      </c>
      <c r="G798">
        <v>37</v>
      </c>
    </row>
    <row r="799" spans="1:7" x14ac:dyDescent="0.25">
      <c r="A799">
        <v>797</v>
      </c>
      <c r="B799">
        <v>23</v>
      </c>
      <c r="C799">
        <v>0</v>
      </c>
      <c r="D799" t="s">
        <v>9445</v>
      </c>
      <c r="E799" t="s">
        <v>9445</v>
      </c>
      <c r="F799">
        <v>32</v>
      </c>
      <c r="G799">
        <v>37</v>
      </c>
    </row>
    <row r="800" spans="1:7" x14ac:dyDescent="0.25">
      <c r="A800">
        <v>798</v>
      </c>
      <c r="B800">
        <v>66</v>
      </c>
      <c r="C800">
        <v>0</v>
      </c>
      <c r="D800" t="s">
        <v>9446</v>
      </c>
      <c r="E800" t="s">
        <v>9446</v>
      </c>
      <c r="F800">
        <v>32</v>
      </c>
      <c r="G800">
        <v>37</v>
      </c>
    </row>
    <row r="801" spans="1:7" x14ac:dyDescent="0.25">
      <c r="A801">
        <v>799</v>
      </c>
      <c r="B801">
        <v>66</v>
      </c>
      <c r="C801">
        <v>0</v>
      </c>
      <c r="D801" t="s">
        <v>9447</v>
      </c>
      <c r="E801" t="s">
        <v>9447</v>
      </c>
      <c r="F801">
        <v>32</v>
      </c>
      <c r="G801">
        <v>37</v>
      </c>
    </row>
    <row r="802" spans="1:7" x14ac:dyDescent="0.25">
      <c r="A802">
        <v>800</v>
      </c>
      <c r="B802">
        <v>4</v>
      </c>
      <c r="C802">
        <v>0</v>
      </c>
      <c r="D802" t="s">
        <v>9448</v>
      </c>
      <c r="E802" t="s">
        <v>9448</v>
      </c>
      <c r="F802">
        <v>32</v>
      </c>
      <c r="G802">
        <v>37</v>
      </c>
    </row>
    <row r="803" spans="1:7" x14ac:dyDescent="0.25">
      <c r="A803">
        <v>801</v>
      </c>
      <c r="B803">
        <v>8</v>
      </c>
      <c r="C803">
        <v>0</v>
      </c>
      <c r="D803" t="s">
        <v>9449</v>
      </c>
      <c r="E803" t="s">
        <v>9449</v>
      </c>
      <c r="F803">
        <v>32</v>
      </c>
      <c r="G803">
        <v>37</v>
      </c>
    </row>
    <row r="804" spans="1:7" x14ac:dyDescent="0.25">
      <c r="A804">
        <v>802</v>
      </c>
      <c r="B804">
        <v>54</v>
      </c>
      <c r="C804">
        <v>0</v>
      </c>
      <c r="D804" t="s">
        <v>9450</v>
      </c>
      <c r="E804" t="s">
        <v>9450</v>
      </c>
      <c r="F804">
        <v>32</v>
      </c>
      <c r="G804">
        <v>37</v>
      </c>
    </row>
    <row r="805" spans="1:7" x14ac:dyDescent="0.25">
      <c r="A805">
        <v>803</v>
      </c>
      <c r="B805">
        <v>66</v>
      </c>
      <c r="C805">
        <v>0</v>
      </c>
      <c r="D805" t="s">
        <v>9451</v>
      </c>
      <c r="E805" t="s">
        <v>9451</v>
      </c>
      <c r="F805">
        <v>32</v>
      </c>
      <c r="G805">
        <v>37</v>
      </c>
    </row>
    <row r="806" spans="1:7" x14ac:dyDescent="0.25">
      <c r="A806">
        <v>804</v>
      </c>
      <c r="B806">
        <v>42</v>
      </c>
      <c r="C806">
        <v>0</v>
      </c>
      <c r="D806" t="s">
        <v>9452</v>
      </c>
      <c r="E806" t="s">
        <v>9452</v>
      </c>
      <c r="F806">
        <v>32</v>
      </c>
      <c r="G806">
        <v>37</v>
      </c>
    </row>
    <row r="807" spans="1:7" x14ac:dyDescent="0.25">
      <c r="A807">
        <v>805</v>
      </c>
      <c r="B807">
        <v>14</v>
      </c>
      <c r="C807">
        <v>300</v>
      </c>
      <c r="D807" t="s">
        <v>9453</v>
      </c>
      <c r="F807">
        <v>32</v>
      </c>
      <c r="G807">
        <v>37</v>
      </c>
    </row>
    <row r="808" spans="1:7" x14ac:dyDescent="0.25">
      <c r="A808">
        <v>806</v>
      </c>
      <c r="B808">
        <v>54</v>
      </c>
      <c r="C808">
        <v>0</v>
      </c>
      <c r="D808" t="s">
        <v>9454</v>
      </c>
      <c r="E808" t="s">
        <v>9454</v>
      </c>
      <c r="F808">
        <v>32</v>
      </c>
      <c r="G808">
        <v>37</v>
      </c>
    </row>
    <row r="809" spans="1:7" x14ac:dyDescent="0.25">
      <c r="A809">
        <v>807</v>
      </c>
      <c r="B809">
        <v>42</v>
      </c>
      <c r="C809">
        <v>300</v>
      </c>
      <c r="D809" t="s">
        <v>9455</v>
      </c>
      <c r="F809">
        <v>32</v>
      </c>
      <c r="G809">
        <v>37</v>
      </c>
    </row>
    <row r="810" spans="1:7" x14ac:dyDescent="0.25">
      <c r="A810">
        <v>808</v>
      </c>
      <c r="B810">
        <v>45</v>
      </c>
      <c r="C810">
        <v>0</v>
      </c>
      <c r="D810" t="s">
        <v>9456</v>
      </c>
      <c r="E810" t="s">
        <v>9456</v>
      </c>
      <c r="F810">
        <v>32</v>
      </c>
      <c r="G810">
        <v>37</v>
      </c>
    </row>
    <row r="811" spans="1:7" x14ac:dyDescent="0.25">
      <c r="A811">
        <v>809</v>
      </c>
      <c r="B811">
        <v>54</v>
      </c>
      <c r="C811">
        <v>0</v>
      </c>
      <c r="D811" t="s">
        <v>9457</v>
      </c>
      <c r="E811" t="s">
        <v>9457</v>
      </c>
      <c r="F811">
        <v>32</v>
      </c>
      <c r="G811">
        <v>37</v>
      </c>
    </row>
    <row r="812" spans="1:7" x14ac:dyDescent="0.25">
      <c r="A812">
        <v>810</v>
      </c>
      <c r="B812">
        <v>84</v>
      </c>
      <c r="C812">
        <v>0</v>
      </c>
      <c r="D812" t="s">
        <v>9458</v>
      </c>
      <c r="E812" t="s">
        <v>9458</v>
      </c>
      <c r="F812">
        <v>32</v>
      </c>
      <c r="G812">
        <v>37</v>
      </c>
    </row>
    <row r="813" spans="1:7" x14ac:dyDescent="0.25">
      <c r="A813">
        <v>811</v>
      </c>
      <c r="B813">
        <v>54</v>
      </c>
      <c r="C813">
        <v>0</v>
      </c>
      <c r="D813" t="s">
        <v>9459</v>
      </c>
      <c r="E813" t="s">
        <v>9459</v>
      </c>
      <c r="F813">
        <v>32</v>
      </c>
      <c r="G813">
        <v>37</v>
      </c>
    </row>
    <row r="814" spans="1:7" x14ac:dyDescent="0.25">
      <c r="A814">
        <v>812</v>
      </c>
      <c r="B814">
        <v>10</v>
      </c>
      <c r="C814">
        <v>0</v>
      </c>
      <c r="D814" t="s">
        <v>9460</v>
      </c>
      <c r="E814" t="s">
        <v>9460</v>
      </c>
      <c r="F814">
        <v>32</v>
      </c>
      <c r="G814">
        <v>37</v>
      </c>
    </row>
    <row r="815" spans="1:7" x14ac:dyDescent="0.25">
      <c r="A815">
        <v>813</v>
      </c>
      <c r="B815">
        <v>10</v>
      </c>
      <c r="C815">
        <v>0</v>
      </c>
      <c r="D815" t="s">
        <v>9461</v>
      </c>
      <c r="E815" t="s">
        <v>9461</v>
      </c>
      <c r="F815">
        <v>32</v>
      </c>
      <c r="G815">
        <v>37</v>
      </c>
    </row>
    <row r="816" spans="1:7" x14ac:dyDescent="0.25">
      <c r="A816">
        <v>814</v>
      </c>
      <c r="B816">
        <v>54</v>
      </c>
      <c r="C816">
        <v>0</v>
      </c>
      <c r="D816" t="s">
        <v>9462</v>
      </c>
      <c r="E816" t="s">
        <v>9462</v>
      </c>
      <c r="F816">
        <v>32</v>
      </c>
      <c r="G816">
        <v>37</v>
      </c>
    </row>
    <row r="817" spans="1:7" x14ac:dyDescent="0.25">
      <c r="A817">
        <v>815</v>
      </c>
      <c r="B817">
        <v>54</v>
      </c>
      <c r="C817">
        <v>300</v>
      </c>
      <c r="D817" t="s">
        <v>9463</v>
      </c>
      <c r="F817">
        <v>32</v>
      </c>
      <c r="G817">
        <v>38</v>
      </c>
    </row>
    <row r="818" spans="1:7" x14ac:dyDescent="0.25">
      <c r="A818">
        <v>816</v>
      </c>
      <c r="B818">
        <v>10</v>
      </c>
      <c r="C818">
        <v>300</v>
      </c>
      <c r="D818" t="s">
        <v>9464</v>
      </c>
      <c r="F818">
        <v>32</v>
      </c>
      <c r="G818">
        <v>37</v>
      </c>
    </row>
    <row r="819" spans="1:7" x14ac:dyDescent="0.25">
      <c r="A819">
        <v>817</v>
      </c>
      <c r="B819">
        <v>33</v>
      </c>
      <c r="C819">
        <v>0</v>
      </c>
      <c r="D819" t="s">
        <v>9465</v>
      </c>
      <c r="E819" t="s">
        <v>9465</v>
      </c>
      <c r="F819">
        <v>32</v>
      </c>
      <c r="G819">
        <v>37</v>
      </c>
    </row>
    <row r="820" spans="1:7" x14ac:dyDescent="0.25">
      <c r="A820">
        <v>818</v>
      </c>
      <c r="B820">
        <v>25</v>
      </c>
      <c r="C820">
        <v>0</v>
      </c>
      <c r="D820" t="s">
        <v>9466</v>
      </c>
      <c r="E820" t="s">
        <v>9466</v>
      </c>
      <c r="F820">
        <v>32</v>
      </c>
      <c r="G820">
        <v>37</v>
      </c>
    </row>
    <row r="821" spans="1:7" x14ac:dyDescent="0.25">
      <c r="A821">
        <v>819</v>
      </c>
      <c r="B821">
        <v>58</v>
      </c>
      <c r="C821">
        <v>0</v>
      </c>
      <c r="D821" t="s">
        <v>9467</v>
      </c>
      <c r="E821" t="s">
        <v>9467</v>
      </c>
      <c r="F821">
        <v>32</v>
      </c>
      <c r="G821">
        <v>37</v>
      </c>
    </row>
    <row r="822" spans="1:7" x14ac:dyDescent="0.25">
      <c r="A822">
        <v>820</v>
      </c>
      <c r="B822">
        <v>54</v>
      </c>
      <c r="C822">
        <v>0</v>
      </c>
      <c r="D822" t="s">
        <v>9468</v>
      </c>
      <c r="E822" t="s">
        <v>9468</v>
      </c>
      <c r="F822">
        <v>32</v>
      </c>
      <c r="G822">
        <v>37</v>
      </c>
    </row>
    <row r="823" spans="1:7" x14ac:dyDescent="0.25">
      <c r="A823">
        <v>821</v>
      </c>
      <c r="B823">
        <v>10</v>
      </c>
      <c r="C823">
        <v>0</v>
      </c>
      <c r="D823" t="s">
        <v>9469</v>
      </c>
      <c r="E823" t="s">
        <v>9469</v>
      </c>
      <c r="F823">
        <v>32</v>
      </c>
      <c r="G823">
        <v>37</v>
      </c>
    </row>
    <row r="824" spans="1:7" x14ac:dyDescent="0.25">
      <c r="A824">
        <v>822</v>
      </c>
      <c r="B824">
        <v>40</v>
      </c>
      <c r="C824">
        <v>0</v>
      </c>
      <c r="D824" t="s">
        <v>9470</v>
      </c>
      <c r="E824" t="s">
        <v>9470</v>
      </c>
      <c r="F824">
        <v>31</v>
      </c>
      <c r="G824">
        <v>38</v>
      </c>
    </row>
    <row r="825" spans="1:7" x14ac:dyDescent="0.25">
      <c r="A825">
        <v>823</v>
      </c>
      <c r="B825">
        <v>54</v>
      </c>
      <c r="C825">
        <v>0</v>
      </c>
      <c r="D825" t="s">
        <v>9471</v>
      </c>
      <c r="E825" t="s">
        <v>9471</v>
      </c>
      <c r="F825">
        <v>32</v>
      </c>
      <c r="G825">
        <v>38</v>
      </c>
    </row>
    <row r="826" spans="1:7" x14ac:dyDescent="0.25">
      <c r="A826">
        <v>824</v>
      </c>
      <c r="B826">
        <v>33</v>
      </c>
      <c r="C826">
        <v>0</v>
      </c>
      <c r="D826" t="s">
        <v>9472</v>
      </c>
      <c r="E826" t="s">
        <v>9472</v>
      </c>
      <c r="F826">
        <v>32</v>
      </c>
      <c r="G826">
        <v>38</v>
      </c>
    </row>
    <row r="827" spans="1:7" x14ac:dyDescent="0.25">
      <c r="A827">
        <v>825</v>
      </c>
      <c r="B827">
        <v>66</v>
      </c>
      <c r="C827">
        <v>0</v>
      </c>
      <c r="D827" t="s">
        <v>9473</v>
      </c>
      <c r="E827" t="s">
        <v>9473</v>
      </c>
      <c r="F827">
        <v>32</v>
      </c>
      <c r="G827">
        <v>38</v>
      </c>
    </row>
    <row r="828" spans="1:7" x14ac:dyDescent="0.25">
      <c r="A828">
        <v>826</v>
      </c>
      <c r="B828">
        <v>68</v>
      </c>
      <c r="C828">
        <v>0</v>
      </c>
      <c r="D828" t="s">
        <v>9474</v>
      </c>
      <c r="E828" t="s">
        <v>9474</v>
      </c>
      <c r="F828">
        <v>32</v>
      </c>
      <c r="G828">
        <v>38</v>
      </c>
    </row>
    <row r="829" spans="1:7" x14ac:dyDescent="0.25">
      <c r="A829">
        <v>827</v>
      </c>
      <c r="B829">
        <v>8</v>
      </c>
      <c r="C829">
        <v>0</v>
      </c>
      <c r="D829" t="s">
        <v>9475</v>
      </c>
      <c r="E829" t="s">
        <v>9475</v>
      </c>
      <c r="F829">
        <v>32</v>
      </c>
      <c r="G829">
        <v>38</v>
      </c>
    </row>
    <row r="830" spans="1:7" x14ac:dyDescent="0.25">
      <c r="A830">
        <v>828</v>
      </c>
      <c r="B830">
        <v>30</v>
      </c>
      <c r="C830">
        <v>0</v>
      </c>
      <c r="D830" t="s">
        <v>9476</v>
      </c>
      <c r="E830" t="s">
        <v>9476</v>
      </c>
      <c r="F830">
        <v>32</v>
      </c>
      <c r="G830">
        <v>37</v>
      </c>
    </row>
    <row r="831" spans="1:7" x14ac:dyDescent="0.25">
      <c r="A831">
        <v>829</v>
      </c>
      <c r="B831">
        <v>10</v>
      </c>
      <c r="C831">
        <v>300</v>
      </c>
      <c r="D831" t="s">
        <v>9477</v>
      </c>
      <c r="F831">
        <v>32</v>
      </c>
      <c r="G831">
        <v>38</v>
      </c>
    </row>
    <row r="832" spans="1:7" x14ac:dyDescent="0.25">
      <c r="A832">
        <v>830</v>
      </c>
      <c r="B832">
        <v>42</v>
      </c>
      <c r="C832">
        <v>0</v>
      </c>
      <c r="D832" t="s">
        <v>9478</v>
      </c>
      <c r="E832" t="s">
        <v>9478</v>
      </c>
      <c r="F832">
        <v>32</v>
      </c>
      <c r="G832">
        <v>37</v>
      </c>
    </row>
    <row r="833" spans="1:7" x14ac:dyDescent="0.25">
      <c r="A833">
        <v>831</v>
      </c>
      <c r="B833">
        <v>66</v>
      </c>
      <c r="C833">
        <v>0</v>
      </c>
      <c r="D833" t="s">
        <v>9479</v>
      </c>
      <c r="E833" t="s">
        <v>9479</v>
      </c>
      <c r="F833">
        <v>32</v>
      </c>
      <c r="G833">
        <v>37</v>
      </c>
    </row>
    <row r="834" spans="1:7" x14ac:dyDescent="0.25">
      <c r="A834">
        <v>832</v>
      </c>
      <c r="B834">
        <v>1</v>
      </c>
      <c r="C834">
        <v>0</v>
      </c>
      <c r="D834" t="s">
        <v>9480</v>
      </c>
      <c r="E834" t="s">
        <v>9480</v>
      </c>
      <c r="F834">
        <v>32</v>
      </c>
      <c r="G834">
        <v>37</v>
      </c>
    </row>
    <row r="835" spans="1:7" x14ac:dyDescent="0.25">
      <c r="A835">
        <v>833</v>
      </c>
      <c r="B835">
        <v>45</v>
      </c>
      <c r="C835">
        <v>0</v>
      </c>
      <c r="D835" t="s">
        <v>9481</v>
      </c>
      <c r="E835" t="s">
        <v>9481</v>
      </c>
      <c r="F835">
        <v>32</v>
      </c>
      <c r="G835">
        <v>37</v>
      </c>
    </row>
    <row r="836" spans="1:7" x14ac:dyDescent="0.25">
      <c r="A836">
        <v>834</v>
      </c>
      <c r="B836">
        <v>30</v>
      </c>
      <c r="C836">
        <v>0</v>
      </c>
      <c r="D836" t="s">
        <v>9482</v>
      </c>
      <c r="E836" t="s">
        <v>9482</v>
      </c>
      <c r="F836">
        <v>32</v>
      </c>
      <c r="G836">
        <v>37</v>
      </c>
    </row>
    <row r="837" spans="1:7" x14ac:dyDescent="0.25">
      <c r="A837">
        <v>835</v>
      </c>
      <c r="B837">
        <v>66</v>
      </c>
      <c r="C837">
        <v>0</v>
      </c>
      <c r="D837" t="s">
        <v>9483</v>
      </c>
      <c r="E837" t="s">
        <v>9483</v>
      </c>
      <c r="F837">
        <v>32</v>
      </c>
      <c r="G837">
        <v>37</v>
      </c>
    </row>
    <row r="838" spans="1:7" x14ac:dyDescent="0.25">
      <c r="A838">
        <v>836</v>
      </c>
      <c r="B838">
        <v>8</v>
      </c>
      <c r="C838">
        <v>0</v>
      </c>
      <c r="D838" t="s">
        <v>9484</v>
      </c>
      <c r="E838" t="s">
        <v>9484</v>
      </c>
      <c r="F838">
        <v>32</v>
      </c>
      <c r="G838">
        <v>37</v>
      </c>
    </row>
    <row r="839" spans="1:7" x14ac:dyDescent="0.25">
      <c r="A839">
        <v>837</v>
      </c>
      <c r="B839">
        <v>56</v>
      </c>
      <c r="C839">
        <v>0</v>
      </c>
      <c r="D839" t="s">
        <v>9485</v>
      </c>
      <c r="E839" t="s">
        <v>9485</v>
      </c>
      <c r="F839">
        <v>32</v>
      </c>
      <c r="G839">
        <v>37</v>
      </c>
    </row>
    <row r="840" spans="1:7" x14ac:dyDescent="0.25">
      <c r="A840">
        <v>838</v>
      </c>
      <c r="B840">
        <v>54</v>
      </c>
      <c r="C840">
        <v>0</v>
      </c>
      <c r="D840" t="s">
        <v>9486</v>
      </c>
      <c r="E840" t="s">
        <v>9486</v>
      </c>
      <c r="F840">
        <v>32</v>
      </c>
      <c r="G840">
        <v>37</v>
      </c>
    </row>
    <row r="841" spans="1:7" x14ac:dyDescent="0.25">
      <c r="A841">
        <v>839</v>
      </c>
      <c r="B841">
        <v>54</v>
      </c>
      <c r="C841">
        <v>0</v>
      </c>
      <c r="D841" t="s">
        <v>9487</v>
      </c>
      <c r="E841" t="s">
        <v>9487</v>
      </c>
      <c r="F841">
        <v>32</v>
      </c>
      <c r="G841">
        <v>37</v>
      </c>
    </row>
    <row r="842" spans="1:7" x14ac:dyDescent="0.25">
      <c r="A842">
        <v>840</v>
      </c>
      <c r="B842">
        <v>54</v>
      </c>
      <c r="C842">
        <v>0</v>
      </c>
      <c r="D842" t="s">
        <v>9488</v>
      </c>
      <c r="E842" t="s">
        <v>9488</v>
      </c>
      <c r="F842">
        <v>32</v>
      </c>
      <c r="G842">
        <v>37</v>
      </c>
    </row>
    <row r="843" spans="1:7" x14ac:dyDescent="0.25">
      <c r="A843">
        <v>841</v>
      </c>
      <c r="B843">
        <v>54</v>
      </c>
      <c r="C843">
        <v>0</v>
      </c>
      <c r="D843" t="s">
        <v>9489</v>
      </c>
      <c r="F843">
        <v>32</v>
      </c>
      <c r="G843">
        <v>38</v>
      </c>
    </row>
    <row r="844" spans="1:7" x14ac:dyDescent="0.25">
      <c r="A844">
        <v>842</v>
      </c>
      <c r="B844">
        <v>54</v>
      </c>
      <c r="C844">
        <v>0</v>
      </c>
      <c r="D844" t="s">
        <v>9490</v>
      </c>
      <c r="F844">
        <v>32</v>
      </c>
      <c r="G844">
        <v>38</v>
      </c>
    </row>
    <row r="845" spans="1:7" x14ac:dyDescent="0.25">
      <c r="A845">
        <v>843</v>
      </c>
      <c r="B845">
        <v>79</v>
      </c>
      <c r="C845">
        <v>0</v>
      </c>
      <c r="D845" t="s">
        <v>9491</v>
      </c>
      <c r="F845">
        <v>32</v>
      </c>
      <c r="G845">
        <v>37</v>
      </c>
    </row>
    <row r="846" spans="1:7" x14ac:dyDescent="0.25">
      <c r="A846">
        <v>844</v>
      </c>
      <c r="B846">
        <v>54</v>
      </c>
      <c r="C846">
        <v>300</v>
      </c>
      <c r="D846" t="s">
        <v>9492</v>
      </c>
      <c r="F846">
        <v>32</v>
      </c>
      <c r="G846">
        <v>37</v>
      </c>
    </row>
    <row r="847" spans="1:7" x14ac:dyDescent="0.25">
      <c r="A847">
        <v>845</v>
      </c>
      <c r="B847">
        <v>69</v>
      </c>
      <c r="C847">
        <v>0</v>
      </c>
      <c r="D847" t="s">
        <v>9493</v>
      </c>
      <c r="E847" t="s">
        <v>9493</v>
      </c>
      <c r="F847">
        <v>32</v>
      </c>
      <c r="G847">
        <v>37</v>
      </c>
    </row>
    <row r="848" spans="1:7" x14ac:dyDescent="0.25">
      <c r="A848">
        <v>846</v>
      </c>
      <c r="B848">
        <v>22</v>
      </c>
      <c r="C848">
        <v>0</v>
      </c>
      <c r="D848" t="s">
        <v>9494</v>
      </c>
      <c r="E848" t="s">
        <v>9494</v>
      </c>
      <c r="F848">
        <v>32</v>
      </c>
      <c r="G848">
        <v>37</v>
      </c>
    </row>
    <row r="849" spans="1:7" x14ac:dyDescent="0.25">
      <c r="A849">
        <v>847</v>
      </c>
      <c r="B849">
        <v>54</v>
      </c>
      <c r="C849">
        <v>300</v>
      </c>
      <c r="D849" t="s">
        <v>9495</v>
      </c>
      <c r="F849">
        <v>32</v>
      </c>
      <c r="G849">
        <v>37</v>
      </c>
    </row>
    <row r="850" spans="1:7" x14ac:dyDescent="0.25">
      <c r="A850">
        <v>848</v>
      </c>
      <c r="B850">
        <v>62</v>
      </c>
      <c r="C850">
        <v>0</v>
      </c>
      <c r="D850" t="s">
        <v>9496</v>
      </c>
      <c r="E850" t="s">
        <v>9496</v>
      </c>
      <c r="F850">
        <v>32</v>
      </c>
      <c r="G850">
        <v>37</v>
      </c>
    </row>
    <row r="851" spans="1:7" x14ac:dyDescent="0.25">
      <c r="A851">
        <v>849</v>
      </c>
      <c r="B851">
        <v>47</v>
      </c>
      <c r="C851">
        <v>0</v>
      </c>
      <c r="D851" t="s">
        <v>9497</v>
      </c>
      <c r="E851" t="s">
        <v>9497</v>
      </c>
      <c r="F851">
        <v>32</v>
      </c>
      <c r="G851">
        <v>37</v>
      </c>
    </row>
    <row r="852" spans="1:7" x14ac:dyDescent="0.25">
      <c r="A852">
        <v>850</v>
      </c>
      <c r="B852">
        <v>66</v>
      </c>
      <c r="C852">
        <v>0</v>
      </c>
      <c r="D852" t="s">
        <v>9498</v>
      </c>
      <c r="E852" t="s">
        <v>9498</v>
      </c>
      <c r="F852">
        <v>32</v>
      </c>
      <c r="G852">
        <v>37</v>
      </c>
    </row>
    <row r="853" spans="1:7" x14ac:dyDescent="0.25">
      <c r="A853">
        <v>851</v>
      </c>
      <c r="B853">
        <v>42</v>
      </c>
      <c r="C853">
        <v>0</v>
      </c>
      <c r="D853" t="s">
        <v>9499</v>
      </c>
      <c r="E853" t="s">
        <v>9499</v>
      </c>
      <c r="F853">
        <v>32</v>
      </c>
      <c r="G853">
        <v>37</v>
      </c>
    </row>
    <row r="854" spans="1:7" x14ac:dyDescent="0.25">
      <c r="A854">
        <v>852</v>
      </c>
      <c r="B854">
        <v>45</v>
      </c>
      <c r="C854">
        <v>0</v>
      </c>
      <c r="D854" t="s">
        <v>9500</v>
      </c>
      <c r="E854" t="s">
        <v>9500</v>
      </c>
      <c r="F854">
        <v>32</v>
      </c>
      <c r="G854">
        <v>37</v>
      </c>
    </row>
    <row r="855" spans="1:7" x14ac:dyDescent="0.25">
      <c r="A855">
        <v>853</v>
      </c>
      <c r="B855">
        <v>40</v>
      </c>
      <c r="C855">
        <v>0</v>
      </c>
      <c r="D855" t="s">
        <v>9501</v>
      </c>
      <c r="E855" t="s">
        <v>9501</v>
      </c>
      <c r="F855">
        <v>31</v>
      </c>
      <c r="G855">
        <v>38</v>
      </c>
    </row>
    <row r="856" spans="1:7" x14ac:dyDescent="0.25">
      <c r="A856">
        <v>854</v>
      </c>
      <c r="B856">
        <v>1</v>
      </c>
      <c r="C856">
        <v>300</v>
      </c>
      <c r="D856" t="s">
        <v>9502</v>
      </c>
      <c r="F856">
        <v>32</v>
      </c>
      <c r="G856">
        <v>37</v>
      </c>
    </row>
    <row r="857" spans="1:7" x14ac:dyDescent="0.25">
      <c r="A857">
        <v>855</v>
      </c>
      <c r="B857">
        <v>33</v>
      </c>
      <c r="C857">
        <v>0</v>
      </c>
      <c r="D857" t="s">
        <v>9503</v>
      </c>
      <c r="E857" t="s">
        <v>9503</v>
      </c>
      <c r="F857">
        <v>32</v>
      </c>
      <c r="G857">
        <v>38</v>
      </c>
    </row>
    <row r="858" spans="1:7" x14ac:dyDescent="0.25">
      <c r="A858">
        <v>856</v>
      </c>
      <c r="B858">
        <v>66</v>
      </c>
      <c r="C858">
        <v>0</v>
      </c>
      <c r="D858" t="s">
        <v>9504</v>
      </c>
      <c r="E858" t="s">
        <v>9504</v>
      </c>
      <c r="F858">
        <v>32</v>
      </c>
      <c r="G858">
        <v>38</v>
      </c>
    </row>
    <row r="859" spans="1:7" x14ac:dyDescent="0.25">
      <c r="A859">
        <v>857</v>
      </c>
      <c r="B859">
        <v>33</v>
      </c>
      <c r="C859">
        <v>0</v>
      </c>
      <c r="D859" t="s">
        <v>9505</v>
      </c>
      <c r="E859" t="s">
        <v>9505</v>
      </c>
      <c r="F859">
        <v>32</v>
      </c>
      <c r="G859">
        <v>38</v>
      </c>
    </row>
    <row r="860" spans="1:7" x14ac:dyDescent="0.25">
      <c r="A860">
        <v>858</v>
      </c>
      <c r="B860">
        <v>33</v>
      </c>
      <c r="C860">
        <v>0</v>
      </c>
      <c r="D860" t="s">
        <v>9506</v>
      </c>
      <c r="E860" t="s">
        <v>9506</v>
      </c>
      <c r="F860">
        <v>32</v>
      </c>
      <c r="G860">
        <v>38</v>
      </c>
    </row>
    <row r="861" spans="1:7" x14ac:dyDescent="0.25">
      <c r="A861">
        <v>859</v>
      </c>
      <c r="B861">
        <v>10</v>
      </c>
      <c r="C861">
        <v>0</v>
      </c>
      <c r="D861" t="s">
        <v>9507</v>
      </c>
      <c r="E861" t="s">
        <v>9507</v>
      </c>
      <c r="F861">
        <v>32</v>
      </c>
      <c r="G861">
        <v>38</v>
      </c>
    </row>
    <row r="862" spans="1:7" x14ac:dyDescent="0.25">
      <c r="A862">
        <v>860</v>
      </c>
      <c r="B862">
        <v>58</v>
      </c>
      <c r="C862">
        <v>0</v>
      </c>
      <c r="D862" t="s">
        <v>9508</v>
      </c>
      <c r="E862" t="s">
        <v>9508</v>
      </c>
      <c r="F862">
        <v>32</v>
      </c>
      <c r="G862">
        <v>38</v>
      </c>
    </row>
    <row r="863" spans="1:7" x14ac:dyDescent="0.25">
      <c r="A863">
        <v>861</v>
      </c>
      <c r="B863">
        <v>54</v>
      </c>
      <c r="C863">
        <v>0</v>
      </c>
      <c r="D863" t="s">
        <v>9509</v>
      </c>
      <c r="E863" t="s">
        <v>9509</v>
      </c>
      <c r="F863">
        <v>32</v>
      </c>
      <c r="G863">
        <v>38</v>
      </c>
    </row>
    <row r="864" spans="1:7" x14ac:dyDescent="0.25">
      <c r="A864">
        <v>862</v>
      </c>
      <c r="B864">
        <v>4</v>
      </c>
      <c r="C864">
        <v>0</v>
      </c>
      <c r="D864" t="s">
        <v>9510</v>
      </c>
      <c r="E864" t="s">
        <v>9510</v>
      </c>
      <c r="F864">
        <v>32</v>
      </c>
      <c r="G864">
        <v>38</v>
      </c>
    </row>
    <row r="865" spans="1:7" x14ac:dyDescent="0.25">
      <c r="A865">
        <v>863</v>
      </c>
      <c r="B865">
        <v>1</v>
      </c>
      <c r="C865">
        <v>0</v>
      </c>
      <c r="D865" t="s">
        <v>9511</v>
      </c>
      <c r="E865" t="s">
        <v>9511</v>
      </c>
      <c r="F865">
        <v>32</v>
      </c>
      <c r="G865">
        <v>38</v>
      </c>
    </row>
    <row r="866" spans="1:7" x14ac:dyDescent="0.25">
      <c r="A866">
        <v>864</v>
      </c>
      <c r="B866">
        <v>25</v>
      </c>
      <c r="C866">
        <v>0</v>
      </c>
      <c r="D866" t="s">
        <v>9512</v>
      </c>
      <c r="E866" t="s">
        <v>9512</v>
      </c>
      <c r="F866">
        <v>32</v>
      </c>
      <c r="G866">
        <v>38</v>
      </c>
    </row>
    <row r="867" spans="1:7" x14ac:dyDescent="0.25">
      <c r="A867">
        <v>865</v>
      </c>
      <c r="B867">
        <v>10</v>
      </c>
      <c r="C867">
        <v>0</v>
      </c>
      <c r="D867" t="s">
        <v>9513</v>
      </c>
      <c r="E867" t="s">
        <v>9514</v>
      </c>
      <c r="F867">
        <v>32</v>
      </c>
      <c r="G867">
        <v>38</v>
      </c>
    </row>
    <row r="868" spans="1:7" x14ac:dyDescent="0.25">
      <c r="A868">
        <v>866</v>
      </c>
      <c r="B868">
        <v>8</v>
      </c>
      <c r="C868">
        <v>0</v>
      </c>
      <c r="D868" t="s">
        <v>9515</v>
      </c>
      <c r="E868" t="s">
        <v>9515</v>
      </c>
      <c r="F868">
        <v>32</v>
      </c>
      <c r="G868">
        <v>38</v>
      </c>
    </row>
    <row r="869" spans="1:7" x14ac:dyDescent="0.25">
      <c r="A869">
        <v>867</v>
      </c>
      <c r="B869">
        <v>59</v>
      </c>
      <c r="C869">
        <v>0</v>
      </c>
      <c r="D869" t="s">
        <v>9516</v>
      </c>
      <c r="E869" t="s">
        <v>9516</v>
      </c>
      <c r="F869">
        <v>32</v>
      </c>
      <c r="G869">
        <v>38</v>
      </c>
    </row>
    <row r="870" spans="1:7" x14ac:dyDescent="0.25">
      <c r="A870">
        <v>868</v>
      </c>
      <c r="B870">
        <v>8</v>
      </c>
      <c r="C870">
        <v>300</v>
      </c>
      <c r="D870" t="s">
        <v>9517</v>
      </c>
      <c r="F870">
        <v>32</v>
      </c>
      <c r="G870">
        <v>37</v>
      </c>
    </row>
    <row r="871" spans="1:7" x14ac:dyDescent="0.25">
      <c r="A871">
        <v>869</v>
      </c>
      <c r="B871">
        <v>23</v>
      </c>
      <c r="C871">
        <v>0</v>
      </c>
      <c r="D871" t="s">
        <v>9518</v>
      </c>
      <c r="E871" t="s">
        <v>9518</v>
      </c>
      <c r="F871">
        <v>32</v>
      </c>
      <c r="G871">
        <v>38</v>
      </c>
    </row>
    <row r="872" spans="1:7" x14ac:dyDescent="0.25">
      <c r="A872">
        <v>870</v>
      </c>
      <c r="B872">
        <v>40</v>
      </c>
      <c r="C872">
        <v>0</v>
      </c>
      <c r="D872" t="s">
        <v>9519</v>
      </c>
      <c r="E872" t="s">
        <v>9519</v>
      </c>
      <c r="F872">
        <v>31</v>
      </c>
      <c r="G872">
        <v>37</v>
      </c>
    </row>
    <row r="873" spans="1:7" x14ac:dyDescent="0.25">
      <c r="A873">
        <v>871</v>
      </c>
      <c r="B873">
        <v>40</v>
      </c>
      <c r="C873">
        <v>0</v>
      </c>
      <c r="D873" t="s">
        <v>9520</v>
      </c>
      <c r="E873" t="s">
        <v>9520</v>
      </c>
      <c r="F873">
        <v>31</v>
      </c>
      <c r="G873">
        <v>37</v>
      </c>
    </row>
    <row r="874" spans="1:7" x14ac:dyDescent="0.25">
      <c r="A874">
        <v>872</v>
      </c>
      <c r="B874">
        <v>65</v>
      </c>
      <c r="C874">
        <v>0</v>
      </c>
      <c r="D874" t="s">
        <v>9521</v>
      </c>
      <c r="F874">
        <v>32</v>
      </c>
      <c r="G874">
        <v>37</v>
      </c>
    </row>
    <row r="875" spans="1:7" x14ac:dyDescent="0.25">
      <c r="A875">
        <v>873</v>
      </c>
      <c r="B875">
        <v>40</v>
      </c>
      <c r="C875">
        <v>0</v>
      </c>
      <c r="D875" t="s">
        <v>9522</v>
      </c>
      <c r="E875" t="s">
        <v>9522</v>
      </c>
      <c r="F875">
        <v>31</v>
      </c>
      <c r="G875">
        <v>37</v>
      </c>
    </row>
    <row r="876" spans="1:7" x14ac:dyDescent="0.25">
      <c r="A876">
        <v>874</v>
      </c>
      <c r="B876">
        <v>40</v>
      </c>
      <c r="C876">
        <v>0</v>
      </c>
      <c r="D876" t="s">
        <v>9523</v>
      </c>
      <c r="E876" t="s">
        <v>9523</v>
      </c>
      <c r="F876">
        <v>31</v>
      </c>
      <c r="G876">
        <v>37</v>
      </c>
    </row>
    <row r="877" spans="1:7" x14ac:dyDescent="0.25">
      <c r="A877">
        <v>875</v>
      </c>
      <c r="B877">
        <v>40</v>
      </c>
      <c r="C877">
        <v>0</v>
      </c>
      <c r="D877" t="s">
        <v>9524</v>
      </c>
      <c r="E877" t="s">
        <v>9524</v>
      </c>
      <c r="F877">
        <v>31</v>
      </c>
      <c r="G877">
        <v>37</v>
      </c>
    </row>
    <row r="878" spans="1:7" x14ac:dyDescent="0.25">
      <c r="A878">
        <v>876</v>
      </c>
      <c r="B878">
        <v>40</v>
      </c>
      <c r="C878">
        <v>0</v>
      </c>
      <c r="D878" t="s">
        <v>9128</v>
      </c>
      <c r="E878" t="s">
        <v>9128</v>
      </c>
      <c r="F878">
        <v>31</v>
      </c>
      <c r="G878">
        <v>37</v>
      </c>
    </row>
    <row r="879" spans="1:7" x14ac:dyDescent="0.25">
      <c r="A879">
        <v>877</v>
      </c>
      <c r="B879">
        <v>40</v>
      </c>
      <c r="C879">
        <v>0</v>
      </c>
      <c r="D879" t="s">
        <v>9525</v>
      </c>
      <c r="E879" t="s">
        <v>9525</v>
      </c>
      <c r="F879">
        <v>31</v>
      </c>
      <c r="G879">
        <v>37</v>
      </c>
    </row>
    <row r="880" spans="1:7" x14ac:dyDescent="0.25">
      <c r="A880">
        <v>878</v>
      </c>
      <c r="B880">
        <v>40</v>
      </c>
      <c r="C880">
        <v>0</v>
      </c>
      <c r="D880" t="s">
        <v>9526</v>
      </c>
      <c r="E880" t="s">
        <v>9526</v>
      </c>
      <c r="F880">
        <v>31</v>
      </c>
      <c r="G880">
        <v>37</v>
      </c>
    </row>
    <row r="881" spans="1:7" x14ac:dyDescent="0.25">
      <c r="A881">
        <v>879</v>
      </c>
      <c r="B881">
        <v>40</v>
      </c>
      <c r="C881">
        <v>0</v>
      </c>
      <c r="D881" t="s">
        <v>9527</v>
      </c>
      <c r="E881" t="s">
        <v>9527</v>
      </c>
      <c r="F881">
        <v>31</v>
      </c>
      <c r="G881">
        <v>37</v>
      </c>
    </row>
    <row r="882" spans="1:7" x14ac:dyDescent="0.25">
      <c r="A882">
        <v>880</v>
      </c>
      <c r="B882">
        <v>40</v>
      </c>
      <c r="C882">
        <v>0</v>
      </c>
      <c r="D882" t="s">
        <v>9528</v>
      </c>
      <c r="E882" t="s">
        <v>9528</v>
      </c>
      <c r="F882">
        <v>31</v>
      </c>
      <c r="G882">
        <v>37</v>
      </c>
    </row>
    <row r="883" spans="1:7" x14ac:dyDescent="0.25">
      <c r="A883">
        <v>881</v>
      </c>
      <c r="B883">
        <v>40</v>
      </c>
      <c r="C883">
        <v>0</v>
      </c>
      <c r="D883" t="s">
        <v>9529</v>
      </c>
      <c r="E883" t="s">
        <v>9529</v>
      </c>
      <c r="F883">
        <v>31</v>
      </c>
      <c r="G883">
        <v>38</v>
      </c>
    </row>
    <row r="884" spans="1:7" x14ac:dyDescent="0.25">
      <c r="A884">
        <v>882</v>
      </c>
      <c r="B884">
        <v>40</v>
      </c>
      <c r="C884">
        <v>0</v>
      </c>
      <c r="D884" t="s">
        <v>9530</v>
      </c>
      <c r="E884" t="s">
        <v>9530</v>
      </c>
      <c r="F884">
        <v>31</v>
      </c>
      <c r="G884">
        <v>37</v>
      </c>
    </row>
    <row r="885" spans="1:7" x14ac:dyDescent="0.25">
      <c r="A885">
        <v>883</v>
      </c>
      <c r="B885">
        <v>40</v>
      </c>
      <c r="C885">
        <v>0</v>
      </c>
      <c r="D885" t="s">
        <v>9531</v>
      </c>
      <c r="E885" t="s">
        <v>9531</v>
      </c>
      <c r="F885">
        <v>31</v>
      </c>
      <c r="G885">
        <v>37</v>
      </c>
    </row>
    <row r="886" spans="1:7" x14ac:dyDescent="0.25">
      <c r="A886">
        <v>884</v>
      </c>
      <c r="B886">
        <v>40</v>
      </c>
      <c r="C886">
        <v>0</v>
      </c>
      <c r="D886" t="s">
        <v>9532</v>
      </c>
      <c r="E886" t="s">
        <v>9532</v>
      </c>
      <c r="F886">
        <v>31</v>
      </c>
      <c r="G886">
        <v>37</v>
      </c>
    </row>
    <row r="887" spans="1:7" x14ac:dyDescent="0.25">
      <c r="A887">
        <v>885</v>
      </c>
      <c r="B887">
        <v>40</v>
      </c>
      <c r="C887">
        <v>0</v>
      </c>
      <c r="D887" t="s">
        <v>9533</v>
      </c>
      <c r="E887" t="s">
        <v>9533</v>
      </c>
      <c r="F887">
        <v>31</v>
      </c>
      <c r="G887">
        <v>37</v>
      </c>
    </row>
    <row r="888" spans="1:7" x14ac:dyDescent="0.25">
      <c r="A888">
        <v>886</v>
      </c>
      <c r="B888">
        <v>40</v>
      </c>
      <c r="C888">
        <v>300</v>
      </c>
      <c r="D888" t="s">
        <v>9534</v>
      </c>
      <c r="E888" t="s">
        <v>9534</v>
      </c>
      <c r="F888">
        <v>31</v>
      </c>
      <c r="G888">
        <v>38</v>
      </c>
    </row>
    <row r="889" spans="1:7" x14ac:dyDescent="0.25">
      <c r="A889">
        <v>887</v>
      </c>
      <c r="B889">
        <v>40</v>
      </c>
      <c r="C889">
        <v>0</v>
      </c>
      <c r="D889" t="s">
        <v>9535</v>
      </c>
      <c r="E889" t="s">
        <v>9535</v>
      </c>
      <c r="F889">
        <v>31</v>
      </c>
      <c r="G889">
        <v>37</v>
      </c>
    </row>
    <row r="890" spans="1:7" x14ac:dyDescent="0.25">
      <c r="A890">
        <v>888</v>
      </c>
      <c r="B890">
        <v>40</v>
      </c>
      <c r="C890">
        <v>0</v>
      </c>
      <c r="D890" t="s">
        <v>9536</v>
      </c>
      <c r="E890" t="s">
        <v>9536</v>
      </c>
      <c r="F890">
        <v>31</v>
      </c>
      <c r="G890">
        <v>37</v>
      </c>
    </row>
    <row r="891" spans="1:7" x14ac:dyDescent="0.25">
      <c r="A891">
        <v>889</v>
      </c>
      <c r="B891">
        <v>40</v>
      </c>
      <c r="C891">
        <v>0</v>
      </c>
      <c r="D891" t="s">
        <v>9537</v>
      </c>
      <c r="E891" t="s">
        <v>9537</v>
      </c>
      <c r="F891">
        <v>31</v>
      </c>
      <c r="G891">
        <v>37</v>
      </c>
    </row>
    <row r="892" spans="1:7" x14ac:dyDescent="0.25">
      <c r="A892">
        <v>890</v>
      </c>
      <c r="B892">
        <v>40</v>
      </c>
      <c r="C892">
        <v>0</v>
      </c>
      <c r="D892" t="s">
        <v>9538</v>
      </c>
      <c r="E892" t="s">
        <v>9538</v>
      </c>
      <c r="F892">
        <v>31</v>
      </c>
      <c r="G892">
        <v>37</v>
      </c>
    </row>
    <row r="893" spans="1:7" x14ac:dyDescent="0.25">
      <c r="A893">
        <v>891</v>
      </c>
      <c r="B893">
        <v>40</v>
      </c>
      <c r="C893">
        <v>0</v>
      </c>
      <c r="D893" t="s">
        <v>9539</v>
      </c>
      <c r="E893" t="s">
        <v>9539</v>
      </c>
      <c r="F893">
        <v>31</v>
      </c>
      <c r="G893">
        <v>38</v>
      </c>
    </row>
    <row r="894" spans="1:7" x14ac:dyDescent="0.25">
      <c r="A894">
        <v>892</v>
      </c>
      <c r="B894">
        <v>40</v>
      </c>
      <c r="C894">
        <v>0</v>
      </c>
      <c r="D894" t="s">
        <v>9540</v>
      </c>
      <c r="E894" t="s">
        <v>9540</v>
      </c>
      <c r="F894">
        <v>31</v>
      </c>
      <c r="G894">
        <v>38</v>
      </c>
    </row>
    <row r="895" spans="1:7" x14ac:dyDescent="0.25">
      <c r="A895">
        <v>893</v>
      </c>
      <c r="B895">
        <v>40</v>
      </c>
      <c r="C895">
        <v>0</v>
      </c>
      <c r="D895" t="s">
        <v>27</v>
      </c>
      <c r="E895" t="s">
        <v>27</v>
      </c>
      <c r="F895">
        <v>31</v>
      </c>
      <c r="G895">
        <v>38</v>
      </c>
    </row>
    <row r="896" spans="1:7" x14ac:dyDescent="0.25">
      <c r="A896">
        <v>894</v>
      </c>
      <c r="B896">
        <v>40</v>
      </c>
      <c r="C896">
        <v>0</v>
      </c>
      <c r="D896" t="s">
        <v>20</v>
      </c>
      <c r="E896" t="s">
        <v>20</v>
      </c>
      <c r="F896">
        <v>31</v>
      </c>
      <c r="G896">
        <v>38</v>
      </c>
    </row>
    <row r="897" spans="1:7" x14ac:dyDescent="0.25">
      <c r="A897">
        <v>895</v>
      </c>
      <c r="B897">
        <v>40</v>
      </c>
      <c r="C897">
        <v>0</v>
      </c>
      <c r="D897" t="s">
        <v>34</v>
      </c>
      <c r="E897" t="s">
        <v>34</v>
      </c>
      <c r="F897">
        <v>31</v>
      </c>
      <c r="G897">
        <v>37</v>
      </c>
    </row>
    <row r="898" spans="1:7" x14ac:dyDescent="0.25">
      <c r="A898">
        <v>896</v>
      </c>
      <c r="B898">
        <v>40</v>
      </c>
      <c r="C898">
        <v>0</v>
      </c>
      <c r="D898" t="s">
        <v>9541</v>
      </c>
      <c r="E898" t="s">
        <v>9541</v>
      </c>
      <c r="F898">
        <v>31</v>
      </c>
      <c r="G898">
        <v>38</v>
      </c>
    </row>
    <row r="899" spans="1:7" x14ac:dyDescent="0.25">
      <c r="A899">
        <v>897</v>
      </c>
      <c r="B899">
        <v>40</v>
      </c>
      <c r="C899">
        <v>0</v>
      </c>
      <c r="D899" t="s">
        <v>9542</v>
      </c>
      <c r="E899" t="s">
        <v>9542</v>
      </c>
      <c r="F899">
        <v>31</v>
      </c>
      <c r="G899">
        <v>38</v>
      </c>
    </row>
    <row r="900" spans="1:7" x14ac:dyDescent="0.25">
      <c r="A900">
        <v>898</v>
      </c>
      <c r="B900">
        <v>40</v>
      </c>
      <c r="C900">
        <v>0</v>
      </c>
      <c r="D900" t="s">
        <v>834</v>
      </c>
      <c r="E900" t="s">
        <v>834</v>
      </c>
      <c r="F900">
        <v>31</v>
      </c>
      <c r="G900">
        <v>37</v>
      </c>
    </row>
    <row r="901" spans="1:7" x14ac:dyDescent="0.25">
      <c r="A901">
        <v>899</v>
      </c>
      <c r="B901">
        <v>24</v>
      </c>
      <c r="C901">
        <v>0</v>
      </c>
      <c r="D901" t="s">
        <v>9543</v>
      </c>
      <c r="E901" t="s">
        <v>9543</v>
      </c>
      <c r="F901">
        <v>32</v>
      </c>
      <c r="G901">
        <v>38</v>
      </c>
    </row>
    <row r="902" spans="1:7" x14ac:dyDescent="0.25">
      <c r="A902">
        <v>900</v>
      </c>
      <c r="B902">
        <v>40</v>
      </c>
      <c r="C902">
        <v>0</v>
      </c>
      <c r="D902" t="s">
        <v>1127</v>
      </c>
      <c r="E902" t="s">
        <v>1127</v>
      </c>
      <c r="F902">
        <v>31</v>
      </c>
      <c r="G902">
        <v>38</v>
      </c>
    </row>
    <row r="903" spans="1:7" x14ac:dyDescent="0.25">
      <c r="A903">
        <v>901</v>
      </c>
      <c r="B903">
        <v>40</v>
      </c>
      <c r="C903">
        <v>0</v>
      </c>
      <c r="D903" t="s">
        <v>9544</v>
      </c>
      <c r="E903" t="s">
        <v>9544</v>
      </c>
      <c r="F903">
        <v>31</v>
      </c>
      <c r="G903">
        <v>37</v>
      </c>
    </row>
    <row r="904" spans="1:7" x14ac:dyDescent="0.25">
      <c r="A904">
        <v>902</v>
      </c>
      <c r="B904">
        <v>40</v>
      </c>
      <c r="C904">
        <v>0</v>
      </c>
      <c r="D904" t="s">
        <v>9545</v>
      </c>
      <c r="E904" t="s">
        <v>9545</v>
      </c>
      <c r="F904">
        <v>31</v>
      </c>
      <c r="G904">
        <v>37</v>
      </c>
    </row>
    <row r="905" spans="1:7" x14ac:dyDescent="0.25">
      <c r="A905">
        <v>903</v>
      </c>
      <c r="B905">
        <v>40</v>
      </c>
      <c r="C905">
        <v>0</v>
      </c>
      <c r="D905" t="s">
        <v>61</v>
      </c>
      <c r="E905" t="s">
        <v>61</v>
      </c>
      <c r="F905">
        <v>31</v>
      </c>
      <c r="G905">
        <v>38</v>
      </c>
    </row>
    <row r="906" spans="1:7" x14ac:dyDescent="0.25">
      <c r="A906">
        <v>904</v>
      </c>
      <c r="B906">
        <v>40</v>
      </c>
      <c r="C906">
        <v>0</v>
      </c>
      <c r="D906" t="s">
        <v>1103</v>
      </c>
      <c r="E906" t="s">
        <v>1103</v>
      </c>
      <c r="F906">
        <v>31</v>
      </c>
      <c r="G906">
        <v>37</v>
      </c>
    </row>
    <row r="907" spans="1:7" x14ac:dyDescent="0.25">
      <c r="A907">
        <v>905</v>
      </c>
      <c r="B907">
        <v>40</v>
      </c>
      <c r="C907">
        <v>0</v>
      </c>
      <c r="D907" t="s">
        <v>1251</v>
      </c>
      <c r="E907" t="s">
        <v>1251</v>
      </c>
      <c r="F907">
        <v>31</v>
      </c>
      <c r="G907">
        <v>37</v>
      </c>
    </row>
    <row r="908" spans="1:7" x14ac:dyDescent="0.25">
      <c r="A908">
        <v>906</v>
      </c>
      <c r="B908">
        <v>40</v>
      </c>
      <c r="C908">
        <v>0</v>
      </c>
      <c r="D908" t="s">
        <v>862</v>
      </c>
      <c r="E908" t="s">
        <v>862</v>
      </c>
      <c r="F908">
        <v>31</v>
      </c>
      <c r="G908">
        <v>38</v>
      </c>
    </row>
    <row r="909" spans="1:7" x14ac:dyDescent="0.25">
      <c r="A909">
        <v>907</v>
      </c>
      <c r="B909">
        <v>40</v>
      </c>
      <c r="C909">
        <v>0</v>
      </c>
      <c r="D909" t="s">
        <v>9546</v>
      </c>
      <c r="E909" t="s">
        <v>9546</v>
      </c>
      <c r="F909">
        <v>31</v>
      </c>
      <c r="G909">
        <v>38</v>
      </c>
    </row>
    <row r="910" spans="1:7" x14ac:dyDescent="0.25">
      <c r="A910">
        <v>908</v>
      </c>
      <c r="B910">
        <v>40</v>
      </c>
      <c r="C910">
        <v>0</v>
      </c>
      <c r="D910" t="s">
        <v>9547</v>
      </c>
      <c r="E910" t="s">
        <v>9547</v>
      </c>
      <c r="F910">
        <v>31</v>
      </c>
      <c r="G910">
        <v>38</v>
      </c>
    </row>
    <row r="911" spans="1:7" x14ac:dyDescent="0.25">
      <c r="A911">
        <v>909</v>
      </c>
      <c r="B911">
        <v>40</v>
      </c>
      <c r="C911">
        <v>0</v>
      </c>
      <c r="D911" t="s">
        <v>1125</v>
      </c>
      <c r="E911" t="s">
        <v>1125</v>
      </c>
      <c r="F911">
        <v>31</v>
      </c>
      <c r="G911">
        <v>38</v>
      </c>
    </row>
    <row r="912" spans="1:7" x14ac:dyDescent="0.25">
      <c r="A912">
        <v>910</v>
      </c>
      <c r="B912">
        <v>40</v>
      </c>
      <c r="C912">
        <v>0</v>
      </c>
      <c r="D912" t="s">
        <v>649</v>
      </c>
      <c r="E912" t="s">
        <v>649</v>
      </c>
      <c r="F912">
        <v>31</v>
      </c>
      <c r="G912">
        <v>38</v>
      </c>
    </row>
    <row r="913" spans="1:7" x14ac:dyDescent="0.25">
      <c r="A913">
        <v>911</v>
      </c>
      <c r="B913">
        <v>40</v>
      </c>
      <c r="C913">
        <v>0</v>
      </c>
      <c r="D913" t="s">
        <v>9548</v>
      </c>
      <c r="E913" t="s">
        <v>9548</v>
      </c>
      <c r="F913">
        <v>31</v>
      </c>
      <c r="G913">
        <v>38</v>
      </c>
    </row>
    <row r="914" spans="1:7" x14ac:dyDescent="0.25">
      <c r="A914">
        <v>912</v>
      </c>
      <c r="B914">
        <v>40</v>
      </c>
      <c r="C914">
        <v>0</v>
      </c>
      <c r="D914" t="s">
        <v>1106</v>
      </c>
      <c r="E914" t="s">
        <v>1106</v>
      </c>
      <c r="F914">
        <v>31</v>
      </c>
      <c r="G914">
        <v>38</v>
      </c>
    </row>
    <row r="915" spans="1:7" x14ac:dyDescent="0.25">
      <c r="A915">
        <v>913</v>
      </c>
      <c r="B915">
        <v>40</v>
      </c>
      <c r="C915">
        <v>0</v>
      </c>
      <c r="D915" t="s">
        <v>9549</v>
      </c>
      <c r="E915" t="s">
        <v>9549</v>
      </c>
      <c r="F915">
        <v>31</v>
      </c>
      <c r="G915">
        <v>38</v>
      </c>
    </row>
    <row r="916" spans="1:7" x14ac:dyDescent="0.25">
      <c r="A916">
        <v>914</v>
      </c>
      <c r="B916">
        <v>40</v>
      </c>
      <c r="C916">
        <v>0</v>
      </c>
      <c r="D916" t="s">
        <v>9550</v>
      </c>
      <c r="E916" t="s">
        <v>9550</v>
      </c>
      <c r="F916">
        <v>31</v>
      </c>
      <c r="G916">
        <v>37</v>
      </c>
    </row>
    <row r="917" spans="1:7" x14ac:dyDescent="0.25">
      <c r="A917">
        <v>915</v>
      </c>
      <c r="B917">
        <v>40</v>
      </c>
      <c r="C917">
        <v>0</v>
      </c>
      <c r="D917" t="s">
        <v>1532</v>
      </c>
      <c r="E917" t="s">
        <v>1532</v>
      </c>
      <c r="F917">
        <v>31</v>
      </c>
      <c r="G917">
        <v>37</v>
      </c>
    </row>
    <row r="918" spans="1:7" x14ac:dyDescent="0.25">
      <c r="A918">
        <v>916</v>
      </c>
      <c r="B918">
        <v>40</v>
      </c>
      <c r="C918">
        <v>0</v>
      </c>
      <c r="D918" t="s">
        <v>9551</v>
      </c>
      <c r="E918" t="s">
        <v>9551</v>
      </c>
      <c r="F918">
        <v>31</v>
      </c>
      <c r="G918">
        <v>37</v>
      </c>
    </row>
    <row r="919" spans="1:7" x14ac:dyDescent="0.25">
      <c r="A919">
        <v>917</v>
      </c>
      <c r="B919">
        <v>40</v>
      </c>
      <c r="C919">
        <v>0</v>
      </c>
      <c r="D919" t="s">
        <v>9552</v>
      </c>
      <c r="E919" t="s">
        <v>9552</v>
      </c>
      <c r="F919">
        <v>31</v>
      </c>
      <c r="G919">
        <v>37</v>
      </c>
    </row>
    <row r="920" spans="1:7" x14ac:dyDescent="0.25">
      <c r="A920">
        <v>918</v>
      </c>
      <c r="B920">
        <v>40</v>
      </c>
      <c r="C920">
        <v>0</v>
      </c>
      <c r="D920" t="s">
        <v>1134</v>
      </c>
      <c r="E920" t="s">
        <v>1134</v>
      </c>
      <c r="F920">
        <v>31</v>
      </c>
      <c r="G920">
        <v>38</v>
      </c>
    </row>
    <row r="921" spans="1:7" x14ac:dyDescent="0.25">
      <c r="A921">
        <v>919</v>
      </c>
      <c r="B921">
        <v>10</v>
      </c>
      <c r="C921">
        <v>300</v>
      </c>
      <c r="D921" t="s">
        <v>9553</v>
      </c>
      <c r="F921">
        <v>32</v>
      </c>
      <c r="G921">
        <v>38</v>
      </c>
    </row>
    <row r="922" spans="1:7" x14ac:dyDescent="0.25">
      <c r="A922">
        <v>920</v>
      </c>
      <c r="B922">
        <v>40</v>
      </c>
      <c r="C922">
        <v>0</v>
      </c>
      <c r="D922" t="s">
        <v>9554</v>
      </c>
      <c r="E922" t="s">
        <v>9554</v>
      </c>
      <c r="F922">
        <v>31</v>
      </c>
      <c r="G922">
        <v>37</v>
      </c>
    </row>
    <row r="923" spans="1:7" x14ac:dyDescent="0.25">
      <c r="A923">
        <v>921</v>
      </c>
      <c r="B923">
        <v>25</v>
      </c>
      <c r="C923">
        <v>300</v>
      </c>
      <c r="D923" t="s">
        <v>9555</v>
      </c>
      <c r="F923">
        <v>32</v>
      </c>
      <c r="G923">
        <v>37</v>
      </c>
    </row>
    <row r="924" spans="1:7" x14ac:dyDescent="0.25">
      <c r="A924">
        <v>922</v>
      </c>
      <c r="B924">
        <v>40</v>
      </c>
      <c r="C924">
        <v>0</v>
      </c>
      <c r="D924" t="s">
        <v>1784</v>
      </c>
      <c r="E924" t="s">
        <v>1784</v>
      </c>
      <c r="F924">
        <v>31</v>
      </c>
      <c r="G924">
        <v>38</v>
      </c>
    </row>
    <row r="925" spans="1:7" x14ac:dyDescent="0.25">
      <c r="A925">
        <v>923</v>
      </c>
      <c r="B925">
        <v>40</v>
      </c>
      <c r="C925">
        <v>0</v>
      </c>
      <c r="D925" t="s">
        <v>9556</v>
      </c>
      <c r="E925" t="s">
        <v>9556</v>
      </c>
      <c r="F925">
        <v>31</v>
      </c>
      <c r="G925">
        <v>37</v>
      </c>
    </row>
    <row r="926" spans="1:7" x14ac:dyDescent="0.25">
      <c r="A926">
        <v>924</v>
      </c>
      <c r="B926">
        <v>40</v>
      </c>
      <c r="C926">
        <v>0</v>
      </c>
      <c r="D926" t="s">
        <v>592</v>
      </c>
      <c r="E926" t="s">
        <v>592</v>
      </c>
      <c r="F926">
        <v>31</v>
      </c>
      <c r="G926">
        <v>38</v>
      </c>
    </row>
    <row r="927" spans="1:7" x14ac:dyDescent="0.25">
      <c r="A927">
        <v>925</v>
      </c>
      <c r="B927">
        <v>40</v>
      </c>
      <c r="C927">
        <v>0</v>
      </c>
      <c r="D927" t="s">
        <v>1135</v>
      </c>
      <c r="E927" t="s">
        <v>1135</v>
      </c>
      <c r="F927">
        <v>31</v>
      </c>
      <c r="G927">
        <v>38</v>
      </c>
    </row>
    <row r="928" spans="1:7" x14ac:dyDescent="0.25">
      <c r="A928">
        <v>926</v>
      </c>
      <c r="B928">
        <v>40</v>
      </c>
      <c r="C928">
        <v>0</v>
      </c>
      <c r="D928" t="s">
        <v>9557</v>
      </c>
      <c r="E928" t="s">
        <v>9557</v>
      </c>
      <c r="F928">
        <v>31</v>
      </c>
      <c r="G928">
        <v>38</v>
      </c>
    </row>
    <row r="929" spans="1:7" x14ac:dyDescent="0.25">
      <c r="A929">
        <v>927</v>
      </c>
      <c r="B929">
        <v>40</v>
      </c>
      <c r="C929">
        <v>0</v>
      </c>
      <c r="D929" t="s">
        <v>9558</v>
      </c>
      <c r="E929" t="s">
        <v>9558</v>
      </c>
      <c r="F929">
        <v>31</v>
      </c>
      <c r="G929">
        <v>38</v>
      </c>
    </row>
    <row r="930" spans="1:7" x14ac:dyDescent="0.25">
      <c r="A930">
        <v>928</v>
      </c>
      <c r="B930">
        <v>40</v>
      </c>
      <c r="C930">
        <v>0</v>
      </c>
      <c r="D930" t="s">
        <v>9559</v>
      </c>
      <c r="E930" t="s">
        <v>9559</v>
      </c>
      <c r="F930">
        <v>31</v>
      </c>
      <c r="G930">
        <v>38</v>
      </c>
    </row>
    <row r="931" spans="1:7" x14ac:dyDescent="0.25">
      <c r="A931">
        <v>929</v>
      </c>
      <c r="B931">
        <v>40</v>
      </c>
      <c r="C931">
        <v>0</v>
      </c>
      <c r="D931" t="s">
        <v>9560</v>
      </c>
      <c r="E931" t="s">
        <v>9560</v>
      </c>
      <c r="F931">
        <v>31</v>
      </c>
      <c r="G931">
        <v>37</v>
      </c>
    </row>
    <row r="932" spans="1:7" x14ac:dyDescent="0.25">
      <c r="A932">
        <v>930</v>
      </c>
      <c r="B932">
        <v>40</v>
      </c>
      <c r="C932">
        <v>0</v>
      </c>
      <c r="D932" t="s">
        <v>9561</v>
      </c>
      <c r="E932" t="s">
        <v>9561</v>
      </c>
      <c r="F932">
        <v>31</v>
      </c>
      <c r="G932">
        <v>38</v>
      </c>
    </row>
    <row r="933" spans="1:7" x14ac:dyDescent="0.25">
      <c r="A933">
        <v>931</v>
      </c>
      <c r="B933">
        <v>40</v>
      </c>
      <c r="C933">
        <v>0</v>
      </c>
      <c r="D933" t="s">
        <v>9562</v>
      </c>
      <c r="E933" t="s">
        <v>9562</v>
      </c>
      <c r="F933">
        <v>31</v>
      </c>
      <c r="G933">
        <v>38</v>
      </c>
    </row>
    <row r="934" spans="1:7" x14ac:dyDescent="0.25">
      <c r="A934">
        <v>932</v>
      </c>
      <c r="B934">
        <v>40</v>
      </c>
      <c r="C934">
        <v>0</v>
      </c>
      <c r="D934" t="s">
        <v>1117</v>
      </c>
      <c r="E934" t="s">
        <v>1117</v>
      </c>
      <c r="F934">
        <v>31</v>
      </c>
      <c r="G934">
        <v>38</v>
      </c>
    </row>
    <row r="935" spans="1:7" x14ac:dyDescent="0.25">
      <c r="A935">
        <v>933</v>
      </c>
      <c r="B935">
        <v>40</v>
      </c>
      <c r="C935">
        <v>0</v>
      </c>
      <c r="D935" t="s">
        <v>583</v>
      </c>
      <c r="E935" t="s">
        <v>583</v>
      </c>
      <c r="F935">
        <v>31</v>
      </c>
      <c r="G935">
        <v>38</v>
      </c>
    </row>
    <row r="936" spans="1:7" x14ac:dyDescent="0.25">
      <c r="A936">
        <v>934</v>
      </c>
      <c r="B936">
        <v>40</v>
      </c>
      <c r="C936">
        <v>0</v>
      </c>
      <c r="D936" t="s">
        <v>9563</v>
      </c>
      <c r="E936" t="s">
        <v>9563</v>
      </c>
      <c r="F936">
        <v>31</v>
      </c>
      <c r="G936">
        <v>37</v>
      </c>
    </row>
    <row r="937" spans="1:7" x14ac:dyDescent="0.25">
      <c r="A937">
        <v>935</v>
      </c>
      <c r="B937">
        <v>40</v>
      </c>
      <c r="C937">
        <v>0</v>
      </c>
      <c r="D937" t="s">
        <v>877</v>
      </c>
      <c r="E937" t="s">
        <v>877</v>
      </c>
      <c r="F937">
        <v>31</v>
      </c>
      <c r="G937">
        <v>38</v>
      </c>
    </row>
    <row r="938" spans="1:7" x14ac:dyDescent="0.25">
      <c r="A938">
        <v>936</v>
      </c>
      <c r="B938">
        <v>40</v>
      </c>
      <c r="C938">
        <v>0</v>
      </c>
      <c r="D938" t="s">
        <v>9564</v>
      </c>
      <c r="E938" t="s">
        <v>9564</v>
      </c>
      <c r="F938">
        <v>31</v>
      </c>
      <c r="G938">
        <v>38</v>
      </c>
    </row>
    <row r="939" spans="1:7" x14ac:dyDescent="0.25">
      <c r="A939">
        <v>937</v>
      </c>
      <c r="B939">
        <v>40</v>
      </c>
      <c r="C939">
        <v>0</v>
      </c>
      <c r="D939" t="s">
        <v>9565</v>
      </c>
      <c r="E939" t="s">
        <v>9565</v>
      </c>
      <c r="F939">
        <v>31</v>
      </c>
      <c r="G939">
        <v>37</v>
      </c>
    </row>
    <row r="940" spans="1:7" x14ac:dyDescent="0.25">
      <c r="A940">
        <v>938</v>
      </c>
      <c r="B940">
        <v>40</v>
      </c>
      <c r="C940">
        <v>0</v>
      </c>
      <c r="D940" t="s">
        <v>88</v>
      </c>
      <c r="E940" t="s">
        <v>88</v>
      </c>
      <c r="F940">
        <v>31</v>
      </c>
      <c r="G940">
        <v>38</v>
      </c>
    </row>
    <row r="941" spans="1:7" x14ac:dyDescent="0.25">
      <c r="A941">
        <v>939</v>
      </c>
      <c r="B941">
        <v>40</v>
      </c>
      <c r="C941">
        <v>0</v>
      </c>
      <c r="D941" t="s">
        <v>9566</v>
      </c>
      <c r="E941" t="s">
        <v>9566</v>
      </c>
      <c r="F941">
        <v>31</v>
      </c>
      <c r="G941">
        <v>38</v>
      </c>
    </row>
    <row r="942" spans="1:7" x14ac:dyDescent="0.25">
      <c r="A942">
        <v>940</v>
      </c>
      <c r="B942">
        <v>40</v>
      </c>
      <c r="C942">
        <v>0</v>
      </c>
      <c r="D942" t="s">
        <v>9567</v>
      </c>
      <c r="E942" t="s">
        <v>9567</v>
      </c>
      <c r="F942">
        <v>31</v>
      </c>
      <c r="G942">
        <v>37</v>
      </c>
    </row>
    <row r="943" spans="1:7" x14ac:dyDescent="0.25">
      <c r="A943">
        <v>941</v>
      </c>
      <c r="B943">
        <v>40</v>
      </c>
      <c r="C943">
        <v>200</v>
      </c>
      <c r="D943" t="s">
        <v>1627</v>
      </c>
      <c r="E943" t="s">
        <v>1627</v>
      </c>
      <c r="F943">
        <v>31</v>
      </c>
      <c r="G943">
        <v>37</v>
      </c>
    </row>
    <row r="944" spans="1:7" x14ac:dyDescent="0.25">
      <c r="A944">
        <v>942</v>
      </c>
      <c r="B944">
        <v>40</v>
      </c>
      <c r="C944">
        <v>0</v>
      </c>
      <c r="D944" t="s">
        <v>9568</v>
      </c>
      <c r="E944" t="s">
        <v>9568</v>
      </c>
      <c r="F944">
        <v>31</v>
      </c>
      <c r="G944">
        <v>37</v>
      </c>
    </row>
    <row r="945" spans="1:7" x14ac:dyDescent="0.25">
      <c r="A945">
        <v>943</v>
      </c>
      <c r="B945">
        <v>40</v>
      </c>
      <c r="C945">
        <v>0</v>
      </c>
      <c r="D945" t="s">
        <v>9569</v>
      </c>
      <c r="E945" t="s">
        <v>9569</v>
      </c>
      <c r="F945">
        <v>31</v>
      </c>
      <c r="G945">
        <v>38</v>
      </c>
    </row>
    <row r="946" spans="1:7" x14ac:dyDescent="0.25">
      <c r="A946">
        <v>944</v>
      </c>
      <c r="B946">
        <v>40</v>
      </c>
      <c r="C946">
        <v>0</v>
      </c>
      <c r="D946" t="s">
        <v>1163</v>
      </c>
      <c r="E946" t="s">
        <v>1163</v>
      </c>
      <c r="F946">
        <v>31</v>
      </c>
      <c r="G946">
        <v>38</v>
      </c>
    </row>
    <row r="947" spans="1:7" x14ac:dyDescent="0.25">
      <c r="A947">
        <v>945</v>
      </c>
      <c r="B947">
        <v>40</v>
      </c>
      <c r="C947">
        <v>0</v>
      </c>
      <c r="D947" t="s">
        <v>1178</v>
      </c>
      <c r="E947" t="s">
        <v>1178</v>
      </c>
      <c r="F947">
        <v>31</v>
      </c>
      <c r="G947">
        <v>38</v>
      </c>
    </row>
    <row r="948" spans="1:7" x14ac:dyDescent="0.25">
      <c r="A948">
        <v>946</v>
      </c>
      <c r="B948">
        <v>40</v>
      </c>
      <c r="C948">
        <v>0</v>
      </c>
      <c r="D948" t="s">
        <v>1120</v>
      </c>
      <c r="E948" t="s">
        <v>1120</v>
      </c>
      <c r="F948">
        <v>31</v>
      </c>
      <c r="G948">
        <v>38</v>
      </c>
    </row>
    <row r="949" spans="1:7" x14ac:dyDescent="0.25">
      <c r="A949">
        <v>947</v>
      </c>
      <c r="B949">
        <v>40</v>
      </c>
      <c r="C949">
        <v>0</v>
      </c>
      <c r="D949" t="s">
        <v>686</v>
      </c>
      <c r="E949" t="s">
        <v>686</v>
      </c>
      <c r="F949">
        <v>31</v>
      </c>
      <c r="G949">
        <v>38</v>
      </c>
    </row>
    <row r="950" spans="1:7" x14ac:dyDescent="0.25">
      <c r="A950">
        <v>948</v>
      </c>
      <c r="B950">
        <v>40</v>
      </c>
      <c r="C950">
        <v>0</v>
      </c>
      <c r="D950" t="s">
        <v>9570</v>
      </c>
      <c r="E950" t="s">
        <v>9570</v>
      </c>
      <c r="F950">
        <v>31</v>
      </c>
      <c r="G950">
        <v>38</v>
      </c>
    </row>
    <row r="951" spans="1:7" x14ac:dyDescent="0.25">
      <c r="A951">
        <v>949</v>
      </c>
      <c r="B951">
        <v>40</v>
      </c>
      <c r="C951">
        <v>0</v>
      </c>
      <c r="D951" t="s">
        <v>1798</v>
      </c>
      <c r="E951" t="s">
        <v>1798</v>
      </c>
      <c r="F951">
        <v>31</v>
      </c>
      <c r="G951">
        <v>38</v>
      </c>
    </row>
    <row r="952" spans="1:7" x14ac:dyDescent="0.25">
      <c r="A952">
        <v>950</v>
      </c>
      <c r="B952">
        <v>40</v>
      </c>
      <c r="C952">
        <v>0</v>
      </c>
      <c r="D952" t="s">
        <v>9102</v>
      </c>
      <c r="E952" t="s">
        <v>9102</v>
      </c>
      <c r="F952">
        <v>31</v>
      </c>
      <c r="G952">
        <v>38</v>
      </c>
    </row>
    <row r="953" spans="1:7" x14ac:dyDescent="0.25">
      <c r="A953">
        <v>951</v>
      </c>
      <c r="B953">
        <v>40</v>
      </c>
      <c r="C953">
        <v>0</v>
      </c>
      <c r="D953" t="s">
        <v>9571</v>
      </c>
      <c r="E953" t="s">
        <v>9571</v>
      </c>
      <c r="F953">
        <v>31</v>
      </c>
      <c r="G953">
        <v>37</v>
      </c>
    </row>
    <row r="954" spans="1:7" x14ac:dyDescent="0.25">
      <c r="A954">
        <v>952</v>
      </c>
      <c r="B954">
        <v>40</v>
      </c>
      <c r="C954">
        <v>0</v>
      </c>
      <c r="D954" t="s">
        <v>9572</v>
      </c>
      <c r="E954" t="s">
        <v>9572</v>
      </c>
      <c r="F954">
        <v>31</v>
      </c>
      <c r="G954">
        <v>38</v>
      </c>
    </row>
    <row r="955" spans="1:7" x14ac:dyDescent="0.25">
      <c r="A955">
        <v>953</v>
      </c>
      <c r="B955">
        <v>40</v>
      </c>
      <c r="C955">
        <v>0</v>
      </c>
      <c r="D955" t="s">
        <v>1168</v>
      </c>
      <c r="E955" t="s">
        <v>1168</v>
      </c>
      <c r="F955">
        <v>31</v>
      </c>
      <c r="G955">
        <v>38</v>
      </c>
    </row>
    <row r="956" spans="1:7" x14ac:dyDescent="0.25">
      <c r="A956">
        <v>954</v>
      </c>
      <c r="B956">
        <v>40</v>
      </c>
      <c r="C956">
        <v>0</v>
      </c>
      <c r="D956" t="s">
        <v>9573</v>
      </c>
      <c r="E956" t="s">
        <v>9573</v>
      </c>
      <c r="F956">
        <v>31</v>
      </c>
      <c r="G956">
        <v>37</v>
      </c>
    </row>
    <row r="957" spans="1:7" x14ac:dyDescent="0.25">
      <c r="A957">
        <v>955</v>
      </c>
      <c r="B957">
        <v>40</v>
      </c>
      <c r="C957">
        <v>0</v>
      </c>
      <c r="D957" t="s">
        <v>782</v>
      </c>
      <c r="E957" t="s">
        <v>782</v>
      </c>
      <c r="F957">
        <v>31</v>
      </c>
      <c r="G957">
        <v>37</v>
      </c>
    </row>
    <row r="958" spans="1:7" x14ac:dyDescent="0.25">
      <c r="A958">
        <v>956</v>
      </c>
      <c r="B958">
        <v>40</v>
      </c>
      <c r="C958">
        <v>0</v>
      </c>
      <c r="D958" t="s">
        <v>9574</v>
      </c>
      <c r="E958" t="s">
        <v>9574</v>
      </c>
      <c r="F958">
        <v>31</v>
      </c>
      <c r="G958">
        <v>37</v>
      </c>
    </row>
    <row r="959" spans="1:7" x14ac:dyDescent="0.25">
      <c r="A959">
        <v>957</v>
      </c>
      <c r="B959">
        <v>40</v>
      </c>
      <c r="C959">
        <v>0</v>
      </c>
      <c r="D959" t="s">
        <v>9575</v>
      </c>
      <c r="E959" t="s">
        <v>9575</v>
      </c>
      <c r="F959">
        <v>31</v>
      </c>
      <c r="G959">
        <v>38</v>
      </c>
    </row>
    <row r="960" spans="1:7" x14ac:dyDescent="0.25">
      <c r="A960">
        <v>958</v>
      </c>
      <c r="B960">
        <v>40</v>
      </c>
      <c r="C960">
        <v>0</v>
      </c>
      <c r="D960" t="s">
        <v>9576</v>
      </c>
      <c r="E960" t="s">
        <v>9576</v>
      </c>
      <c r="F960">
        <v>31</v>
      </c>
      <c r="G960">
        <v>38</v>
      </c>
    </row>
    <row r="961" spans="1:7" x14ac:dyDescent="0.25">
      <c r="A961">
        <v>959</v>
      </c>
      <c r="B961">
        <v>40</v>
      </c>
      <c r="C961">
        <v>0</v>
      </c>
      <c r="D961" t="s">
        <v>1182</v>
      </c>
      <c r="E961" t="s">
        <v>1182</v>
      </c>
      <c r="F961">
        <v>31</v>
      </c>
      <c r="G961">
        <v>38</v>
      </c>
    </row>
    <row r="962" spans="1:7" x14ac:dyDescent="0.25">
      <c r="A962">
        <v>960</v>
      </c>
      <c r="B962">
        <v>40</v>
      </c>
      <c r="C962">
        <v>0</v>
      </c>
      <c r="D962" t="s">
        <v>9577</v>
      </c>
      <c r="E962" t="s">
        <v>9577</v>
      </c>
      <c r="F962">
        <v>31</v>
      </c>
      <c r="G962">
        <v>37</v>
      </c>
    </row>
    <row r="963" spans="1:7" x14ac:dyDescent="0.25">
      <c r="A963">
        <v>961</v>
      </c>
      <c r="B963">
        <v>40</v>
      </c>
      <c r="C963">
        <v>0</v>
      </c>
      <c r="D963" t="s">
        <v>9578</v>
      </c>
      <c r="E963" t="s">
        <v>9578</v>
      </c>
      <c r="F963">
        <v>31</v>
      </c>
      <c r="G963">
        <v>38</v>
      </c>
    </row>
    <row r="964" spans="1:7" x14ac:dyDescent="0.25">
      <c r="A964">
        <v>962</v>
      </c>
      <c r="B964">
        <v>40</v>
      </c>
      <c r="C964">
        <v>0</v>
      </c>
      <c r="D964" t="s">
        <v>1639</v>
      </c>
      <c r="E964" t="s">
        <v>1639</v>
      </c>
      <c r="F964">
        <v>31</v>
      </c>
      <c r="G964">
        <v>38</v>
      </c>
    </row>
    <row r="965" spans="1:7" x14ac:dyDescent="0.25">
      <c r="A965">
        <v>963</v>
      </c>
      <c r="B965">
        <v>40</v>
      </c>
      <c r="C965">
        <v>0</v>
      </c>
      <c r="D965" t="s">
        <v>9579</v>
      </c>
      <c r="E965" t="s">
        <v>9579</v>
      </c>
      <c r="F965">
        <v>31</v>
      </c>
      <c r="G965">
        <v>37</v>
      </c>
    </row>
    <row r="966" spans="1:7" x14ac:dyDescent="0.25">
      <c r="A966">
        <v>964</v>
      </c>
      <c r="B966">
        <v>40</v>
      </c>
      <c r="C966">
        <v>0</v>
      </c>
      <c r="D966" t="s">
        <v>9580</v>
      </c>
      <c r="E966" t="s">
        <v>9580</v>
      </c>
      <c r="F966">
        <v>31</v>
      </c>
      <c r="G966">
        <v>37</v>
      </c>
    </row>
    <row r="967" spans="1:7" x14ac:dyDescent="0.25">
      <c r="A967">
        <v>965</v>
      </c>
      <c r="B967">
        <v>40</v>
      </c>
      <c r="C967">
        <v>0</v>
      </c>
      <c r="D967" t="s">
        <v>9581</v>
      </c>
      <c r="E967" t="s">
        <v>9581</v>
      </c>
      <c r="F967">
        <v>31</v>
      </c>
      <c r="G967">
        <v>38</v>
      </c>
    </row>
    <row r="968" spans="1:7" x14ac:dyDescent="0.25">
      <c r="A968">
        <v>966</v>
      </c>
      <c r="B968">
        <v>40</v>
      </c>
      <c r="C968">
        <v>0</v>
      </c>
      <c r="D968" t="s">
        <v>9582</v>
      </c>
      <c r="E968" t="s">
        <v>9582</v>
      </c>
      <c r="F968">
        <v>31</v>
      </c>
      <c r="G968">
        <v>38</v>
      </c>
    </row>
    <row r="969" spans="1:7" x14ac:dyDescent="0.25">
      <c r="A969">
        <v>967</v>
      </c>
      <c r="B969">
        <v>40</v>
      </c>
      <c r="C969">
        <v>0</v>
      </c>
      <c r="D969" t="s">
        <v>9583</v>
      </c>
      <c r="E969" t="s">
        <v>9583</v>
      </c>
      <c r="F969">
        <v>31</v>
      </c>
      <c r="G969">
        <v>38</v>
      </c>
    </row>
    <row r="970" spans="1:7" x14ac:dyDescent="0.25">
      <c r="A970">
        <v>968</v>
      </c>
      <c r="B970">
        <v>40</v>
      </c>
      <c r="C970">
        <v>0</v>
      </c>
      <c r="D970" t="s">
        <v>1559</v>
      </c>
      <c r="E970" t="s">
        <v>1559</v>
      </c>
      <c r="F970">
        <v>31</v>
      </c>
      <c r="G970">
        <v>37</v>
      </c>
    </row>
    <row r="971" spans="1:7" x14ac:dyDescent="0.25">
      <c r="A971">
        <v>969</v>
      </c>
      <c r="B971">
        <v>40</v>
      </c>
      <c r="C971">
        <v>0</v>
      </c>
      <c r="D971" t="s">
        <v>9151</v>
      </c>
      <c r="E971" t="s">
        <v>9151</v>
      </c>
      <c r="F971">
        <v>31</v>
      </c>
      <c r="G971">
        <v>38</v>
      </c>
    </row>
    <row r="972" spans="1:7" x14ac:dyDescent="0.25">
      <c r="A972">
        <v>970</v>
      </c>
      <c r="B972">
        <v>40</v>
      </c>
      <c r="C972">
        <v>0</v>
      </c>
      <c r="D972" t="s">
        <v>9584</v>
      </c>
      <c r="E972" t="s">
        <v>9584</v>
      </c>
      <c r="F972">
        <v>31</v>
      </c>
      <c r="G972">
        <v>38</v>
      </c>
    </row>
    <row r="973" spans="1:7" x14ac:dyDescent="0.25">
      <c r="A973">
        <v>971</v>
      </c>
      <c r="B973">
        <v>14</v>
      </c>
      <c r="C973">
        <v>0</v>
      </c>
      <c r="D973" t="s">
        <v>9585</v>
      </c>
      <c r="F973">
        <v>32</v>
      </c>
      <c r="G973">
        <v>37</v>
      </c>
    </row>
    <row r="974" spans="1:7" x14ac:dyDescent="0.25">
      <c r="A974">
        <v>972</v>
      </c>
      <c r="B974">
        <v>40</v>
      </c>
      <c r="C974">
        <v>0</v>
      </c>
      <c r="D974" t="s">
        <v>9586</v>
      </c>
      <c r="E974" t="s">
        <v>9586</v>
      </c>
      <c r="F974">
        <v>31</v>
      </c>
      <c r="G974">
        <v>37</v>
      </c>
    </row>
    <row r="975" spans="1:7" x14ac:dyDescent="0.25">
      <c r="A975">
        <v>973</v>
      </c>
      <c r="B975">
        <v>40</v>
      </c>
      <c r="C975">
        <v>0</v>
      </c>
      <c r="D975" t="s">
        <v>1121</v>
      </c>
      <c r="E975" t="s">
        <v>1121</v>
      </c>
      <c r="F975">
        <v>31</v>
      </c>
      <c r="G975">
        <v>37</v>
      </c>
    </row>
    <row r="976" spans="1:7" x14ac:dyDescent="0.25">
      <c r="A976">
        <v>974</v>
      </c>
      <c r="B976">
        <v>40</v>
      </c>
      <c r="C976">
        <v>0</v>
      </c>
      <c r="D976" t="s">
        <v>9587</v>
      </c>
      <c r="E976" t="s">
        <v>9588</v>
      </c>
      <c r="F976">
        <v>31</v>
      </c>
      <c r="G976">
        <v>37</v>
      </c>
    </row>
    <row r="977" spans="1:7" x14ac:dyDescent="0.25">
      <c r="A977">
        <v>975</v>
      </c>
      <c r="B977">
        <v>10</v>
      </c>
      <c r="C977">
        <v>0</v>
      </c>
      <c r="D977" t="s">
        <v>9589</v>
      </c>
      <c r="E977" t="s">
        <v>9589</v>
      </c>
      <c r="F977">
        <v>32</v>
      </c>
      <c r="G977">
        <v>37</v>
      </c>
    </row>
    <row r="978" spans="1:7" x14ac:dyDescent="0.25">
      <c r="A978">
        <v>976</v>
      </c>
      <c r="B978">
        <v>40</v>
      </c>
      <c r="C978">
        <v>0</v>
      </c>
      <c r="D978" t="s">
        <v>9590</v>
      </c>
      <c r="E978" t="s">
        <v>9590</v>
      </c>
      <c r="F978">
        <v>31</v>
      </c>
      <c r="G978">
        <v>38</v>
      </c>
    </row>
    <row r="979" spans="1:7" x14ac:dyDescent="0.25">
      <c r="A979">
        <v>977</v>
      </c>
      <c r="B979">
        <v>40</v>
      </c>
      <c r="C979">
        <v>0</v>
      </c>
      <c r="D979" t="s">
        <v>9591</v>
      </c>
      <c r="E979" t="s">
        <v>9591</v>
      </c>
      <c r="F979">
        <v>31</v>
      </c>
      <c r="G979">
        <v>38</v>
      </c>
    </row>
    <row r="980" spans="1:7" x14ac:dyDescent="0.25">
      <c r="A980">
        <v>978</v>
      </c>
      <c r="B980">
        <v>40</v>
      </c>
      <c r="C980">
        <v>0</v>
      </c>
      <c r="D980" t="s">
        <v>9592</v>
      </c>
      <c r="E980" t="s">
        <v>9592</v>
      </c>
      <c r="F980">
        <v>31</v>
      </c>
      <c r="G980">
        <v>37</v>
      </c>
    </row>
    <row r="981" spans="1:7" x14ac:dyDescent="0.25">
      <c r="A981">
        <v>979</v>
      </c>
      <c r="B981">
        <v>40</v>
      </c>
      <c r="C981">
        <v>0</v>
      </c>
      <c r="D981" t="s">
        <v>9593</v>
      </c>
      <c r="E981" t="s">
        <v>9593</v>
      </c>
      <c r="F981">
        <v>31</v>
      </c>
      <c r="G981">
        <v>37</v>
      </c>
    </row>
    <row r="982" spans="1:7" x14ac:dyDescent="0.25">
      <c r="A982">
        <v>980</v>
      </c>
      <c r="B982">
        <v>40</v>
      </c>
      <c r="C982">
        <v>0</v>
      </c>
      <c r="D982" t="s">
        <v>9594</v>
      </c>
      <c r="E982" t="s">
        <v>9594</v>
      </c>
      <c r="F982">
        <v>31</v>
      </c>
      <c r="G982">
        <v>37</v>
      </c>
    </row>
    <row r="983" spans="1:7" x14ac:dyDescent="0.25">
      <c r="A983">
        <v>981</v>
      </c>
      <c r="B983">
        <v>40</v>
      </c>
      <c r="C983">
        <v>0</v>
      </c>
      <c r="D983" t="s">
        <v>9595</v>
      </c>
      <c r="E983" t="s">
        <v>9595</v>
      </c>
      <c r="F983">
        <v>31</v>
      </c>
      <c r="G983">
        <v>38</v>
      </c>
    </row>
    <row r="984" spans="1:7" x14ac:dyDescent="0.25">
      <c r="A984">
        <v>982</v>
      </c>
      <c r="B984">
        <v>40</v>
      </c>
      <c r="C984">
        <v>200</v>
      </c>
      <c r="D984" t="s">
        <v>9596</v>
      </c>
      <c r="E984" t="s">
        <v>9596</v>
      </c>
      <c r="F984">
        <v>31</v>
      </c>
      <c r="G984">
        <v>37</v>
      </c>
    </row>
    <row r="985" spans="1:7" x14ac:dyDescent="0.25">
      <c r="A985">
        <v>983</v>
      </c>
      <c r="B985">
        <v>40</v>
      </c>
      <c r="C985">
        <v>0</v>
      </c>
      <c r="D985" t="s">
        <v>9597</v>
      </c>
      <c r="E985" t="s">
        <v>9597</v>
      </c>
      <c r="F985">
        <v>31</v>
      </c>
      <c r="G985">
        <v>37</v>
      </c>
    </row>
    <row r="986" spans="1:7" x14ac:dyDescent="0.25">
      <c r="A986">
        <v>984</v>
      </c>
      <c r="B986">
        <v>40</v>
      </c>
      <c r="C986">
        <v>0</v>
      </c>
      <c r="D986" t="s">
        <v>9598</v>
      </c>
      <c r="E986" t="s">
        <v>9598</v>
      </c>
      <c r="F986">
        <v>31</v>
      </c>
      <c r="G986">
        <v>38</v>
      </c>
    </row>
    <row r="987" spans="1:7" x14ac:dyDescent="0.25">
      <c r="A987">
        <v>985</v>
      </c>
      <c r="B987">
        <v>40</v>
      </c>
      <c r="C987">
        <v>0</v>
      </c>
      <c r="D987" t="s">
        <v>9599</v>
      </c>
      <c r="E987" t="s">
        <v>9599</v>
      </c>
      <c r="F987">
        <v>31</v>
      </c>
      <c r="G987">
        <v>37</v>
      </c>
    </row>
    <row r="988" spans="1:7" x14ac:dyDescent="0.25">
      <c r="A988">
        <v>986</v>
      </c>
      <c r="B988">
        <v>42</v>
      </c>
      <c r="C988">
        <v>0</v>
      </c>
      <c r="D988" t="s">
        <v>9600</v>
      </c>
      <c r="E988" t="s">
        <v>9600</v>
      </c>
      <c r="F988">
        <v>32</v>
      </c>
      <c r="G988">
        <v>38</v>
      </c>
    </row>
    <row r="989" spans="1:7" x14ac:dyDescent="0.25">
      <c r="A989">
        <v>987</v>
      </c>
      <c r="B989">
        <v>77</v>
      </c>
      <c r="C989">
        <v>0</v>
      </c>
      <c r="D989" t="s">
        <v>9601</v>
      </c>
      <c r="E989" t="s">
        <v>9601</v>
      </c>
      <c r="F989">
        <v>31</v>
      </c>
      <c r="G989">
        <v>37</v>
      </c>
    </row>
    <row r="990" spans="1:7" x14ac:dyDescent="0.25">
      <c r="A990">
        <v>988</v>
      </c>
      <c r="B990">
        <v>40</v>
      </c>
      <c r="C990">
        <v>0</v>
      </c>
      <c r="D990" t="s">
        <v>9602</v>
      </c>
      <c r="E990" t="s">
        <v>9602</v>
      </c>
      <c r="F990">
        <v>31</v>
      </c>
      <c r="G990">
        <v>37</v>
      </c>
    </row>
    <row r="991" spans="1:7" x14ac:dyDescent="0.25">
      <c r="A991">
        <v>989</v>
      </c>
      <c r="B991">
        <v>69</v>
      </c>
      <c r="C991">
        <v>300</v>
      </c>
      <c r="D991" t="s">
        <v>9603</v>
      </c>
      <c r="F991">
        <v>32</v>
      </c>
      <c r="G991">
        <v>37</v>
      </c>
    </row>
    <row r="992" spans="1:7" x14ac:dyDescent="0.25">
      <c r="A992">
        <v>990</v>
      </c>
      <c r="B992">
        <v>40</v>
      </c>
      <c r="C992">
        <v>0</v>
      </c>
      <c r="D992" t="s">
        <v>9604</v>
      </c>
      <c r="E992" t="s">
        <v>9604</v>
      </c>
      <c r="F992">
        <v>31</v>
      </c>
      <c r="G992">
        <v>37</v>
      </c>
    </row>
    <row r="993" spans="1:7" x14ac:dyDescent="0.25">
      <c r="A993">
        <v>991</v>
      </c>
      <c r="B993">
        <v>40</v>
      </c>
      <c r="C993">
        <v>0</v>
      </c>
      <c r="D993" t="s">
        <v>9605</v>
      </c>
      <c r="E993" t="s">
        <v>9605</v>
      </c>
      <c r="F993">
        <v>31</v>
      </c>
      <c r="G993">
        <v>38</v>
      </c>
    </row>
    <row r="994" spans="1:7" x14ac:dyDescent="0.25">
      <c r="A994">
        <v>992</v>
      </c>
      <c r="B994">
        <v>40</v>
      </c>
      <c r="C994">
        <v>0</v>
      </c>
      <c r="D994" t="s">
        <v>9606</v>
      </c>
      <c r="E994" t="s">
        <v>9606</v>
      </c>
      <c r="F994">
        <v>31</v>
      </c>
      <c r="G994">
        <v>37</v>
      </c>
    </row>
    <row r="995" spans="1:7" x14ac:dyDescent="0.25">
      <c r="A995">
        <v>993</v>
      </c>
      <c r="B995">
        <v>40</v>
      </c>
      <c r="C995">
        <v>0</v>
      </c>
      <c r="D995" t="s">
        <v>9607</v>
      </c>
      <c r="E995" t="s">
        <v>9607</v>
      </c>
      <c r="F995">
        <v>31</v>
      </c>
      <c r="G995">
        <v>37</v>
      </c>
    </row>
    <row r="996" spans="1:7" x14ac:dyDescent="0.25">
      <c r="A996">
        <v>994</v>
      </c>
      <c r="B996">
        <v>40</v>
      </c>
      <c r="C996">
        <v>0</v>
      </c>
      <c r="D996" t="s">
        <v>9608</v>
      </c>
      <c r="E996" t="s">
        <v>9608</v>
      </c>
      <c r="F996">
        <v>31</v>
      </c>
      <c r="G996">
        <v>38</v>
      </c>
    </row>
    <row r="997" spans="1:7" x14ac:dyDescent="0.25">
      <c r="A997">
        <v>995</v>
      </c>
      <c r="B997">
        <v>40</v>
      </c>
      <c r="C997">
        <v>0</v>
      </c>
      <c r="D997" t="s">
        <v>9609</v>
      </c>
      <c r="E997" t="s">
        <v>9609</v>
      </c>
      <c r="F997">
        <v>31</v>
      </c>
      <c r="G997">
        <v>37</v>
      </c>
    </row>
    <row r="998" spans="1:7" x14ac:dyDescent="0.25">
      <c r="A998">
        <v>996</v>
      </c>
      <c r="B998">
        <v>40</v>
      </c>
      <c r="C998">
        <v>0</v>
      </c>
      <c r="D998" t="s">
        <v>9610</v>
      </c>
      <c r="E998" t="s">
        <v>9610</v>
      </c>
      <c r="F998">
        <v>31</v>
      </c>
      <c r="G998">
        <v>37</v>
      </c>
    </row>
    <row r="999" spans="1:7" x14ac:dyDescent="0.25">
      <c r="A999">
        <v>997</v>
      </c>
      <c r="B999">
        <v>40</v>
      </c>
      <c r="C999">
        <v>300</v>
      </c>
      <c r="D999" t="s">
        <v>9611</v>
      </c>
      <c r="E999" t="s">
        <v>9611</v>
      </c>
      <c r="F999">
        <v>31</v>
      </c>
      <c r="G999">
        <v>38</v>
      </c>
    </row>
    <row r="1000" spans="1:7" x14ac:dyDescent="0.25">
      <c r="A1000">
        <v>998</v>
      </c>
      <c r="B1000">
        <v>40</v>
      </c>
      <c r="C1000">
        <v>300</v>
      </c>
      <c r="D1000" t="s">
        <v>9611</v>
      </c>
      <c r="E1000" t="s">
        <v>9611</v>
      </c>
      <c r="F1000">
        <v>31</v>
      </c>
      <c r="G1000">
        <v>38</v>
      </c>
    </row>
    <row r="1001" spans="1:7" x14ac:dyDescent="0.25">
      <c r="A1001">
        <v>999</v>
      </c>
      <c r="B1001">
        <v>40</v>
      </c>
      <c r="C1001">
        <v>300</v>
      </c>
      <c r="D1001" t="s">
        <v>9612</v>
      </c>
      <c r="E1001" t="s">
        <v>9612</v>
      </c>
      <c r="F1001">
        <v>31</v>
      </c>
      <c r="G1001">
        <v>37</v>
      </c>
    </row>
    <row r="1002" spans="1:7" x14ac:dyDescent="0.25">
      <c r="A1002">
        <v>1000</v>
      </c>
      <c r="B1002">
        <v>54</v>
      </c>
      <c r="C1002">
        <v>0</v>
      </c>
      <c r="D1002" t="s">
        <v>9613</v>
      </c>
      <c r="E1002" t="s">
        <v>9613</v>
      </c>
      <c r="F1002">
        <v>32</v>
      </c>
      <c r="G1002">
        <v>38</v>
      </c>
    </row>
    <row r="1003" spans="1:7" x14ac:dyDescent="0.25">
      <c r="A1003">
        <v>1001</v>
      </c>
      <c r="B1003">
        <v>40</v>
      </c>
      <c r="C1003">
        <v>0</v>
      </c>
      <c r="D1003" t="s">
        <v>9614</v>
      </c>
      <c r="E1003" t="s">
        <v>9614</v>
      </c>
      <c r="F1003">
        <v>31</v>
      </c>
      <c r="G1003">
        <v>37</v>
      </c>
    </row>
    <row r="1004" spans="1:7" x14ac:dyDescent="0.25">
      <c r="A1004">
        <v>1002</v>
      </c>
      <c r="B1004">
        <v>25</v>
      </c>
      <c r="C1004">
        <v>0</v>
      </c>
      <c r="D1004" t="s">
        <v>9615</v>
      </c>
      <c r="E1004" t="s">
        <v>9615</v>
      </c>
      <c r="F1004">
        <v>32</v>
      </c>
      <c r="G1004">
        <v>37</v>
      </c>
    </row>
    <row r="1005" spans="1:7" x14ac:dyDescent="0.25">
      <c r="A1005">
        <v>1003</v>
      </c>
      <c r="B1005">
        <v>40</v>
      </c>
      <c r="C1005">
        <v>0</v>
      </c>
      <c r="D1005" t="s">
        <v>9616</v>
      </c>
      <c r="E1005" t="s">
        <v>9616</v>
      </c>
      <c r="F1005">
        <v>31</v>
      </c>
      <c r="G1005">
        <v>38</v>
      </c>
    </row>
    <row r="1006" spans="1:7" x14ac:dyDescent="0.25">
      <c r="A1006">
        <v>1004</v>
      </c>
      <c r="B1006">
        <v>40</v>
      </c>
      <c r="C1006">
        <v>0</v>
      </c>
      <c r="D1006" t="s">
        <v>9617</v>
      </c>
      <c r="E1006" t="s">
        <v>9617</v>
      </c>
      <c r="F1006">
        <v>31</v>
      </c>
      <c r="G1006">
        <v>37</v>
      </c>
    </row>
    <row r="1007" spans="1:7" x14ac:dyDescent="0.25">
      <c r="A1007">
        <v>1005</v>
      </c>
      <c r="B1007">
        <v>40</v>
      </c>
      <c r="C1007">
        <v>0</v>
      </c>
      <c r="D1007" t="s">
        <v>9609</v>
      </c>
      <c r="E1007" t="s">
        <v>9609</v>
      </c>
      <c r="F1007">
        <v>31</v>
      </c>
      <c r="G1007">
        <v>37</v>
      </c>
    </row>
    <row r="1008" spans="1:7" x14ac:dyDescent="0.25">
      <c r="A1008">
        <v>1006</v>
      </c>
      <c r="B1008">
        <v>40</v>
      </c>
      <c r="C1008">
        <v>0</v>
      </c>
      <c r="D1008" t="s">
        <v>9618</v>
      </c>
      <c r="E1008" t="s">
        <v>9618</v>
      </c>
      <c r="F1008">
        <v>31</v>
      </c>
      <c r="G1008">
        <v>37</v>
      </c>
    </row>
    <row r="1009" spans="1:7" x14ac:dyDescent="0.25">
      <c r="A1009">
        <v>1007</v>
      </c>
      <c r="B1009">
        <v>40</v>
      </c>
      <c r="C1009">
        <v>0</v>
      </c>
      <c r="D1009" t="s">
        <v>9619</v>
      </c>
      <c r="E1009" t="s">
        <v>9619</v>
      </c>
      <c r="F1009">
        <v>31</v>
      </c>
      <c r="G1009">
        <v>37</v>
      </c>
    </row>
    <row r="1010" spans="1:7" x14ac:dyDescent="0.25">
      <c r="A1010">
        <v>1008</v>
      </c>
      <c r="B1010">
        <v>40</v>
      </c>
      <c r="C1010">
        <v>0</v>
      </c>
      <c r="D1010" t="s">
        <v>9620</v>
      </c>
      <c r="E1010" t="s">
        <v>9620</v>
      </c>
      <c r="F1010">
        <v>31</v>
      </c>
      <c r="G1010">
        <v>37</v>
      </c>
    </row>
    <row r="1011" spans="1:7" x14ac:dyDescent="0.25">
      <c r="A1011">
        <v>1009</v>
      </c>
      <c r="B1011">
        <v>40</v>
      </c>
      <c r="C1011">
        <v>0</v>
      </c>
      <c r="D1011" t="s">
        <v>9621</v>
      </c>
      <c r="E1011" t="s">
        <v>9621</v>
      </c>
      <c r="F1011">
        <v>31</v>
      </c>
      <c r="G1011">
        <v>38</v>
      </c>
    </row>
    <row r="1012" spans="1:7" x14ac:dyDescent="0.25">
      <c r="A1012">
        <v>1010</v>
      </c>
      <c r="B1012">
        <v>40</v>
      </c>
      <c r="C1012">
        <v>0</v>
      </c>
      <c r="D1012" t="s">
        <v>9622</v>
      </c>
      <c r="E1012" t="s">
        <v>9622</v>
      </c>
      <c r="F1012">
        <v>31</v>
      </c>
      <c r="G1012">
        <v>37</v>
      </c>
    </row>
    <row r="1013" spans="1:7" x14ac:dyDescent="0.25">
      <c r="A1013">
        <v>1011</v>
      </c>
      <c r="B1013">
        <v>40</v>
      </c>
      <c r="C1013">
        <v>0</v>
      </c>
      <c r="D1013" t="s">
        <v>9623</v>
      </c>
      <c r="E1013" t="s">
        <v>9623</v>
      </c>
      <c r="F1013">
        <v>31</v>
      </c>
      <c r="G1013">
        <v>38</v>
      </c>
    </row>
    <row r="1014" spans="1:7" x14ac:dyDescent="0.25">
      <c r="A1014">
        <v>1012</v>
      </c>
      <c r="B1014">
        <v>41</v>
      </c>
      <c r="C1014">
        <v>0</v>
      </c>
      <c r="D1014" t="s">
        <v>7348</v>
      </c>
      <c r="E1014" t="s">
        <v>7348</v>
      </c>
      <c r="F1014">
        <v>31</v>
      </c>
      <c r="G1014">
        <v>37</v>
      </c>
    </row>
    <row r="1015" spans="1:7" x14ac:dyDescent="0.25">
      <c r="A1015">
        <v>1013</v>
      </c>
      <c r="B1015">
        <v>54</v>
      </c>
      <c r="C1015">
        <v>0</v>
      </c>
      <c r="D1015" t="s">
        <v>9624</v>
      </c>
      <c r="E1015" t="s">
        <v>9624</v>
      </c>
      <c r="F1015">
        <v>31</v>
      </c>
      <c r="G1015">
        <v>38</v>
      </c>
    </row>
    <row r="1016" spans="1:7" x14ac:dyDescent="0.25">
      <c r="A1016">
        <v>1014</v>
      </c>
      <c r="B1016">
        <v>40</v>
      </c>
      <c r="C1016">
        <v>0</v>
      </c>
      <c r="D1016" t="s">
        <v>9625</v>
      </c>
      <c r="E1016" t="s">
        <v>9625</v>
      </c>
      <c r="F1016">
        <v>31</v>
      </c>
      <c r="G1016">
        <v>38</v>
      </c>
    </row>
    <row r="1017" spans="1:7" x14ac:dyDescent="0.25">
      <c r="A1017">
        <v>1015</v>
      </c>
      <c r="B1017">
        <v>40</v>
      </c>
      <c r="C1017">
        <v>0</v>
      </c>
      <c r="D1017" t="s">
        <v>9626</v>
      </c>
      <c r="E1017" t="s">
        <v>9626</v>
      </c>
      <c r="F1017">
        <v>31</v>
      </c>
      <c r="G1017">
        <v>37</v>
      </c>
    </row>
    <row r="1018" spans="1:7" x14ac:dyDescent="0.25">
      <c r="A1018">
        <v>1016</v>
      </c>
      <c r="B1018">
        <v>40</v>
      </c>
      <c r="C1018">
        <v>0</v>
      </c>
      <c r="D1018" t="s">
        <v>9627</v>
      </c>
      <c r="E1018" t="s">
        <v>9627</v>
      </c>
      <c r="F1018">
        <v>31</v>
      </c>
      <c r="G1018">
        <v>37</v>
      </c>
    </row>
    <row r="1019" spans="1:7" x14ac:dyDescent="0.25">
      <c r="A1019">
        <v>1017</v>
      </c>
      <c r="B1019">
        <v>40</v>
      </c>
      <c r="C1019">
        <v>0</v>
      </c>
      <c r="D1019" t="s">
        <v>9628</v>
      </c>
      <c r="E1019" t="s">
        <v>9628</v>
      </c>
      <c r="F1019">
        <v>31</v>
      </c>
      <c r="G1019">
        <v>38</v>
      </c>
    </row>
    <row r="1020" spans="1:7" x14ac:dyDescent="0.25">
      <c r="A1020">
        <v>1018</v>
      </c>
      <c r="B1020">
        <v>40</v>
      </c>
      <c r="C1020">
        <v>300</v>
      </c>
      <c r="D1020" t="s">
        <v>9629</v>
      </c>
      <c r="E1020" t="s">
        <v>9629</v>
      </c>
      <c r="F1020">
        <v>31</v>
      </c>
      <c r="G1020">
        <v>37</v>
      </c>
    </row>
    <row r="1021" spans="1:7" x14ac:dyDescent="0.25">
      <c r="A1021">
        <v>1019</v>
      </c>
      <c r="B1021">
        <v>40</v>
      </c>
      <c r="C1021">
        <v>0</v>
      </c>
      <c r="D1021" t="s">
        <v>9630</v>
      </c>
      <c r="E1021" t="s">
        <v>9630</v>
      </c>
      <c r="F1021">
        <v>31</v>
      </c>
      <c r="G1021">
        <v>37</v>
      </c>
    </row>
    <row r="1022" spans="1:7" x14ac:dyDescent="0.25">
      <c r="A1022">
        <v>1020</v>
      </c>
      <c r="B1022">
        <v>40</v>
      </c>
      <c r="C1022">
        <v>300</v>
      </c>
      <c r="D1022" t="s">
        <v>9631</v>
      </c>
      <c r="E1022" t="s">
        <v>9631</v>
      </c>
      <c r="F1022">
        <v>31</v>
      </c>
      <c r="G1022">
        <v>37</v>
      </c>
    </row>
    <row r="1023" spans="1:7" x14ac:dyDescent="0.25">
      <c r="A1023">
        <v>1021</v>
      </c>
      <c r="B1023">
        <v>54</v>
      </c>
      <c r="C1023">
        <v>0</v>
      </c>
      <c r="D1023" t="s">
        <v>9632</v>
      </c>
      <c r="E1023" t="s">
        <v>9632</v>
      </c>
      <c r="F1023">
        <v>32</v>
      </c>
      <c r="G1023">
        <v>38</v>
      </c>
    </row>
    <row r="1024" spans="1:7" x14ac:dyDescent="0.25">
      <c r="A1024">
        <v>1022</v>
      </c>
      <c r="B1024">
        <v>8</v>
      </c>
      <c r="C1024">
        <v>0</v>
      </c>
      <c r="D1024" t="s">
        <v>9633</v>
      </c>
      <c r="E1024" t="s">
        <v>9633</v>
      </c>
      <c r="F1024">
        <v>32</v>
      </c>
      <c r="G1024">
        <v>37</v>
      </c>
    </row>
    <row r="1025" spans="1:7" x14ac:dyDescent="0.25">
      <c r="A1025">
        <v>1023</v>
      </c>
      <c r="B1025">
        <v>40</v>
      </c>
      <c r="C1025">
        <v>0</v>
      </c>
      <c r="D1025" t="s">
        <v>9634</v>
      </c>
      <c r="E1025" t="s">
        <v>9634</v>
      </c>
      <c r="F1025">
        <v>32</v>
      </c>
      <c r="G1025">
        <v>37</v>
      </c>
    </row>
    <row r="1026" spans="1:7" x14ac:dyDescent="0.25">
      <c r="A1026">
        <v>1024</v>
      </c>
      <c r="B1026">
        <v>40</v>
      </c>
      <c r="C1026">
        <v>0</v>
      </c>
      <c r="D1026" t="s">
        <v>9635</v>
      </c>
      <c r="E1026" t="s">
        <v>9635</v>
      </c>
      <c r="F1026">
        <v>31</v>
      </c>
      <c r="G1026">
        <v>37</v>
      </c>
    </row>
    <row r="1027" spans="1:7" x14ac:dyDescent="0.25">
      <c r="A1027">
        <v>1025</v>
      </c>
      <c r="B1027">
        <v>40</v>
      </c>
      <c r="C1027">
        <v>0</v>
      </c>
      <c r="D1027" t="s">
        <v>9636</v>
      </c>
      <c r="E1027" t="s">
        <v>9636</v>
      </c>
      <c r="F1027">
        <v>31</v>
      </c>
      <c r="G1027">
        <v>37</v>
      </c>
    </row>
    <row r="1028" spans="1:7" x14ac:dyDescent="0.25">
      <c r="A1028">
        <v>1026</v>
      </c>
      <c r="B1028">
        <v>40</v>
      </c>
      <c r="C1028">
        <v>0</v>
      </c>
      <c r="D1028" t="s">
        <v>9637</v>
      </c>
      <c r="E1028" t="s">
        <v>9637</v>
      </c>
      <c r="F1028">
        <v>31</v>
      </c>
      <c r="G1028">
        <v>37</v>
      </c>
    </row>
    <row r="1029" spans="1:7" x14ac:dyDescent="0.25">
      <c r="A1029">
        <v>1027</v>
      </c>
      <c r="B1029">
        <v>40</v>
      </c>
      <c r="C1029">
        <v>0</v>
      </c>
      <c r="D1029" t="s">
        <v>9638</v>
      </c>
      <c r="E1029" t="s">
        <v>9638</v>
      </c>
      <c r="F1029">
        <v>31</v>
      </c>
      <c r="G1029">
        <v>37</v>
      </c>
    </row>
    <row r="1030" spans="1:7" x14ac:dyDescent="0.25">
      <c r="A1030">
        <v>1028</v>
      </c>
      <c r="B1030">
        <v>40</v>
      </c>
      <c r="C1030">
        <v>0</v>
      </c>
      <c r="D1030" t="s">
        <v>9639</v>
      </c>
      <c r="E1030" t="s">
        <v>9639</v>
      </c>
      <c r="F1030">
        <v>31</v>
      </c>
      <c r="G1030">
        <v>37</v>
      </c>
    </row>
    <row r="1031" spans="1:7" x14ac:dyDescent="0.25">
      <c r="A1031">
        <v>1029</v>
      </c>
      <c r="B1031">
        <v>10</v>
      </c>
      <c r="C1031">
        <v>300</v>
      </c>
      <c r="D1031" t="s">
        <v>9640</v>
      </c>
      <c r="F1031">
        <v>32</v>
      </c>
      <c r="G1031">
        <v>37</v>
      </c>
    </row>
    <row r="1032" spans="1:7" x14ac:dyDescent="0.25">
      <c r="A1032">
        <v>1030</v>
      </c>
      <c r="B1032">
        <v>25</v>
      </c>
      <c r="C1032">
        <v>0</v>
      </c>
      <c r="D1032" t="s">
        <v>9641</v>
      </c>
      <c r="E1032" t="s">
        <v>9641</v>
      </c>
      <c r="F1032">
        <v>32</v>
      </c>
      <c r="G1032">
        <v>37</v>
      </c>
    </row>
    <row r="1033" spans="1:7" x14ac:dyDescent="0.25">
      <c r="A1033">
        <v>1031</v>
      </c>
      <c r="B1033">
        <v>40</v>
      </c>
      <c r="C1033">
        <v>0</v>
      </c>
      <c r="D1033" t="s">
        <v>9642</v>
      </c>
      <c r="E1033" t="s">
        <v>9642</v>
      </c>
      <c r="F1033">
        <v>31</v>
      </c>
      <c r="G1033">
        <v>37</v>
      </c>
    </row>
    <row r="1034" spans="1:7" x14ac:dyDescent="0.25">
      <c r="A1034">
        <v>1032</v>
      </c>
      <c r="B1034">
        <v>40</v>
      </c>
      <c r="C1034">
        <v>0</v>
      </c>
      <c r="D1034" t="s">
        <v>9643</v>
      </c>
      <c r="E1034" t="s">
        <v>9643</v>
      </c>
      <c r="F1034">
        <v>31</v>
      </c>
      <c r="G1034">
        <v>37</v>
      </c>
    </row>
    <row r="1035" spans="1:7" x14ac:dyDescent="0.25">
      <c r="A1035">
        <v>1033</v>
      </c>
      <c r="B1035">
        <v>40</v>
      </c>
      <c r="C1035">
        <v>0</v>
      </c>
      <c r="D1035" t="s">
        <v>9644</v>
      </c>
      <c r="E1035" t="s">
        <v>9644</v>
      </c>
      <c r="F1035">
        <v>31</v>
      </c>
      <c r="G1035">
        <v>37</v>
      </c>
    </row>
    <row r="1036" spans="1:7" x14ac:dyDescent="0.25">
      <c r="A1036">
        <v>1034</v>
      </c>
      <c r="B1036">
        <v>40</v>
      </c>
      <c r="C1036">
        <v>0</v>
      </c>
      <c r="D1036" t="s">
        <v>9645</v>
      </c>
      <c r="E1036" t="s">
        <v>9645</v>
      </c>
      <c r="F1036">
        <v>31</v>
      </c>
      <c r="G1036">
        <v>37</v>
      </c>
    </row>
    <row r="1037" spans="1:7" x14ac:dyDescent="0.25">
      <c r="A1037">
        <v>1035</v>
      </c>
      <c r="B1037">
        <v>40</v>
      </c>
      <c r="C1037">
        <v>0</v>
      </c>
      <c r="D1037" t="s">
        <v>9646</v>
      </c>
      <c r="E1037" t="s">
        <v>9646</v>
      </c>
      <c r="F1037">
        <v>31</v>
      </c>
      <c r="G1037">
        <v>37</v>
      </c>
    </row>
    <row r="1038" spans="1:7" x14ac:dyDescent="0.25">
      <c r="A1038">
        <v>1036</v>
      </c>
      <c r="B1038">
        <v>40</v>
      </c>
      <c r="C1038">
        <v>0</v>
      </c>
      <c r="D1038" t="s">
        <v>9647</v>
      </c>
      <c r="E1038" t="s">
        <v>9647</v>
      </c>
      <c r="F1038">
        <v>31</v>
      </c>
      <c r="G1038">
        <v>37</v>
      </c>
    </row>
    <row r="1039" spans="1:7" x14ac:dyDescent="0.25">
      <c r="A1039">
        <v>1037</v>
      </c>
      <c r="B1039">
        <v>40</v>
      </c>
      <c r="C1039">
        <v>0</v>
      </c>
      <c r="D1039" t="s">
        <v>9648</v>
      </c>
      <c r="E1039" t="s">
        <v>9648</v>
      </c>
      <c r="F1039">
        <v>31</v>
      </c>
      <c r="G1039">
        <v>38</v>
      </c>
    </row>
    <row r="1040" spans="1:7" x14ac:dyDescent="0.25">
      <c r="A1040">
        <v>1038</v>
      </c>
      <c r="B1040">
        <v>40</v>
      </c>
      <c r="C1040">
        <v>0</v>
      </c>
      <c r="D1040" t="s">
        <v>503</v>
      </c>
      <c r="E1040" t="s">
        <v>503</v>
      </c>
      <c r="F1040">
        <v>31</v>
      </c>
      <c r="G1040">
        <v>38</v>
      </c>
    </row>
    <row r="1041" spans="1:7" x14ac:dyDescent="0.25">
      <c r="A1041">
        <v>1039</v>
      </c>
      <c r="B1041">
        <v>14</v>
      </c>
      <c r="C1041">
        <v>0</v>
      </c>
      <c r="D1041" t="s">
        <v>9649</v>
      </c>
      <c r="F1041">
        <v>32</v>
      </c>
      <c r="G1041">
        <v>37</v>
      </c>
    </row>
    <row r="1042" spans="1:7" x14ac:dyDescent="0.25">
      <c r="A1042">
        <v>1040</v>
      </c>
      <c r="B1042">
        <v>40</v>
      </c>
      <c r="C1042">
        <v>0</v>
      </c>
      <c r="D1042" t="s">
        <v>9650</v>
      </c>
      <c r="E1042" t="s">
        <v>9650</v>
      </c>
      <c r="F1042">
        <v>31</v>
      </c>
      <c r="G1042">
        <v>37</v>
      </c>
    </row>
    <row r="1043" spans="1:7" x14ac:dyDescent="0.25">
      <c r="A1043">
        <v>1041</v>
      </c>
      <c r="B1043">
        <v>40</v>
      </c>
      <c r="C1043">
        <v>0</v>
      </c>
      <c r="D1043" t="s">
        <v>9651</v>
      </c>
      <c r="E1043" t="s">
        <v>9651</v>
      </c>
      <c r="F1043">
        <v>31</v>
      </c>
      <c r="G1043">
        <v>37</v>
      </c>
    </row>
    <row r="1044" spans="1:7" x14ac:dyDescent="0.25">
      <c r="A1044">
        <v>1042</v>
      </c>
      <c r="B1044">
        <v>40</v>
      </c>
      <c r="C1044">
        <v>0</v>
      </c>
      <c r="D1044" t="s">
        <v>9652</v>
      </c>
      <c r="E1044" t="s">
        <v>9652</v>
      </c>
      <c r="F1044">
        <v>31</v>
      </c>
      <c r="G1044">
        <v>37</v>
      </c>
    </row>
    <row r="1045" spans="1:7" x14ac:dyDescent="0.25">
      <c r="A1045">
        <v>1043</v>
      </c>
      <c r="B1045">
        <v>40</v>
      </c>
      <c r="C1045">
        <v>0</v>
      </c>
      <c r="D1045" t="s">
        <v>9653</v>
      </c>
      <c r="E1045" t="s">
        <v>9653</v>
      </c>
      <c r="F1045">
        <v>31</v>
      </c>
      <c r="G1045">
        <v>38</v>
      </c>
    </row>
    <row r="1046" spans="1:7" x14ac:dyDescent="0.25">
      <c r="A1046">
        <v>1044</v>
      </c>
      <c r="B1046">
        <v>40</v>
      </c>
      <c r="C1046">
        <v>0</v>
      </c>
      <c r="D1046" t="s">
        <v>9654</v>
      </c>
      <c r="E1046" t="s">
        <v>9654</v>
      </c>
      <c r="F1046">
        <v>31</v>
      </c>
      <c r="G1046">
        <v>37</v>
      </c>
    </row>
    <row r="1047" spans="1:7" x14ac:dyDescent="0.25">
      <c r="A1047">
        <v>1045</v>
      </c>
      <c r="B1047">
        <v>40</v>
      </c>
      <c r="C1047">
        <v>0</v>
      </c>
      <c r="D1047" t="s">
        <v>9655</v>
      </c>
      <c r="E1047" t="s">
        <v>9655</v>
      </c>
      <c r="F1047">
        <v>31</v>
      </c>
      <c r="G1047">
        <v>37</v>
      </c>
    </row>
    <row r="1048" spans="1:7" x14ac:dyDescent="0.25">
      <c r="A1048">
        <v>1046</v>
      </c>
      <c r="B1048">
        <v>40</v>
      </c>
      <c r="C1048">
        <v>0</v>
      </c>
      <c r="D1048" t="s">
        <v>9656</v>
      </c>
      <c r="E1048" t="s">
        <v>9656</v>
      </c>
      <c r="F1048">
        <v>31</v>
      </c>
      <c r="G1048">
        <v>37</v>
      </c>
    </row>
    <row r="1049" spans="1:7" x14ac:dyDescent="0.25">
      <c r="A1049">
        <v>1047</v>
      </c>
      <c r="B1049">
        <v>40</v>
      </c>
      <c r="C1049">
        <v>0</v>
      </c>
      <c r="D1049" t="s">
        <v>9657</v>
      </c>
      <c r="E1049" t="s">
        <v>9657</v>
      </c>
      <c r="F1049">
        <v>31</v>
      </c>
      <c r="G1049">
        <v>38</v>
      </c>
    </row>
    <row r="1050" spans="1:7" x14ac:dyDescent="0.25">
      <c r="A1050">
        <v>1048</v>
      </c>
      <c r="B1050">
        <v>40</v>
      </c>
      <c r="C1050">
        <v>0</v>
      </c>
      <c r="D1050" t="s">
        <v>9658</v>
      </c>
      <c r="E1050" t="s">
        <v>9659</v>
      </c>
      <c r="F1050">
        <v>31</v>
      </c>
      <c r="G1050">
        <v>37</v>
      </c>
    </row>
    <row r="1051" spans="1:7" x14ac:dyDescent="0.25">
      <c r="A1051">
        <v>1049</v>
      </c>
      <c r="B1051">
        <v>40</v>
      </c>
      <c r="C1051">
        <v>0</v>
      </c>
      <c r="D1051" t="s">
        <v>9660</v>
      </c>
      <c r="E1051" t="s">
        <v>9660</v>
      </c>
      <c r="F1051">
        <v>31</v>
      </c>
      <c r="G1051">
        <v>37</v>
      </c>
    </row>
    <row r="1052" spans="1:7" x14ac:dyDescent="0.25">
      <c r="A1052">
        <v>1050</v>
      </c>
      <c r="B1052">
        <v>40</v>
      </c>
      <c r="C1052">
        <v>0</v>
      </c>
      <c r="D1052" t="s">
        <v>9661</v>
      </c>
      <c r="E1052" t="s">
        <v>9661</v>
      </c>
      <c r="F1052">
        <v>31</v>
      </c>
      <c r="G1052">
        <v>37</v>
      </c>
    </row>
    <row r="1053" spans="1:7" x14ac:dyDescent="0.25">
      <c r="A1053">
        <v>1051</v>
      </c>
      <c r="B1053">
        <v>40</v>
      </c>
      <c r="C1053">
        <v>0</v>
      </c>
      <c r="D1053" t="s">
        <v>9662</v>
      </c>
      <c r="E1053" t="s">
        <v>9662</v>
      </c>
      <c r="F1053">
        <v>31</v>
      </c>
      <c r="G1053">
        <v>37</v>
      </c>
    </row>
    <row r="1054" spans="1:7" x14ac:dyDescent="0.25">
      <c r="A1054">
        <v>1052</v>
      </c>
      <c r="B1054">
        <v>40</v>
      </c>
      <c r="C1054">
        <v>0</v>
      </c>
      <c r="D1054" t="s">
        <v>9663</v>
      </c>
      <c r="E1054" t="s">
        <v>9663</v>
      </c>
      <c r="F1054">
        <v>31</v>
      </c>
      <c r="G1054">
        <v>37</v>
      </c>
    </row>
    <row r="1055" spans="1:7" x14ac:dyDescent="0.25">
      <c r="A1055">
        <v>1053</v>
      </c>
      <c r="B1055">
        <v>40</v>
      </c>
      <c r="C1055">
        <v>0</v>
      </c>
      <c r="D1055" t="s">
        <v>9664</v>
      </c>
      <c r="E1055" t="s">
        <v>9664</v>
      </c>
      <c r="F1055">
        <v>31</v>
      </c>
      <c r="G1055">
        <v>37</v>
      </c>
    </row>
    <row r="1056" spans="1:7" x14ac:dyDescent="0.25">
      <c r="A1056">
        <v>1054</v>
      </c>
      <c r="B1056">
        <v>40</v>
      </c>
      <c r="C1056">
        <v>0</v>
      </c>
      <c r="D1056" t="s">
        <v>9665</v>
      </c>
      <c r="E1056" t="s">
        <v>9665</v>
      </c>
      <c r="F1056">
        <v>31</v>
      </c>
      <c r="G1056">
        <v>37</v>
      </c>
    </row>
    <row r="1057" spans="1:7" x14ac:dyDescent="0.25">
      <c r="A1057">
        <v>1055</v>
      </c>
      <c r="B1057">
        <v>40</v>
      </c>
      <c r="C1057">
        <v>0</v>
      </c>
      <c r="D1057" t="s">
        <v>9666</v>
      </c>
      <c r="E1057" t="s">
        <v>9666</v>
      </c>
      <c r="F1057">
        <v>31</v>
      </c>
      <c r="G1057">
        <v>37</v>
      </c>
    </row>
    <row r="1058" spans="1:7" x14ac:dyDescent="0.25">
      <c r="A1058">
        <v>1056</v>
      </c>
      <c r="B1058">
        <v>40</v>
      </c>
      <c r="C1058">
        <v>0</v>
      </c>
      <c r="D1058" t="s">
        <v>9667</v>
      </c>
      <c r="E1058" t="s">
        <v>9667</v>
      </c>
      <c r="F1058">
        <v>31</v>
      </c>
      <c r="G1058">
        <v>37</v>
      </c>
    </row>
    <row r="1059" spans="1:7" x14ac:dyDescent="0.25">
      <c r="A1059">
        <v>1057</v>
      </c>
      <c r="B1059">
        <v>40</v>
      </c>
      <c r="C1059">
        <v>0</v>
      </c>
      <c r="D1059" t="s">
        <v>9668</v>
      </c>
      <c r="E1059" t="s">
        <v>9668</v>
      </c>
      <c r="F1059">
        <v>31</v>
      </c>
      <c r="G1059">
        <v>37</v>
      </c>
    </row>
    <row r="1060" spans="1:7" x14ac:dyDescent="0.25">
      <c r="A1060">
        <v>1058</v>
      </c>
      <c r="B1060">
        <v>40</v>
      </c>
      <c r="C1060">
        <v>0</v>
      </c>
      <c r="D1060" t="s">
        <v>9669</v>
      </c>
      <c r="E1060" t="s">
        <v>9669</v>
      </c>
      <c r="F1060">
        <v>31</v>
      </c>
      <c r="G1060">
        <v>38</v>
      </c>
    </row>
    <row r="1061" spans="1:7" x14ac:dyDescent="0.25">
      <c r="A1061">
        <v>1059</v>
      </c>
      <c r="B1061">
        <v>40</v>
      </c>
      <c r="C1061">
        <v>0</v>
      </c>
      <c r="D1061" t="s">
        <v>9670</v>
      </c>
      <c r="E1061" t="s">
        <v>9670</v>
      </c>
      <c r="F1061">
        <v>31</v>
      </c>
      <c r="G1061">
        <v>37</v>
      </c>
    </row>
    <row r="1062" spans="1:7" x14ac:dyDescent="0.25">
      <c r="A1062">
        <v>1060</v>
      </c>
      <c r="B1062">
        <v>40</v>
      </c>
      <c r="C1062">
        <v>0</v>
      </c>
      <c r="D1062" t="s">
        <v>9671</v>
      </c>
      <c r="E1062" t="s">
        <v>9671</v>
      </c>
      <c r="F1062">
        <v>31</v>
      </c>
      <c r="G1062">
        <v>37</v>
      </c>
    </row>
    <row r="1063" spans="1:7" x14ac:dyDescent="0.25">
      <c r="A1063">
        <v>1061</v>
      </c>
      <c r="B1063">
        <v>54</v>
      </c>
      <c r="C1063">
        <v>300</v>
      </c>
      <c r="D1063" t="s">
        <v>9672</v>
      </c>
      <c r="F1063">
        <v>32</v>
      </c>
      <c r="G1063">
        <v>38</v>
      </c>
    </row>
    <row r="1064" spans="1:7" x14ac:dyDescent="0.25">
      <c r="A1064">
        <v>1062</v>
      </c>
      <c r="B1064">
        <v>40</v>
      </c>
      <c r="C1064">
        <v>300</v>
      </c>
      <c r="D1064" t="s">
        <v>9534</v>
      </c>
      <c r="E1064" t="s">
        <v>9534</v>
      </c>
      <c r="F1064">
        <v>31</v>
      </c>
      <c r="G1064">
        <v>37</v>
      </c>
    </row>
    <row r="1065" spans="1:7" x14ac:dyDescent="0.25">
      <c r="A1065">
        <v>1063</v>
      </c>
      <c r="B1065">
        <v>40</v>
      </c>
      <c r="C1065">
        <v>0</v>
      </c>
      <c r="D1065" t="s">
        <v>9673</v>
      </c>
      <c r="E1065" t="s">
        <v>9673</v>
      </c>
      <c r="F1065">
        <v>31</v>
      </c>
      <c r="G1065">
        <v>37</v>
      </c>
    </row>
    <row r="1066" spans="1:7" x14ac:dyDescent="0.25">
      <c r="A1066">
        <v>1064</v>
      </c>
      <c r="B1066">
        <v>40</v>
      </c>
      <c r="C1066">
        <v>0</v>
      </c>
      <c r="D1066" t="s">
        <v>9674</v>
      </c>
      <c r="E1066" t="s">
        <v>9674</v>
      </c>
      <c r="F1066">
        <v>31</v>
      </c>
      <c r="G1066">
        <v>37</v>
      </c>
    </row>
    <row r="1067" spans="1:7" x14ac:dyDescent="0.25">
      <c r="A1067">
        <v>1065</v>
      </c>
      <c r="B1067">
        <v>14</v>
      </c>
      <c r="C1067">
        <v>300</v>
      </c>
      <c r="D1067" t="s">
        <v>9675</v>
      </c>
      <c r="F1067">
        <v>32</v>
      </c>
      <c r="G1067">
        <v>38</v>
      </c>
    </row>
    <row r="1068" spans="1:7" x14ac:dyDescent="0.25">
      <c r="A1068">
        <v>1066</v>
      </c>
      <c r="B1068">
        <v>40</v>
      </c>
      <c r="C1068">
        <v>0</v>
      </c>
      <c r="D1068" t="s">
        <v>9676</v>
      </c>
      <c r="E1068" t="s">
        <v>9677</v>
      </c>
      <c r="F1068">
        <v>31</v>
      </c>
      <c r="G1068">
        <v>37</v>
      </c>
    </row>
    <row r="1069" spans="1:7" x14ac:dyDescent="0.25">
      <c r="A1069">
        <v>1067</v>
      </c>
      <c r="B1069">
        <v>40</v>
      </c>
      <c r="C1069">
        <v>0</v>
      </c>
      <c r="D1069" t="s">
        <v>9678</v>
      </c>
      <c r="E1069" t="s">
        <v>9678</v>
      </c>
      <c r="F1069">
        <v>31</v>
      </c>
      <c r="G1069">
        <v>37</v>
      </c>
    </row>
    <row r="1070" spans="1:7" x14ac:dyDescent="0.25">
      <c r="A1070">
        <v>1068</v>
      </c>
      <c r="B1070">
        <v>69</v>
      </c>
      <c r="C1070">
        <v>300</v>
      </c>
      <c r="D1070" t="s">
        <v>9679</v>
      </c>
      <c r="F1070">
        <v>32</v>
      </c>
      <c r="G1070">
        <v>37</v>
      </c>
    </row>
    <row r="1071" spans="1:7" x14ac:dyDescent="0.25">
      <c r="A1071">
        <v>1069</v>
      </c>
      <c r="B1071">
        <v>14</v>
      </c>
      <c r="C1071">
        <v>300</v>
      </c>
      <c r="D1071" t="s">
        <v>9680</v>
      </c>
      <c r="F1071">
        <v>32</v>
      </c>
      <c r="G1071">
        <v>37</v>
      </c>
    </row>
    <row r="1072" spans="1:7" x14ac:dyDescent="0.25">
      <c r="A1072">
        <v>1070</v>
      </c>
      <c r="B1072">
        <v>40</v>
      </c>
      <c r="C1072">
        <v>0</v>
      </c>
      <c r="D1072" t="s">
        <v>9681</v>
      </c>
      <c r="E1072" t="s">
        <v>9681</v>
      </c>
      <c r="F1072">
        <v>31</v>
      </c>
      <c r="G1072">
        <v>37</v>
      </c>
    </row>
    <row r="1073" spans="1:7" x14ac:dyDescent="0.25">
      <c r="A1073">
        <v>1071</v>
      </c>
      <c r="B1073">
        <v>40</v>
      </c>
      <c r="C1073">
        <v>0</v>
      </c>
      <c r="D1073" t="s">
        <v>9682</v>
      </c>
      <c r="E1073" t="s">
        <v>9682</v>
      </c>
      <c r="F1073">
        <v>31</v>
      </c>
      <c r="G1073">
        <v>37</v>
      </c>
    </row>
    <row r="1074" spans="1:7" x14ac:dyDescent="0.25">
      <c r="A1074">
        <v>1072</v>
      </c>
      <c r="B1074">
        <v>40</v>
      </c>
      <c r="C1074">
        <v>300</v>
      </c>
      <c r="D1074" t="s">
        <v>9683</v>
      </c>
      <c r="E1074" t="s">
        <v>9683</v>
      </c>
      <c r="F1074">
        <v>31</v>
      </c>
      <c r="G1074">
        <v>37</v>
      </c>
    </row>
    <row r="1075" spans="1:7" x14ac:dyDescent="0.25">
      <c r="A1075">
        <v>1073</v>
      </c>
      <c r="B1075">
        <v>40</v>
      </c>
      <c r="C1075">
        <v>0</v>
      </c>
      <c r="D1075" t="s">
        <v>9684</v>
      </c>
      <c r="E1075" t="s">
        <v>9684</v>
      </c>
      <c r="F1075">
        <v>31</v>
      </c>
      <c r="G1075">
        <v>37</v>
      </c>
    </row>
    <row r="1076" spans="1:7" x14ac:dyDescent="0.25">
      <c r="A1076">
        <v>1074</v>
      </c>
      <c r="B1076">
        <v>40</v>
      </c>
      <c r="C1076">
        <v>0</v>
      </c>
      <c r="D1076" t="s">
        <v>9685</v>
      </c>
      <c r="E1076" t="s">
        <v>9685</v>
      </c>
      <c r="F1076">
        <v>31</v>
      </c>
      <c r="G1076">
        <v>37</v>
      </c>
    </row>
    <row r="1077" spans="1:7" x14ac:dyDescent="0.25">
      <c r="A1077">
        <v>1075</v>
      </c>
      <c r="B1077">
        <v>40</v>
      </c>
      <c r="C1077">
        <v>0</v>
      </c>
      <c r="D1077" t="s">
        <v>9686</v>
      </c>
      <c r="E1077" t="s">
        <v>9686</v>
      </c>
      <c r="F1077">
        <v>31</v>
      </c>
      <c r="G1077">
        <v>37</v>
      </c>
    </row>
    <row r="1078" spans="1:7" x14ac:dyDescent="0.25">
      <c r="A1078">
        <v>1076</v>
      </c>
      <c r="B1078">
        <v>54</v>
      </c>
      <c r="C1078">
        <v>0</v>
      </c>
      <c r="D1078" t="s">
        <v>9687</v>
      </c>
      <c r="E1078" t="s">
        <v>9687</v>
      </c>
      <c r="F1078">
        <v>32</v>
      </c>
      <c r="G1078">
        <v>38</v>
      </c>
    </row>
    <row r="1079" spans="1:7" x14ac:dyDescent="0.25">
      <c r="A1079">
        <v>1077</v>
      </c>
      <c r="B1079">
        <v>40</v>
      </c>
      <c r="C1079">
        <v>0</v>
      </c>
      <c r="D1079" t="s">
        <v>9688</v>
      </c>
      <c r="E1079" t="s">
        <v>9688</v>
      </c>
      <c r="F1079">
        <v>31</v>
      </c>
      <c r="G1079">
        <v>37</v>
      </c>
    </row>
    <row r="1080" spans="1:7" x14ac:dyDescent="0.25">
      <c r="A1080">
        <v>1078</v>
      </c>
      <c r="B1080">
        <v>40</v>
      </c>
      <c r="C1080">
        <v>0</v>
      </c>
      <c r="D1080" t="s">
        <v>9689</v>
      </c>
      <c r="E1080" t="s">
        <v>9689</v>
      </c>
      <c r="F1080">
        <v>31</v>
      </c>
      <c r="G1080">
        <v>37</v>
      </c>
    </row>
    <row r="1081" spans="1:7" x14ac:dyDescent="0.25">
      <c r="A1081">
        <v>1079</v>
      </c>
      <c r="B1081">
        <v>83</v>
      </c>
      <c r="C1081">
        <v>0</v>
      </c>
      <c r="D1081" t="s">
        <v>9690</v>
      </c>
      <c r="E1081" t="s">
        <v>9690</v>
      </c>
      <c r="F1081">
        <v>32</v>
      </c>
      <c r="G1081">
        <v>37</v>
      </c>
    </row>
    <row r="1082" spans="1:7" x14ac:dyDescent="0.25">
      <c r="A1082">
        <v>1080</v>
      </c>
      <c r="B1082">
        <v>40</v>
      </c>
      <c r="C1082">
        <v>0</v>
      </c>
      <c r="D1082" t="s">
        <v>9691</v>
      </c>
      <c r="E1082" t="s">
        <v>9691</v>
      </c>
      <c r="F1082">
        <v>31</v>
      </c>
      <c r="G1082">
        <v>37</v>
      </c>
    </row>
    <row r="1083" spans="1:7" x14ac:dyDescent="0.25">
      <c r="A1083">
        <v>1081</v>
      </c>
      <c r="B1083">
        <v>40</v>
      </c>
      <c r="C1083">
        <v>0</v>
      </c>
      <c r="D1083" t="s">
        <v>9692</v>
      </c>
      <c r="E1083" t="s">
        <v>9692</v>
      </c>
      <c r="F1083">
        <v>31</v>
      </c>
      <c r="G1083">
        <v>37</v>
      </c>
    </row>
    <row r="1084" spans="1:7" x14ac:dyDescent="0.25">
      <c r="A1084">
        <v>1082</v>
      </c>
      <c r="B1084">
        <v>40</v>
      </c>
      <c r="C1084">
        <v>300</v>
      </c>
      <c r="D1084" t="s">
        <v>9693</v>
      </c>
      <c r="E1084" t="s">
        <v>9693</v>
      </c>
      <c r="F1084">
        <v>31</v>
      </c>
      <c r="G1084">
        <v>37</v>
      </c>
    </row>
    <row r="1085" spans="1:7" x14ac:dyDescent="0.25">
      <c r="A1085">
        <v>1083</v>
      </c>
      <c r="B1085">
        <v>40</v>
      </c>
      <c r="C1085">
        <v>0</v>
      </c>
      <c r="D1085" t="s">
        <v>9694</v>
      </c>
      <c r="E1085" t="s">
        <v>9694</v>
      </c>
      <c r="F1085">
        <v>31</v>
      </c>
      <c r="G1085">
        <v>37</v>
      </c>
    </row>
    <row r="1086" spans="1:7" x14ac:dyDescent="0.25">
      <c r="A1086">
        <v>1084</v>
      </c>
      <c r="B1086">
        <v>40</v>
      </c>
      <c r="C1086">
        <v>0</v>
      </c>
      <c r="D1086" t="s">
        <v>9695</v>
      </c>
      <c r="E1086" t="s">
        <v>9695</v>
      </c>
      <c r="F1086">
        <v>31</v>
      </c>
      <c r="G1086">
        <v>37</v>
      </c>
    </row>
    <row r="1087" spans="1:7" x14ac:dyDescent="0.25">
      <c r="A1087">
        <v>1085</v>
      </c>
      <c r="B1087">
        <v>40</v>
      </c>
      <c r="C1087">
        <v>0</v>
      </c>
      <c r="D1087" t="s">
        <v>9696</v>
      </c>
      <c r="E1087" t="s">
        <v>9696</v>
      </c>
      <c r="F1087">
        <v>31</v>
      </c>
      <c r="G1087">
        <v>38</v>
      </c>
    </row>
    <row r="1088" spans="1:7" x14ac:dyDescent="0.25">
      <c r="A1088">
        <v>1086</v>
      </c>
      <c r="B1088">
        <v>10</v>
      </c>
      <c r="C1088">
        <v>0</v>
      </c>
      <c r="D1088" t="s">
        <v>9697</v>
      </c>
      <c r="E1088" t="s">
        <v>9697</v>
      </c>
      <c r="F1088">
        <v>32</v>
      </c>
      <c r="G1088">
        <v>37</v>
      </c>
    </row>
    <row r="1089" spans="1:7" x14ac:dyDescent="0.25">
      <c r="A1089">
        <v>1087</v>
      </c>
      <c r="B1089">
        <v>40</v>
      </c>
      <c r="C1089">
        <v>0</v>
      </c>
      <c r="D1089" t="s">
        <v>9698</v>
      </c>
      <c r="E1089" t="s">
        <v>9698</v>
      </c>
      <c r="F1089">
        <v>31</v>
      </c>
      <c r="G1089">
        <v>37</v>
      </c>
    </row>
    <row r="1090" spans="1:7" x14ac:dyDescent="0.25">
      <c r="A1090">
        <v>1088</v>
      </c>
      <c r="B1090">
        <v>40</v>
      </c>
      <c r="C1090">
        <v>0</v>
      </c>
      <c r="D1090" t="s">
        <v>9699</v>
      </c>
      <c r="E1090" t="s">
        <v>9699</v>
      </c>
      <c r="F1090">
        <v>31</v>
      </c>
      <c r="G1090">
        <v>37</v>
      </c>
    </row>
    <row r="1091" spans="1:7" x14ac:dyDescent="0.25">
      <c r="A1091">
        <v>1089</v>
      </c>
      <c r="B1091">
        <v>40</v>
      </c>
      <c r="C1091">
        <v>0</v>
      </c>
      <c r="D1091" t="s">
        <v>9700</v>
      </c>
      <c r="E1091" t="s">
        <v>9700</v>
      </c>
      <c r="F1091">
        <v>31</v>
      </c>
      <c r="G1091">
        <v>37</v>
      </c>
    </row>
    <row r="1092" spans="1:7" x14ac:dyDescent="0.25">
      <c r="A1092">
        <v>1090</v>
      </c>
      <c r="B1092">
        <v>40</v>
      </c>
      <c r="C1092">
        <v>0</v>
      </c>
      <c r="D1092" t="s">
        <v>9701</v>
      </c>
      <c r="E1092" t="s">
        <v>9701</v>
      </c>
      <c r="F1092">
        <v>31</v>
      </c>
      <c r="G1092">
        <v>37</v>
      </c>
    </row>
    <row r="1093" spans="1:7" x14ac:dyDescent="0.25">
      <c r="A1093">
        <v>1091</v>
      </c>
      <c r="B1093">
        <v>40</v>
      </c>
      <c r="C1093">
        <v>0</v>
      </c>
      <c r="D1093" t="s">
        <v>9702</v>
      </c>
      <c r="E1093" t="s">
        <v>9702</v>
      </c>
      <c r="F1093">
        <v>31</v>
      </c>
      <c r="G1093">
        <v>37</v>
      </c>
    </row>
    <row r="1094" spans="1:7" x14ac:dyDescent="0.25">
      <c r="A1094">
        <v>1092</v>
      </c>
      <c r="B1094">
        <v>40</v>
      </c>
      <c r="C1094">
        <v>0</v>
      </c>
      <c r="D1094" t="s">
        <v>9703</v>
      </c>
      <c r="E1094" t="s">
        <v>9703</v>
      </c>
      <c r="F1094">
        <v>31</v>
      </c>
      <c r="G1094">
        <v>37</v>
      </c>
    </row>
    <row r="1095" spans="1:7" x14ac:dyDescent="0.25">
      <c r="A1095">
        <v>1093</v>
      </c>
      <c r="B1095">
        <v>2</v>
      </c>
      <c r="C1095">
        <v>0</v>
      </c>
      <c r="D1095" t="s">
        <v>9704</v>
      </c>
      <c r="E1095" t="s">
        <v>9704</v>
      </c>
      <c r="F1095">
        <v>32</v>
      </c>
      <c r="G1095">
        <v>37</v>
      </c>
    </row>
    <row r="1096" spans="1:7" x14ac:dyDescent="0.25">
      <c r="A1096">
        <v>1094</v>
      </c>
      <c r="B1096">
        <v>10</v>
      </c>
      <c r="C1096">
        <v>300</v>
      </c>
      <c r="D1096" t="s">
        <v>9705</v>
      </c>
      <c r="F1096">
        <v>32</v>
      </c>
      <c r="G1096">
        <v>37</v>
      </c>
    </row>
    <row r="1097" spans="1:7" x14ac:dyDescent="0.25">
      <c r="A1097">
        <v>1095</v>
      </c>
      <c r="B1097">
        <v>69</v>
      </c>
      <c r="C1097">
        <v>300</v>
      </c>
      <c r="D1097" t="s">
        <v>9706</v>
      </c>
      <c r="F1097">
        <v>32</v>
      </c>
      <c r="G1097">
        <v>37</v>
      </c>
    </row>
    <row r="1098" spans="1:7" x14ac:dyDescent="0.25">
      <c r="A1098">
        <v>1096</v>
      </c>
      <c r="B1098">
        <v>10</v>
      </c>
      <c r="C1098">
        <v>300</v>
      </c>
      <c r="D1098" t="s">
        <v>9707</v>
      </c>
      <c r="F1098">
        <v>32</v>
      </c>
      <c r="G1098">
        <v>37</v>
      </c>
    </row>
    <row r="1099" spans="1:7" x14ac:dyDescent="0.25">
      <c r="A1099">
        <v>1097</v>
      </c>
      <c r="B1099">
        <v>54</v>
      </c>
      <c r="C1099">
        <v>300</v>
      </c>
      <c r="D1099" t="s">
        <v>9708</v>
      </c>
      <c r="F1099">
        <v>32</v>
      </c>
      <c r="G1099">
        <v>38</v>
      </c>
    </row>
    <row r="1100" spans="1:7" x14ac:dyDescent="0.25">
      <c r="A1100">
        <v>1098</v>
      </c>
      <c r="B1100">
        <v>40</v>
      </c>
      <c r="C1100">
        <v>0</v>
      </c>
      <c r="D1100" t="s">
        <v>9709</v>
      </c>
      <c r="E1100" t="s">
        <v>9709</v>
      </c>
      <c r="F1100">
        <v>31</v>
      </c>
      <c r="G1100">
        <v>37</v>
      </c>
    </row>
    <row r="1101" spans="1:7" x14ac:dyDescent="0.25">
      <c r="A1101">
        <v>1099</v>
      </c>
      <c r="B1101">
        <v>10</v>
      </c>
      <c r="C1101">
        <v>300</v>
      </c>
      <c r="D1101" t="s">
        <v>9710</v>
      </c>
      <c r="F1101">
        <v>32</v>
      </c>
      <c r="G1101">
        <v>37</v>
      </c>
    </row>
    <row r="1102" spans="1:7" x14ac:dyDescent="0.25">
      <c r="A1102">
        <v>1100</v>
      </c>
      <c r="B1102">
        <v>54</v>
      </c>
      <c r="C1102">
        <v>300</v>
      </c>
      <c r="D1102" t="s">
        <v>9711</v>
      </c>
      <c r="F1102">
        <v>32</v>
      </c>
      <c r="G1102">
        <v>38</v>
      </c>
    </row>
    <row r="1103" spans="1:7" x14ac:dyDescent="0.25">
      <c r="A1103">
        <v>1101</v>
      </c>
      <c r="B1103">
        <v>10</v>
      </c>
      <c r="C1103">
        <v>0</v>
      </c>
      <c r="D1103" t="s">
        <v>9712</v>
      </c>
      <c r="F1103">
        <v>32</v>
      </c>
      <c r="G1103">
        <v>37</v>
      </c>
    </row>
    <row r="1104" spans="1:7" x14ac:dyDescent="0.25">
      <c r="A1104">
        <v>1102</v>
      </c>
      <c r="B1104">
        <v>14</v>
      </c>
      <c r="C1104">
        <v>300</v>
      </c>
      <c r="D1104" t="s">
        <v>9713</v>
      </c>
      <c r="F1104">
        <v>32</v>
      </c>
      <c r="G1104">
        <v>37</v>
      </c>
    </row>
    <row r="1105" spans="1:7" x14ac:dyDescent="0.25">
      <c r="A1105">
        <v>1103</v>
      </c>
      <c r="B1105">
        <v>40</v>
      </c>
      <c r="C1105">
        <v>0</v>
      </c>
      <c r="D1105" t="s">
        <v>9714</v>
      </c>
      <c r="E1105" t="s">
        <v>9714</v>
      </c>
      <c r="F1105">
        <v>31</v>
      </c>
      <c r="G1105">
        <v>37</v>
      </c>
    </row>
    <row r="1106" spans="1:7" x14ac:dyDescent="0.25">
      <c r="A1106">
        <v>1104</v>
      </c>
      <c r="B1106">
        <v>40</v>
      </c>
      <c r="C1106">
        <v>0</v>
      </c>
      <c r="D1106" t="s">
        <v>9715</v>
      </c>
      <c r="E1106" t="s">
        <v>9715</v>
      </c>
      <c r="F1106">
        <v>31</v>
      </c>
      <c r="G1106">
        <v>37</v>
      </c>
    </row>
    <row r="1107" spans="1:7" x14ac:dyDescent="0.25">
      <c r="A1107">
        <v>1105</v>
      </c>
      <c r="B1107">
        <v>40</v>
      </c>
      <c r="C1107">
        <v>0</v>
      </c>
      <c r="D1107" t="s">
        <v>9716</v>
      </c>
      <c r="E1107" t="s">
        <v>9716</v>
      </c>
      <c r="F1107">
        <v>31</v>
      </c>
      <c r="G1107">
        <v>37</v>
      </c>
    </row>
    <row r="1108" spans="1:7" x14ac:dyDescent="0.25">
      <c r="A1108">
        <v>1106</v>
      </c>
      <c r="B1108">
        <v>19</v>
      </c>
      <c r="C1108">
        <v>0</v>
      </c>
      <c r="D1108" t="s">
        <v>9717</v>
      </c>
      <c r="E1108" t="s">
        <v>9717</v>
      </c>
      <c r="F1108">
        <v>32</v>
      </c>
      <c r="G1108">
        <v>37</v>
      </c>
    </row>
    <row r="1109" spans="1:7" x14ac:dyDescent="0.25">
      <c r="A1109">
        <v>1107</v>
      </c>
      <c r="B1109">
        <v>54</v>
      </c>
      <c r="C1109">
        <v>300</v>
      </c>
      <c r="D1109" t="s">
        <v>9718</v>
      </c>
      <c r="F1109">
        <v>32</v>
      </c>
      <c r="G1109">
        <v>37</v>
      </c>
    </row>
    <row r="1110" spans="1:7" x14ac:dyDescent="0.25">
      <c r="A1110">
        <v>1108</v>
      </c>
      <c r="B1110">
        <v>14</v>
      </c>
      <c r="C1110">
        <v>300</v>
      </c>
      <c r="D1110" t="s">
        <v>9719</v>
      </c>
      <c r="F1110">
        <v>32</v>
      </c>
      <c r="G1110">
        <v>37</v>
      </c>
    </row>
    <row r="1111" spans="1:7" x14ac:dyDescent="0.25">
      <c r="A1111">
        <v>1109</v>
      </c>
      <c r="B1111">
        <v>40</v>
      </c>
      <c r="C1111">
        <v>300</v>
      </c>
      <c r="D1111" t="s">
        <v>9720</v>
      </c>
      <c r="E1111" t="s">
        <v>9720</v>
      </c>
      <c r="F1111">
        <v>31</v>
      </c>
      <c r="G1111">
        <v>38</v>
      </c>
    </row>
    <row r="1112" spans="1:7" x14ac:dyDescent="0.25">
      <c r="A1112">
        <v>1110</v>
      </c>
      <c r="B1112">
        <v>40</v>
      </c>
      <c r="C1112">
        <v>0</v>
      </c>
      <c r="D1112" t="s">
        <v>9721</v>
      </c>
      <c r="E1112" t="s">
        <v>9721</v>
      </c>
      <c r="F1112">
        <v>31</v>
      </c>
      <c r="G1112">
        <v>37</v>
      </c>
    </row>
    <row r="1113" spans="1:7" x14ac:dyDescent="0.25">
      <c r="A1113">
        <v>1111</v>
      </c>
      <c r="B1113">
        <v>40</v>
      </c>
      <c r="C1113">
        <v>0</v>
      </c>
      <c r="D1113" t="s">
        <v>9722</v>
      </c>
      <c r="E1113" t="s">
        <v>9722</v>
      </c>
      <c r="F1113">
        <v>31</v>
      </c>
      <c r="G1113">
        <v>37</v>
      </c>
    </row>
    <row r="1114" spans="1:7" x14ac:dyDescent="0.25">
      <c r="A1114">
        <v>1112</v>
      </c>
      <c r="B1114">
        <v>40</v>
      </c>
      <c r="C1114">
        <v>0</v>
      </c>
      <c r="D1114" t="s">
        <v>9723</v>
      </c>
      <c r="E1114" t="s">
        <v>9723</v>
      </c>
      <c r="F1114">
        <v>31</v>
      </c>
      <c r="G1114">
        <v>37</v>
      </c>
    </row>
    <row r="1115" spans="1:7" x14ac:dyDescent="0.25">
      <c r="A1115">
        <v>1113</v>
      </c>
      <c r="B1115">
        <v>40</v>
      </c>
      <c r="C1115">
        <v>0</v>
      </c>
      <c r="D1115" t="s">
        <v>9724</v>
      </c>
      <c r="E1115" t="s">
        <v>9724</v>
      </c>
      <c r="F1115">
        <v>31</v>
      </c>
      <c r="G1115">
        <v>37</v>
      </c>
    </row>
    <row r="1116" spans="1:7" x14ac:dyDescent="0.25">
      <c r="A1116">
        <v>1114</v>
      </c>
      <c r="B1116">
        <v>40</v>
      </c>
      <c r="C1116">
        <v>0</v>
      </c>
      <c r="D1116" t="s">
        <v>9725</v>
      </c>
      <c r="E1116" t="s">
        <v>9725</v>
      </c>
      <c r="F1116">
        <v>31</v>
      </c>
      <c r="G1116">
        <v>37</v>
      </c>
    </row>
    <row r="1117" spans="1:7" x14ac:dyDescent="0.25">
      <c r="A1117">
        <v>1115</v>
      </c>
      <c r="B1117">
        <v>40</v>
      </c>
      <c r="C1117">
        <v>0</v>
      </c>
      <c r="D1117" t="s">
        <v>9726</v>
      </c>
      <c r="E1117" t="s">
        <v>9726</v>
      </c>
      <c r="F1117">
        <v>31</v>
      </c>
      <c r="G1117">
        <v>37</v>
      </c>
    </row>
    <row r="1118" spans="1:7" x14ac:dyDescent="0.25">
      <c r="A1118">
        <v>1116</v>
      </c>
      <c r="B1118">
        <v>40</v>
      </c>
      <c r="C1118">
        <v>0</v>
      </c>
      <c r="D1118" t="s">
        <v>9727</v>
      </c>
      <c r="E1118" t="s">
        <v>9727</v>
      </c>
      <c r="F1118">
        <v>31</v>
      </c>
      <c r="G1118">
        <v>37</v>
      </c>
    </row>
    <row r="1119" spans="1:7" x14ac:dyDescent="0.25">
      <c r="A1119">
        <v>1117</v>
      </c>
      <c r="B1119">
        <v>40</v>
      </c>
      <c r="C1119">
        <v>0</v>
      </c>
      <c r="D1119" t="s">
        <v>9728</v>
      </c>
      <c r="E1119" t="s">
        <v>9728</v>
      </c>
      <c r="F1119">
        <v>31</v>
      </c>
      <c r="G1119">
        <v>37</v>
      </c>
    </row>
    <row r="1120" spans="1:7" x14ac:dyDescent="0.25">
      <c r="A1120">
        <v>1118</v>
      </c>
      <c r="B1120">
        <v>40</v>
      </c>
      <c r="C1120">
        <v>0</v>
      </c>
      <c r="D1120" t="s">
        <v>9729</v>
      </c>
      <c r="E1120" t="s">
        <v>9729</v>
      </c>
      <c r="F1120">
        <v>31</v>
      </c>
      <c r="G1120">
        <v>37</v>
      </c>
    </row>
    <row r="1121" spans="1:7" x14ac:dyDescent="0.25">
      <c r="A1121">
        <v>1119</v>
      </c>
      <c r="B1121">
        <v>40</v>
      </c>
      <c r="C1121">
        <v>0</v>
      </c>
      <c r="D1121" t="s">
        <v>9730</v>
      </c>
      <c r="E1121" t="s">
        <v>9730</v>
      </c>
      <c r="F1121">
        <v>31</v>
      </c>
      <c r="G1121">
        <v>37</v>
      </c>
    </row>
    <row r="1122" spans="1:7" x14ac:dyDescent="0.25">
      <c r="A1122">
        <v>1120</v>
      </c>
      <c r="B1122">
        <v>40</v>
      </c>
      <c r="C1122">
        <v>0</v>
      </c>
      <c r="D1122" t="s">
        <v>9731</v>
      </c>
      <c r="E1122" t="s">
        <v>9731</v>
      </c>
      <c r="F1122">
        <v>31</v>
      </c>
      <c r="G1122">
        <v>37</v>
      </c>
    </row>
    <row r="1123" spans="1:7" x14ac:dyDescent="0.25">
      <c r="A1123">
        <v>1121</v>
      </c>
      <c r="B1123">
        <v>10</v>
      </c>
      <c r="C1123">
        <v>300</v>
      </c>
      <c r="D1123" t="s">
        <v>9732</v>
      </c>
      <c r="F1123">
        <v>32</v>
      </c>
      <c r="G1123">
        <v>37</v>
      </c>
    </row>
    <row r="1124" spans="1:7" x14ac:dyDescent="0.25">
      <c r="A1124">
        <v>1122</v>
      </c>
      <c r="B1124">
        <v>14</v>
      </c>
      <c r="C1124">
        <v>300</v>
      </c>
      <c r="D1124" t="s">
        <v>9733</v>
      </c>
      <c r="F1124">
        <v>32</v>
      </c>
      <c r="G1124">
        <v>37</v>
      </c>
    </row>
    <row r="1125" spans="1:7" x14ac:dyDescent="0.25">
      <c r="A1125">
        <v>1123</v>
      </c>
      <c r="B1125">
        <v>40</v>
      </c>
      <c r="C1125">
        <v>0</v>
      </c>
      <c r="D1125" t="s">
        <v>9734</v>
      </c>
      <c r="E1125" t="s">
        <v>9734</v>
      </c>
      <c r="F1125">
        <v>31</v>
      </c>
      <c r="G1125">
        <v>37</v>
      </c>
    </row>
    <row r="1126" spans="1:7" x14ac:dyDescent="0.25">
      <c r="A1126">
        <v>1124</v>
      </c>
      <c r="B1126">
        <v>10</v>
      </c>
      <c r="C1126">
        <v>0</v>
      </c>
      <c r="D1126" t="s">
        <v>9735</v>
      </c>
      <c r="F1126">
        <v>32</v>
      </c>
      <c r="G1126">
        <v>38</v>
      </c>
    </row>
    <row r="1127" spans="1:7" x14ac:dyDescent="0.25">
      <c r="A1127">
        <v>1125</v>
      </c>
      <c r="B1127">
        <v>40</v>
      </c>
      <c r="C1127">
        <v>0</v>
      </c>
      <c r="D1127" t="s">
        <v>9736</v>
      </c>
      <c r="E1127" t="s">
        <v>9736</v>
      </c>
      <c r="F1127">
        <v>31</v>
      </c>
      <c r="G1127">
        <v>37</v>
      </c>
    </row>
    <row r="1128" spans="1:7" x14ac:dyDescent="0.25">
      <c r="A1128">
        <v>1126</v>
      </c>
      <c r="B1128">
        <v>40</v>
      </c>
      <c r="C1128">
        <v>0</v>
      </c>
      <c r="D1128" t="s">
        <v>9737</v>
      </c>
      <c r="E1128" t="s">
        <v>9737</v>
      </c>
      <c r="F1128">
        <v>31</v>
      </c>
      <c r="G1128">
        <v>37</v>
      </c>
    </row>
    <row r="1129" spans="1:7" x14ac:dyDescent="0.25">
      <c r="A1129">
        <v>1127</v>
      </c>
      <c r="B1129">
        <v>40</v>
      </c>
      <c r="C1129">
        <v>0</v>
      </c>
      <c r="D1129" t="s">
        <v>9738</v>
      </c>
      <c r="E1129" t="s">
        <v>9738</v>
      </c>
      <c r="F1129">
        <v>31</v>
      </c>
      <c r="G1129">
        <v>37</v>
      </c>
    </row>
    <row r="1130" spans="1:7" x14ac:dyDescent="0.25">
      <c r="A1130">
        <v>1128</v>
      </c>
      <c r="B1130">
        <v>40</v>
      </c>
      <c r="C1130">
        <v>0</v>
      </c>
      <c r="D1130" t="s">
        <v>9739</v>
      </c>
      <c r="E1130" t="s">
        <v>9739</v>
      </c>
      <c r="F1130">
        <v>31</v>
      </c>
      <c r="G1130">
        <v>37</v>
      </c>
    </row>
    <row r="1131" spans="1:7" x14ac:dyDescent="0.25">
      <c r="A1131">
        <v>1129</v>
      </c>
      <c r="B1131">
        <v>40</v>
      </c>
      <c r="C1131">
        <v>200</v>
      </c>
      <c r="D1131" t="s">
        <v>9740</v>
      </c>
      <c r="E1131" t="s">
        <v>9740</v>
      </c>
      <c r="F1131">
        <v>31</v>
      </c>
      <c r="G1131">
        <v>37</v>
      </c>
    </row>
    <row r="1132" spans="1:7" x14ac:dyDescent="0.25">
      <c r="A1132">
        <v>1130</v>
      </c>
      <c r="B1132">
        <v>2</v>
      </c>
      <c r="C1132">
        <v>300</v>
      </c>
      <c r="D1132" t="s">
        <v>9741</v>
      </c>
      <c r="E1132" t="s">
        <v>9741</v>
      </c>
      <c r="F1132">
        <v>32</v>
      </c>
      <c r="G1132">
        <v>38</v>
      </c>
    </row>
    <row r="1133" spans="1:7" x14ac:dyDescent="0.25">
      <c r="A1133">
        <v>1131</v>
      </c>
      <c r="B1133">
        <v>40</v>
      </c>
      <c r="C1133">
        <v>0</v>
      </c>
      <c r="D1133" t="s">
        <v>9742</v>
      </c>
      <c r="E1133" t="s">
        <v>9742</v>
      </c>
      <c r="F1133">
        <v>31</v>
      </c>
      <c r="G1133">
        <v>37</v>
      </c>
    </row>
    <row r="1134" spans="1:7" x14ac:dyDescent="0.25">
      <c r="A1134">
        <v>1132</v>
      </c>
      <c r="B1134">
        <v>40</v>
      </c>
      <c r="C1134">
        <v>0</v>
      </c>
      <c r="D1134" t="s">
        <v>9743</v>
      </c>
      <c r="E1134" t="s">
        <v>9743</v>
      </c>
      <c r="F1134">
        <v>31</v>
      </c>
      <c r="G1134">
        <v>38</v>
      </c>
    </row>
    <row r="1135" spans="1:7" x14ac:dyDescent="0.25">
      <c r="A1135">
        <v>1133</v>
      </c>
      <c r="B1135">
        <v>40</v>
      </c>
      <c r="C1135">
        <v>0</v>
      </c>
      <c r="D1135" t="s">
        <v>9744</v>
      </c>
      <c r="E1135" t="s">
        <v>9744</v>
      </c>
      <c r="F1135">
        <v>31</v>
      </c>
      <c r="G1135">
        <v>37</v>
      </c>
    </row>
    <row r="1136" spans="1:7" x14ac:dyDescent="0.25">
      <c r="A1136">
        <v>1134</v>
      </c>
      <c r="B1136">
        <v>10</v>
      </c>
      <c r="C1136">
        <v>300</v>
      </c>
      <c r="D1136" t="s">
        <v>9745</v>
      </c>
      <c r="F1136">
        <v>32</v>
      </c>
      <c r="G1136">
        <v>38</v>
      </c>
    </row>
    <row r="1137" spans="1:7" x14ac:dyDescent="0.25">
      <c r="A1137">
        <v>1135</v>
      </c>
      <c r="B1137">
        <v>40</v>
      </c>
      <c r="C1137">
        <v>0</v>
      </c>
      <c r="D1137" t="s">
        <v>9746</v>
      </c>
      <c r="E1137" t="s">
        <v>9746</v>
      </c>
      <c r="F1137">
        <v>31</v>
      </c>
      <c r="G1137">
        <v>38</v>
      </c>
    </row>
    <row r="1138" spans="1:7" x14ac:dyDescent="0.25">
      <c r="A1138">
        <v>1136</v>
      </c>
      <c r="B1138">
        <v>40</v>
      </c>
      <c r="C1138">
        <v>0</v>
      </c>
      <c r="D1138" t="s">
        <v>9747</v>
      </c>
      <c r="E1138" t="s">
        <v>9747</v>
      </c>
      <c r="F1138">
        <v>31</v>
      </c>
      <c r="G1138">
        <v>37</v>
      </c>
    </row>
    <row r="1139" spans="1:7" x14ac:dyDescent="0.25">
      <c r="A1139">
        <v>1137</v>
      </c>
      <c r="B1139">
        <v>69</v>
      </c>
      <c r="C1139">
        <v>300</v>
      </c>
      <c r="D1139" t="s">
        <v>9748</v>
      </c>
      <c r="F1139">
        <v>32</v>
      </c>
      <c r="G1139">
        <v>38</v>
      </c>
    </row>
    <row r="1140" spans="1:7" x14ac:dyDescent="0.25">
      <c r="A1140">
        <v>1138</v>
      </c>
      <c r="B1140">
        <v>40</v>
      </c>
      <c r="C1140">
        <v>0</v>
      </c>
      <c r="D1140" t="s">
        <v>9749</v>
      </c>
      <c r="E1140" t="s">
        <v>9749</v>
      </c>
      <c r="F1140">
        <v>31</v>
      </c>
      <c r="G1140">
        <v>37</v>
      </c>
    </row>
    <row r="1141" spans="1:7" x14ac:dyDescent="0.25">
      <c r="A1141">
        <v>1139</v>
      </c>
      <c r="B1141">
        <v>78</v>
      </c>
      <c r="C1141">
        <v>300</v>
      </c>
      <c r="D1141" t="s">
        <v>9750</v>
      </c>
      <c r="F1141">
        <v>32</v>
      </c>
      <c r="G1141">
        <v>37</v>
      </c>
    </row>
    <row r="1142" spans="1:7" x14ac:dyDescent="0.25">
      <c r="A1142">
        <v>1140</v>
      </c>
      <c r="B1142">
        <v>40</v>
      </c>
      <c r="C1142">
        <v>0</v>
      </c>
      <c r="D1142" t="s">
        <v>9751</v>
      </c>
      <c r="E1142" t="s">
        <v>9751</v>
      </c>
      <c r="F1142">
        <v>31</v>
      </c>
      <c r="G1142">
        <v>37</v>
      </c>
    </row>
    <row r="1143" spans="1:7" x14ac:dyDescent="0.25">
      <c r="A1143">
        <v>1141</v>
      </c>
      <c r="B1143">
        <v>40</v>
      </c>
      <c r="C1143">
        <v>0</v>
      </c>
      <c r="D1143" t="s">
        <v>9752</v>
      </c>
      <c r="E1143" t="s">
        <v>9752</v>
      </c>
      <c r="F1143">
        <v>31</v>
      </c>
      <c r="G1143">
        <v>37</v>
      </c>
    </row>
    <row r="1144" spans="1:7" x14ac:dyDescent="0.25">
      <c r="A1144">
        <v>1142</v>
      </c>
      <c r="B1144">
        <v>78</v>
      </c>
      <c r="C1144">
        <v>300</v>
      </c>
      <c r="D1144" t="s">
        <v>9753</v>
      </c>
      <c r="F1144">
        <v>32</v>
      </c>
      <c r="G1144">
        <v>37</v>
      </c>
    </row>
    <row r="1145" spans="1:7" x14ac:dyDescent="0.25">
      <c r="A1145">
        <v>1143</v>
      </c>
      <c r="B1145">
        <v>77</v>
      </c>
      <c r="C1145">
        <v>300</v>
      </c>
      <c r="D1145" t="s">
        <v>9754</v>
      </c>
      <c r="F1145">
        <v>32</v>
      </c>
      <c r="G1145">
        <v>37</v>
      </c>
    </row>
    <row r="1146" spans="1:7" x14ac:dyDescent="0.25">
      <c r="A1146">
        <v>1144</v>
      </c>
      <c r="B1146">
        <v>23</v>
      </c>
      <c r="C1146">
        <v>300</v>
      </c>
      <c r="D1146" t="s">
        <v>9755</v>
      </c>
      <c r="F1146">
        <v>32</v>
      </c>
      <c r="G1146">
        <v>37</v>
      </c>
    </row>
    <row r="1147" spans="1:7" x14ac:dyDescent="0.25">
      <c r="A1147">
        <v>1145</v>
      </c>
      <c r="B1147">
        <v>40</v>
      </c>
      <c r="C1147">
        <v>0</v>
      </c>
      <c r="D1147" t="s">
        <v>9756</v>
      </c>
      <c r="E1147" t="s">
        <v>9756</v>
      </c>
      <c r="F1147">
        <v>31</v>
      </c>
      <c r="G1147">
        <v>37</v>
      </c>
    </row>
    <row r="1148" spans="1:7" x14ac:dyDescent="0.25">
      <c r="A1148">
        <v>1146</v>
      </c>
      <c r="B1148">
        <v>10</v>
      </c>
      <c r="C1148">
        <v>300</v>
      </c>
      <c r="D1148" t="s">
        <v>9757</v>
      </c>
      <c r="F1148">
        <v>32</v>
      </c>
      <c r="G1148">
        <v>38</v>
      </c>
    </row>
    <row r="1149" spans="1:7" x14ac:dyDescent="0.25">
      <c r="A1149">
        <v>1147</v>
      </c>
      <c r="B1149">
        <v>40</v>
      </c>
      <c r="C1149">
        <v>0</v>
      </c>
      <c r="D1149" t="s">
        <v>9758</v>
      </c>
      <c r="E1149" t="s">
        <v>9758</v>
      </c>
      <c r="F1149">
        <v>31</v>
      </c>
      <c r="G1149">
        <v>37</v>
      </c>
    </row>
    <row r="1150" spans="1:7" x14ac:dyDescent="0.25">
      <c r="A1150">
        <v>1148</v>
      </c>
      <c r="B1150">
        <v>40</v>
      </c>
      <c r="C1150">
        <v>0</v>
      </c>
      <c r="D1150" t="s">
        <v>9759</v>
      </c>
      <c r="E1150" t="s">
        <v>9759</v>
      </c>
      <c r="F1150">
        <v>31</v>
      </c>
      <c r="G1150">
        <v>37</v>
      </c>
    </row>
    <row r="1151" spans="1:7" x14ac:dyDescent="0.25">
      <c r="A1151">
        <v>1149</v>
      </c>
      <c r="B1151">
        <v>40</v>
      </c>
      <c r="C1151">
        <v>0</v>
      </c>
      <c r="D1151" t="s">
        <v>9760</v>
      </c>
      <c r="E1151" t="s">
        <v>9760</v>
      </c>
      <c r="F1151">
        <v>31</v>
      </c>
      <c r="G1151">
        <v>37</v>
      </c>
    </row>
    <row r="1152" spans="1:7" x14ac:dyDescent="0.25">
      <c r="A1152">
        <v>1150</v>
      </c>
      <c r="B1152">
        <v>40</v>
      </c>
      <c r="C1152">
        <v>0</v>
      </c>
      <c r="D1152" t="s">
        <v>9761</v>
      </c>
      <c r="E1152" t="s">
        <v>9761</v>
      </c>
      <c r="F1152">
        <v>31</v>
      </c>
      <c r="G1152">
        <v>37</v>
      </c>
    </row>
    <row r="1153" spans="1:7" x14ac:dyDescent="0.25">
      <c r="A1153">
        <v>1151</v>
      </c>
      <c r="B1153">
        <v>25</v>
      </c>
      <c r="C1153">
        <v>300</v>
      </c>
      <c r="D1153" t="s">
        <v>9762</v>
      </c>
      <c r="F1153">
        <v>32</v>
      </c>
      <c r="G1153">
        <v>37</v>
      </c>
    </row>
    <row r="1154" spans="1:7" x14ac:dyDescent="0.25">
      <c r="A1154">
        <v>1152</v>
      </c>
      <c r="B1154">
        <v>10</v>
      </c>
      <c r="C1154">
        <v>300</v>
      </c>
      <c r="D1154" t="s">
        <v>9763</v>
      </c>
      <c r="F1154">
        <v>32</v>
      </c>
      <c r="G1154">
        <v>38</v>
      </c>
    </row>
    <row r="1155" spans="1:7" x14ac:dyDescent="0.25">
      <c r="A1155">
        <v>1153</v>
      </c>
      <c r="B1155">
        <v>40</v>
      </c>
      <c r="C1155">
        <v>0</v>
      </c>
      <c r="D1155" t="s">
        <v>9764</v>
      </c>
      <c r="E1155" t="s">
        <v>9764</v>
      </c>
      <c r="F1155">
        <v>31</v>
      </c>
      <c r="G1155">
        <v>37</v>
      </c>
    </row>
    <row r="1156" spans="1:7" x14ac:dyDescent="0.25">
      <c r="A1156">
        <v>1154</v>
      </c>
      <c r="B1156">
        <v>40</v>
      </c>
      <c r="C1156">
        <v>0</v>
      </c>
      <c r="D1156" t="s">
        <v>9765</v>
      </c>
      <c r="E1156" t="s">
        <v>9765</v>
      </c>
      <c r="F1156">
        <v>31</v>
      </c>
      <c r="G1156">
        <v>37</v>
      </c>
    </row>
    <row r="1157" spans="1:7" x14ac:dyDescent="0.25">
      <c r="A1157">
        <v>1155</v>
      </c>
      <c r="B1157">
        <v>40</v>
      </c>
      <c r="C1157">
        <v>0</v>
      </c>
      <c r="D1157" t="s">
        <v>9766</v>
      </c>
      <c r="E1157" t="s">
        <v>9766</v>
      </c>
      <c r="F1157">
        <v>31</v>
      </c>
      <c r="G1157">
        <v>37</v>
      </c>
    </row>
    <row r="1158" spans="1:7" x14ac:dyDescent="0.25">
      <c r="A1158">
        <v>1156</v>
      </c>
      <c r="B1158">
        <v>40</v>
      </c>
      <c r="C1158">
        <v>0</v>
      </c>
      <c r="D1158" t="s">
        <v>9767</v>
      </c>
      <c r="E1158" t="s">
        <v>9767</v>
      </c>
      <c r="F1158">
        <v>31</v>
      </c>
      <c r="G1158">
        <v>37</v>
      </c>
    </row>
    <row r="1159" spans="1:7" x14ac:dyDescent="0.25">
      <c r="A1159">
        <v>1157</v>
      </c>
      <c r="B1159">
        <v>54</v>
      </c>
      <c r="C1159">
        <v>300</v>
      </c>
      <c r="D1159" t="s">
        <v>9768</v>
      </c>
      <c r="F1159">
        <v>32</v>
      </c>
      <c r="G1159">
        <v>37</v>
      </c>
    </row>
    <row r="1160" spans="1:7" x14ac:dyDescent="0.25">
      <c r="A1160">
        <v>1158</v>
      </c>
      <c r="B1160">
        <v>40</v>
      </c>
      <c r="C1160">
        <v>0</v>
      </c>
      <c r="D1160" t="s">
        <v>9769</v>
      </c>
      <c r="E1160" t="s">
        <v>9769</v>
      </c>
      <c r="F1160">
        <v>31</v>
      </c>
      <c r="G1160">
        <v>37</v>
      </c>
    </row>
    <row r="1161" spans="1:7" x14ac:dyDescent="0.25">
      <c r="A1161">
        <v>1159</v>
      </c>
      <c r="B1161">
        <v>54</v>
      </c>
      <c r="C1161">
        <v>300</v>
      </c>
      <c r="D1161" t="s">
        <v>9770</v>
      </c>
      <c r="F1161">
        <v>32</v>
      </c>
      <c r="G1161">
        <v>38</v>
      </c>
    </row>
    <row r="1162" spans="1:7" x14ac:dyDescent="0.25">
      <c r="A1162">
        <v>1160</v>
      </c>
      <c r="B1162">
        <v>40</v>
      </c>
      <c r="C1162">
        <v>0</v>
      </c>
      <c r="D1162" t="s">
        <v>9771</v>
      </c>
      <c r="E1162" t="s">
        <v>9771</v>
      </c>
      <c r="F1162">
        <v>31</v>
      </c>
      <c r="G1162">
        <v>37</v>
      </c>
    </row>
    <row r="1163" spans="1:7" x14ac:dyDescent="0.25">
      <c r="A1163">
        <v>1161</v>
      </c>
      <c r="B1163">
        <v>40</v>
      </c>
      <c r="C1163">
        <v>0</v>
      </c>
      <c r="D1163" t="s">
        <v>9772</v>
      </c>
      <c r="E1163" t="s">
        <v>9772</v>
      </c>
      <c r="F1163">
        <v>31</v>
      </c>
      <c r="G1163">
        <v>37</v>
      </c>
    </row>
    <row r="1164" spans="1:7" x14ac:dyDescent="0.25">
      <c r="A1164">
        <v>1162</v>
      </c>
      <c r="B1164">
        <v>40</v>
      </c>
      <c r="C1164">
        <v>0</v>
      </c>
      <c r="D1164" t="s">
        <v>9773</v>
      </c>
      <c r="E1164" t="s">
        <v>9773</v>
      </c>
      <c r="F1164">
        <v>31</v>
      </c>
      <c r="G1164">
        <v>38</v>
      </c>
    </row>
    <row r="1165" spans="1:7" x14ac:dyDescent="0.25">
      <c r="A1165">
        <v>1163</v>
      </c>
      <c r="B1165">
        <v>40</v>
      </c>
      <c r="C1165">
        <v>0</v>
      </c>
      <c r="D1165" t="s">
        <v>9774</v>
      </c>
      <c r="E1165" t="s">
        <v>9774</v>
      </c>
      <c r="F1165">
        <v>31</v>
      </c>
      <c r="G1165">
        <v>37</v>
      </c>
    </row>
    <row r="1166" spans="1:7" x14ac:dyDescent="0.25">
      <c r="A1166">
        <v>1164</v>
      </c>
      <c r="B1166">
        <v>14</v>
      </c>
      <c r="C1166">
        <v>300</v>
      </c>
      <c r="D1166" t="s">
        <v>9775</v>
      </c>
      <c r="F1166">
        <v>32</v>
      </c>
      <c r="G1166">
        <v>38</v>
      </c>
    </row>
    <row r="1167" spans="1:7" x14ac:dyDescent="0.25">
      <c r="A1167">
        <v>1165</v>
      </c>
      <c r="B1167">
        <v>37</v>
      </c>
      <c r="C1167">
        <v>300</v>
      </c>
      <c r="D1167" t="s">
        <v>9776</v>
      </c>
      <c r="F1167">
        <v>32</v>
      </c>
      <c r="G1167">
        <v>37</v>
      </c>
    </row>
    <row r="1168" spans="1:7" x14ac:dyDescent="0.25">
      <c r="A1168">
        <v>1166</v>
      </c>
      <c r="B1168">
        <v>40</v>
      </c>
      <c r="C1168">
        <v>0</v>
      </c>
      <c r="D1168" t="s">
        <v>9777</v>
      </c>
      <c r="E1168" t="s">
        <v>9777</v>
      </c>
      <c r="F1168">
        <v>31</v>
      </c>
      <c r="G1168">
        <v>37</v>
      </c>
    </row>
    <row r="1169" spans="1:7" x14ac:dyDescent="0.25">
      <c r="A1169">
        <v>1167</v>
      </c>
      <c r="B1169">
        <v>40</v>
      </c>
      <c r="C1169">
        <v>0</v>
      </c>
      <c r="D1169" t="s">
        <v>9778</v>
      </c>
      <c r="E1169" t="s">
        <v>9778</v>
      </c>
      <c r="F1169">
        <v>31</v>
      </c>
      <c r="G1169">
        <v>37</v>
      </c>
    </row>
    <row r="1170" spans="1:7" x14ac:dyDescent="0.25">
      <c r="A1170">
        <v>1168</v>
      </c>
      <c r="B1170">
        <v>58</v>
      </c>
      <c r="C1170">
        <v>300</v>
      </c>
      <c r="D1170" t="s">
        <v>9779</v>
      </c>
      <c r="E1170" t="s">
        <v>9779</v>
      </c>
      <c r="F1170">
        <v>32</v>
      </c>
      <c r="G1170">
        <v>37</v>
      </c>
    </row>
    <row r="1171" spans="1:7" x14ac:dyDescent="0.25">
      <c r="A1171">
        <v>1169</v>
      </c>
      <c r="B1171">
        <v>40</v>
      </c>
      <c r="C1171">
        <v>0</v>
      </c>
      <c r="D1171" t="s">
        <v>9780</v>
      </c>
      <c r="E1171" t="s">
        <v>9780</v>
      </c>
      <c r="F1171">
        <v>31</v>
      </c>
      <c r="G1171">
        <v>37</v>
      </c>
    </row>
    <row r="1172" spans="1:7" x14ac:dyDescent="0.25">
      <c r="A1172">
        <v>1170</v>
      </c>
      <c r="B1172">
        <v>55</v>
      </c>
      <c r="C1172">
        <v>300</v>
      </c>
      <c r="D1172" t="s">
        <v>9781</v>
      </c>
      <c r="E1172" t="s">
        <v>9781</v>
      </c>
      <c r="F1172">
        <v>32</v>
      </c>
      <c r="G1172">
        <v>37</v>
      </c>
    </row>
    <row r="1173" spans="1:7" x14ac:dyDescent="0.25">
      <c r="A1173">
        <v>1171</v>
      </c>
      <c r="B1173">
        <v>40</v>
      </c>
      <c r="C1173">
        <v>0</v>
      </c>
      <c r="D1173" t="s">
        <v>9782</v>
      </c>
      <c r="E1173" t="s">
        <v>9782</v>
      </c>
      <c r="F1173">
        <v>31</v>
      </c>
      <c r="G1173">
        <v>37</v>
      </c>
    </row>
    <row r="1174" spans="1:7" x14ac:dyDescent="0.25">
      <c r="A1174">
        <v>1172</v>
      </c>
      <c r="B1174">
        <v>40</v>
      </c>
      <c r="C1174">
        <v>0</v>
      </c>
      <c r="D1174" t="s">
        <v>9783</v>
      </c>
      <c r="E1174" t="s">
        <v>9783</v>
      </c>
      <c r="F1174">
        <v>31</v>
      </c>
      <c r="G1174">
        <v>37</v>
      </c>
    </row>
    <row r="1175" spans="1:7" x14ac:dyDescent="0.25">
      <c r="A1175">
        <v>1173</v>
      </c>
      <c r="B1175">
        <v>40</v>
      </c>
      <c r="C1175">
        <v>0</v>
      </c>
      <c r="D1175" t="s">
        <v>9784</v>
      </c>
      <c r="E1175" t="s">
        <v>9784</v>
      </c>
      <c r="F1175">
        <v>31</v>
      </c>
      <c r="G1175">
        <v>38</v>
      </c>
    </row>
    <row r="1176" spans="1:7" x14ac:dyDescent="0.25">
      <c r="A1176">
        <v>1174</v>
      </c>
      <c r="B1176">
        <v>40</v>
      </c>
      <c r="C1176">
        <v>0</v>
      </c>
      <c r="D1176" t="s">
        <v>9785</v>
      </c>
      <c r="E1176" t="s">
        <v>9786</v>
      </c>
      <c r="F1176">
        <v>31</v>
      </c>
      <c r="G1176">
        <v>37</v>
      </c>
    </row>
    <row r="1177" spans="1:7" x14ac:dyDescent="0.25">
      <c r="A1177">
        <v>1175</v>
      </c>
      <c r="B1177">
        <v>69</v>
      </c>
      <c r="C1177">
        <v>0</v>
      </c>
      <c r="D1177" t="s">
        <v>9787</v>
      </c>
      <c r="E1177" t="s">
        <v>9787</v>
      </c>
      <c r="F1177">
        <v>32</v>
      </c>
      <c r="G1177">
        <v>37</v>
      </c>
    </row>
    <row r="1178" spans="1:7" x14ac:dyDescent="0.25">
      <c r="A1178">
        <v>1176</v>
      </c>
      <c r="B1178">
        <v>40</v>
      </c>
      <c r="C1178">
        <v>300</v>
      </c>
      <c r="D1178" t="s">
        <v>9788</v>
      </c>
      <c r="E1178" t="s">
        <v>9788</v>
      </c>
      <c r="F1178">
        <v>31</v>
      </c>
      <c r="G1178">
        <v>37</v>
      </c>
    </row>
    <row r="1179" spans="1:7" x14ac:dyDescent="0.25">
      <c r="A1179">
        <v>1177</v>
      </c>
      <c r="B1179">
        <v>40</v>
      </c>
      <c r="C1179">
        <v>0</v>
      </c>
      <c r="D1179" t="s">
        <v>9789</v>
      </c>
      <c r="E1179" t="s">
        <v>9789</v>
      </c>
      <c r="F1179">
        <v>31</v>
      </c>
      <c r="G1179">
        <v>38</v>
      </c>
    </row>
    <row r="1180" spans="1:7" x14ac:dyDescent="0.25">
      <c r="A1180">
        <v>1178</v>
      </c>
      <c r="B1180">
        <v>40</v>
      </c>
      <c r="C1180">
        <v>0</v>
      </c>
      <c r="D1180" t="s">
        <v>9790</v>
      </c>
      <c r="E1180" t="s">
        <v>9791</v>
      </c>
      <c r="F1180">
        <v>31</v>
      </c>
      <c r="G1180">
        <v>38</v>
      </c>
    </row>
    <row r="1181" spans="1:7" x14ac:dyDescent="0.25">
      <c r="A1181">
        <v>1179</v>
      </c>
      <c r="B1181">
        <v>40</v>
      </c>
      <c r="C1181">
        <v>0</v>
      </c>
      <c r="D1181" t="s">
        <v>9792</v>
      </c>
      <c r="E1181" t="s">
        <v>9792</v>
      </c>
      <c r="F1181">
        <v>31</v>
      </c>
      <c r="G1181">
        <v>37</v>
      </c>
    </row>
    <row r="1182" spans="1:7" x14ac:dyDescent="0.25">
      <c r="A1182">
        <v>1180</v>
      </c>
      <c r="B1182">
        <v>23</v>
      </c>
      <c r="C1182">
        <v>300</v>
      </c>
      <c r="D1182" t="s">
        <v>9793</v>
      </c>
      <c r="E1182" t="s">
        <v>9793</v>
      </c>
      <c r="F1182">
        <v>32</v>
      </c>
      <c r="G1182">
        <v>37</v>
      </c>
    </row>
    <row r="1183" spans="1:7" x14ac:dyDescent="0.25">
      <c r="A1183">
        <v>1181</v>
      </c>
      <c r="B1183">
        <v>40</v>
      </c>
      <c r="C1183">
        <v>0</v>
      </c>
      <c r="D1183" t="s">
        <v>9794</v>
      </c>
      <c r="E1183" t="s">
        <v>9794</v>
      </c>
      <c r="F1183">
        <v>31</v>
      </c>
      <c r="G1183">
        <v>37</v>
      </c>
    </row>
    <row r="1184" spans="1:7" x14ac:dyDescent="0.25">
      <c r="A1184">
        <v>1182</v>
      </c>
      <c r="B1184">
        <v>40</v>
      </c>
      <c r="C1184">
        <v>0</v>
      </c>
      <c r="D1184" t="s">
        <v>9795</v>
      </c>
      <c r="E1184" t="s">
        <v>9795</v>
      </c>
      <c r="F1184">
        <v>31</v>
      </c>
      <c r="G1184">
        <v>38</v>
      </c>
    </row>
    <row r="1185" spans="1:7" x14ac:dyDescent="0.25">
      <c r="A1185">
        <v>1183</v>
      </c>
      <c r="B1185">
        <v>77</v>
      </c>
      <c r="C1185">
        <v>0</v>
      </c>
      <c r="D1185" t="s">
        <v>9796</v>
      </c>
      <c r="E1185" t="s">
        <v>9796</v>
      </c>
      <c r="F1185">
        <v>31</v>
      </c>
      <c r="G1185">
        <v>37</v>
      </c>
    </row>
    <row r="1186" spans="1:7" x14ac:dyDescent="0.25">
      <c r="A1186">
        <v>1184</v>
      </c>
      <c r="B1186">
        <v>40</v>
      </c>
      <c r="C1186">
        <v>0</v>
      </c>
      <c r="D1186" t="s">
        <v>8934</v>
      </c>
      <c r="E1186" t="s">
        <v>8934</v>
      </c>
      <c r="F1186">
        <v>31</v>
      </c>
      <c r="G1186">
        <v>38</v>
      </c>
    </row>
    <row r="1187" spans="1:7" x14ac:dyDescent="0.25">
      <c r="A1187">
        <v>1185</v>
      </c>
      <c r="B1187">
        <v>40</v>
      </c>
      <c r="C1187">
        <v>0</v>
      </c>
      <c r="D1187" t="s">
        <v>9797</v>
      </c>
      <c r="E1187" t="s">
        <v>9797</v>
      </c>
      <c r="F1187">
        <v>31</v>
      </c>
      <c r="G1187">
        <v>37</v>
      </c>
    </row>
    <row r="1188" spans="1:7" x14ac:dyDescent="0.25">
      <c r="A1188">
        <v>1186</v>
      </c>
      <c r="B1188">
        <v>40</v>
      </c>
      <c r="C1188">
        <v>0</v>
      </c>
      <c r="D1188" t="s">
        <v>9798</v>
      </c>
      <c r="E1188" t="s">
        <v>9799</v>
      </c>
      <c r="F1188">
        <v>31</v>
      </c>
      <c r="G1188">
        <v>37</v>
      </c>
    </row>
    <row r="1189" spans="1:7" x14ac:dyDescent="0.25">
      <c r="A1189">
        <v>1187</v>
      </c>
      <c r="B1189">
        <v>40</v>
      </c>
      <c r="C1189">
        <v>0</v>
      </c>
      <c r="D1189" t="s">
        <v>9800</v>
      </c>
      <c r="E1189" t="s">
        <v>9800</v>
      </c>
      <c r="F1189">
        <v>31</v>
      </c>
      <c r="G1189">
        <v>37</v>
      </c>
    </row>
    <row r="1190" spans="1:7" x14ac:dyDescent="0.25">
      <c r="A1190">
        <v>1188</v>
      </c>
      <c r="B1190">
        <v>40</v>
      </c>
      <c r="C1190">
        <v>0</v>
      </c>
      <c r="D1190" t="s">
        <v>9801</v>
      </c>
      <c r="E1190" t="s">
        <v>9801</v>
      </c>
      <c r="F1190">
        <v>31</v>
      </c>
      <c r="G1190">
        <v>37</v>
      </c>
    </row>
    <row r="1191" spans="1:7" x14ac:dyDescent="0.25">
      <c r="A1191">
        <v>1189</v>
      </c>
      <c r="B1191">
        <v>40</v>
      </c>
      <c r="C1191">
        <v>0</v>
      </c>
      <c r="D1191" t="s">
        <v>9802</v>
      </c>
      <c r="E1191" t="s">
        <v>9802</v>
      </c>
      <c r="F1191">
        <v>31</v>
      </c>
      <c r="G1191">
        <v>37</v>
      </c>
    </row>
    <row r="1192" spans="1:7" x14ac:dyDescent="0.25">
      <c r="A1192">
        <v>1190</v>
      </c>
      <c r="B1192">
        <v>25</v>
      </c>
      <c r="C1192">
        <v>0</v>
      </c>
      <c r="D1192" t="s">
        <v>9803</v>
      </c>
      <c r="E1192" t="s">
        <v>9803</v>
      </c>
      <c r="F1192">
        <v>32</v>
      </c>
      <c r="G1192">
        <v>38</v>
      </c>
    </row>
    <row r="1193" spans="1:7" x14ac:dyDescent="0.25">
      <c r="A1193">
        <v>1191</v>
      </c>
      <c r="B1193">
        <v>40</v>
      </c>
      <c r="C1193">
        <v>0</v>
      </c>
      <c r="D1193" t="s">
        <v>9804</v>
      </c>
      <c r="E1193" t="s">
        <v>9804</v>
      </c>
      <c r="F1193">
        <v>31</v>
      </c>
      <c r="G1193">
        <v>37</v>
      </c>
    </row>
    <row r="1194" spans="1:7" x14ac:dyDescent="0.25">
      <c r="A1194">
        <v>1192</v>
      </c>
      <c r="B1194">
        <v>40</v>
      </c>
      <c r="C1194">
        <v>0</v>
      </c>
      <c r="D1194" t="s">
        <v>9805</v>
      </c>
      <c r="E1194" t="s">
        <v>9805</v>
      </c>
      <c r="F1194">
        <v>31</v>
      </c>
      <c r="G1194">
        <v>37</v>
      </c>
    </row>
    <row r="1195" spans="1:7" x14ac:dyDescent="0.25">
      <c r="A1195">
        <v>1193</v>
      </c>
      <c r="B1195">
        <v>40</v>
      </c>
      <c r="C1195">
        <v>0</v>
      </c>
      <c r="D1195" t="s">
        <v>9806</v>
      </c>
      <c r="E1195" t="s">
        <v>9806</v>
      </c>
      <c r="F1195">
        <v>31</v>
      </c>
      <c r="G1195">
        <v>37</v>
      </c>
    </row>
    <row r="1196" spans="1:7" x14ac:dyDescent="0.25">
      <c r="A1196">
        <v>1194</v>
      </c>
      <c r="B1196">
        <v>84</v>
      </c>
      <c r="C1196">
        <v>0</v>
      </c>
      <c r="D1196" t="s">
        <v>9807</v>
      </c>
      <c r="E1196" t="s">
        <v>9807</v>
      </c>
      <c r="F1196">
        <v>32</v>
      </c>
      <c r="G1196">
        <v>37</v>
      </c>
    </row>
    <row r="1197" spans="1:7" x14ac:dyDescent="0.25">
      <c r="A1197">
        <v>1195</v>
      </c>
      <c r="B1197">
        <v>1</v>
      </c>
      <c r="C1197">
        <v>0</v>
      </c>
      <c r="D1197" t="s">
        <v>9808</v>
      </c>
      <c r="E1197" t="s">
        <v>9808</v>
      </c>
      <c r="F1197">
        <v>32</v>
      </c>
      <c r="G1197">
        <v>37</v>
      </c>
    </row>
    <row r="1198" spans="1:7" x14ac:dyDescent="0.25">
      <c r="A1198">
        <v>1196</v>
      </c>
      <c r="B1198">
        <v>25</v>
      </c>
      <c r="C1198">
        <v>0</v>
      </c>
      <c r="D1198" t="s">
        <v>9809</v>
      </c>
      <c r="E1198" t="s">
        <v>9809</v>
      </c>
      <c r="F1198">
        <v>32</v>
      </c>
      <c r="G1198">
        <v>37</v>
      </c>
    </row>
    <row r="1199" spans="1:7" x14ac:dyDescent="0.25">
      <c r="A1199">
        <v>1197</v>
      </c>
      <c r="B1199">
        <v>40</v>
      </c>
      <c r="C1199">
        <v>0</v>
      </c>
      <c r="D1199" t="s">
        <v>9810</v>
      </c>
      <c r="E1199" t="s">
        <v>9811</v>
      </c>
      <c r="F1199">
        <v>31</v>
      </c>
      <c r="G1199">
        <v>37</v>
      </c>
    </row>
    <row r="1200" spans="1:7" x14ac:dyDescent="0.25">
      <c r="A1200">
        <v>1198</v>
      </c>
      <c r="B1200">
        <v>25</v>
      </c>
      <c r="C1200">
        <v>0</v>
      </c>
      <c r="D1200" t="s">
        <v>9812</v>
      </c>
      <c r="E1200" t="s">
        <v>9812</v>
      </c>
      <c r="F1200">
        <v>32</v>
      </c>
      <c r="G1200">
        <v>37</v>
      </c>
    </row>
    <row r="1201" spans="1:7" x14ac:dyDescent="0.25">
      <c r="A1201">
        <v>1199</v>
      </c>
      <c r="B1201">
        <v>25</v>
      </c>
      <c r="C1201">
        <v>0</v>
      </c>
      <c r="D1201" t="s">
        <v>9813</v>
      </c>
      <c r="E1201" t="s">
        <v>9813</v>
      </c>
      <c r="F1201">
        <v>32</v>
      </c>
      <c r="G1201">
        <v>37</v>
      </c>
    </row>
    <row r="1202" spans="1:7" x14ac:dyDescent="0.25">
      <c r="A1202">
        <v>1200</v>
      </c>
      <c r="B1202">
        <v>40</v>
      </c>
      <c r="C1202">
        <v>0</v>
      </c>
      <c r="D1202" t="s">
        <v>9814</v>
      </c>
      <c r="E1202" t="s">
        <v>9814</v>
      </c>
      <c r="F1202">
        <v>31</v>
      </c>
      <c r="G1202">
        <v>37</v>
      </c>
    </row>
    <row r="1203" spans="1:7" x14ac:dyDescent="0.25">
      <c r="A1203">
        <v>1201</v>
      </c>
      <c r="B1203">
        <v>40</v>
      </c>
      <c r="C1203">
        <v>0</v>
      </c>
      <c r="D1203" t="s">
        <v>9815</v>
      </c>
      <c r="E1203" t="s">
        <v>9815</v>
      </c>
      <c r="F1203">
        <v>31</v>
      </c>
      <c r="G1203">
        <v>37</v>
      </c>
    </row>
    <row r="1204" spans="1:7" x14ac:dyDescent="0.25">
      <c r="A1204">
        <v>1202</v>
      </c>
      <c r="B1204">
        <v>40</v>
      </c>
      <c r="C1204">
        <v>0</v>
      </c>
      <c r="D1204" t="s">
        <v>9816</v>
      </c>
      <c r="E1204" t="s">
        <v>9816</v>
      </c>
      <c r="F1204">
        <v>31</v>
      </c>
      <c r="G1204">
        <v>38</v>
      </c>
    </row>
    <row r="1205" spans="1:7" x14ac:dyDescent="0.25">
      <c r="A1205">
        <v>1203</v>
      </c>
      <c r="B1205">
        <v>55</v>
      </c>
      <c r="C1205">
        <v>0</v>
      </c>
      <c r="D1205" t="s">
        <v>9817</v>
      </c>
      <c r="E1205" t="s">
        <v>9817</v>
      </c>
      <c r="F1205">
        <v>32</v>
      </c>
      <c r="G1205">
        <v>38</v>
      </c>
    </row>
    <row r="1206" spans="1:7" x14ac:dyDescent="0.25">
      <c r="A1206">
        <v>1204</v>
      </c>
      <c r="B1206">
        <v>40</v>
      </c>
      <c r="C1206">
        <v>0</v>
      </c>
      <c r="D1206" t="s">
        <v>9818</v>
      </c>
      <c r="E1206" t="s">
        <v>9818</v>
      </c>
      <c r="F1206">
        <v>31</v>
      </c>
      <c r="G1206">
        <v>37</v>
      </c>
    </row>
    <row r="1207" spans="1:7" x14ac:dyDescent="0.25">
      <c r="A1207">
        <v>1205</v>
      </c>
      <c r="B1207">
        <v>14</v>
      </c>
      <c r="C1207">
        <v>300</v>
      </c>
      <c r="D1207" t="s">
        <v>9819</v>
      </c>
      <c r="E1207" t="s">
        <v>9819</v>
      </c>
      <c r="F1207">
        <v>32</v>
      </c>
      <c r="G1207">
        <v>37</v>
      </c>
    </row>
    <row r="1208" spans="1:7" x14ac:dyDescent="0.25">
      <c r="A1208">
        <v>1206</v>
      </c>
      <c r="B1208">
        <v>38</v>
      </c>
      <c r="C1208">
        <v>0</v>
      </c>
      <c r="D1208" t="s">
        <v>9820</v>
      </c>
      <c r="E1208" t="s">
        <v>9820</v>
      </c>
      <c r="F1208">
        <v>32</v>
      </c>
      <c r="G1208">
        <v>37</v>
      </c>
    </row>
    <row r="1209" spans="1:7" x14ac:dyDescent="0.25">
      <c r="A1209">
        <v>1207</v>
      </c>
      <c r="B1209">
        <v>40</v>
      </c>
      <c r="C1209">
        <v>0</v>
      </c>
      <c r="D1209" t="s">
        <v>9821</v>
      </c>
      <c r="E1209" t="s">
        <v>9821</v>
      </c>
      <c r="F1209">
        <v>31</v>
      </c>
      <c r="G1209">
        <v>37</v>
      </c>
    </row>
    <row r="1210" spans="1:7" x14ac:dyDescent="0.25">
      <c r="A1210">
        <v>1208</v>
      </c>
      <c r="B1210">
        <v>40</v>
      </c>
      <c r="C1210">
        <v>0</v>
      </c>
      <c r="D1210" t="s">
        <v>9822</v>
      </c>
      <c r="E1210" t="s">
        <v>9822</v>
      </c>
      <c r="F1210">
        <v>31</v>
      </c>
      <c r="G1210">
        <v>37</v>
      </c>
    </row>
    <row r="1211" spans="1:7" x14ac:dyDescent="0.25">
      <c r="A1211">
        <v>1209</v>
      </c>
      <c r="B1211">
        <v>40</v>
      </c>
      <c r="C1211">
        <v>300</v>
      </c>
      <c r="D1211" t="s">
        <v>9823</v>
      </c>
      <c r="E1211" t="s">
        <v>9823</v>
      </c>
      <c r="F1211">
        <v>31</v>
      </c>
      <c r="G1211">
        <v>37</v>
      </c>
    </row>
    <row r="1212" spans="1:7" x14ac:dyDescent="0.25">
      <c r="A1212">
        <v>1210</v>
      </c>
      <c r="B1212">
        <v>14</v>
      </c>
      <c r="C1212">
        <v>0</v>
      </c>
      <c r="D1212" t="s">
        <v>9824</v>
      </c>
      <c r="E1212" t="s">
        <v>9824</v>
      </c>
      <c r="F1212">
        <v>32</v>
      </c>
      <c r="G1212">
        <v>37</v>
      </c>
    </row>
    <row r="1213" spans="1:7" x14ac:dyDescent="0.25">
      <c r="A1213">
        <v>1211</v>
      </c>
      <c r="B1213">
        <v>40</v>
      </c>
      <c r="C1213">
        <v>0</v>
      </c>
      <c r="D1213" t="s">
        <v>9825</v>
      </c>
      <c r="E1213" t="s">
        <v>9825</v>
      </c>
      <c r="F1213">
        <v>31</v>
      </c>
      <c r="G1213">
        <v>37</v>
      </c>
    </row>
    <row r="1214" spans="1:7" x14ac:dyDescent="0.25">
      <c r="A1214">
        <v>1212</v>
      </c>
      <c r="B1214">
        <v>40</v>
      </c>
      <c r="C1214">
        <v>0</v>
      </c>
      <c r="D1214" t="s">
        <v>9826</v>
      </c>
      <c r="E1214" t="s">
        <v>9826</v>
      </c>
      <c r="F1214">
        <v>31</v>
      </c>
      <c r="G1214">
        <v>38</v>
      </c>
    </row>
    <row r="1215" spans="1:7" x14ac:dyDescent="0.25">
      <c r="A1215">
        <v>1213</v>
      </c>
      <c r="B1215">
        <v>40</v>
      </c>
      <c r="C1215">
        <v>300</v>
      </c>
      <c r="D1215" t="s">
        <v>9827</v>
      </c>
      <c r="E1215" t="s">
        <v>9827</v>
      </c>
      <c r="F1215">
        <v>31</v>
      </c>
      <c r="G1215">
        <v>37</v>
      </c>
    </row>
    <row r="1216" spans="1:7" x14ac:dyDescent="0.25">
      <c r="A1216">
        <v>1214</v>
      </c>
      <c r="B1216">
        <v>40</v>
      </c>
      <c r="C1216">
        <v>0</v>
      </c>
      <c r="D1216" t="s">
        <v>9828</v>
      </c>
      <c r="E1216" t="s">
        <v>9828</v>
      </c>
      <c r="F1216">
        <v>31</v>
      </c>
      <c r="G1216">
        <v>38</v>
      </c>
    </row>
    <row r="1217" spans="1:7" x14ac:dyDescent="0.25">
      <c r="A1217">
        <v>1215</v>
      </c>
      <c r="B1217">
        <v>40</v>
      </c>
      <c r="C1217">
        <v>0</v>
      </c>
      <c r="D1217" t="s">
        <v>9829</v>
      </c>
      <c r="E1217" t="s">
        <v>9829</v>
      </c>
      <c r="F1217">
        <v>31</v>
      </c>
      <c r="G1217">
        <v>38</v>
      </c>
    </row>
    <row r="1218" spans="1:7" x14ac:dyDescent="0.25">
      <c r="A1218">
        <v>1216</v>
      </c>
      <c r="B1218">
        <v>14</v>
      </c>
      <c r="C1218">
        <v>0</v>
      </c>
      <c r="D1218" t="s">
        <v>9830</v>
      </c>
      <c r="E1218" t="s">
        <v>9830</v>
      </c>
      <c r="F1218">
        <v>32</v>
      </c>
      <c r="G1218">
        <v>37</v>
      </c>
    </row>
    <row r="1219" spans="1:7" x14ac:dyDescent="0.25">
      <c r="A1219">
        <v>1217</v>
      </c>
      <c r="B1219">
        <v>40</v>
      </c>
      <c r="C1219">
        <v>0</v>
      </c>
      <c r="D1219" t="s">
        <v>9831</v>
      </c>
      <c r="E1219" t="s">
        <v>9831</v>
      </c>
      <c r="F1219">
        <v>31</v>
      </c>
      <c r="G1219">
        <v>37</v>
      </c>
    </row>
    <row r="1220" spans="1:7" x14ac:dyDescent="0.25">
      <c r="A1220">
        <v>1218</v>
      </c>
      <c r="B1220">
        <v>1</v>
      </c>
      <c r="C1220">
        <v>0</v>
      </c>
      <c r="D1220" t="s">
        <v>9832</v>
      </c>
      <c r="E1220" t="s">
        <v>9832</v>
      </c>
      <c r="F1220">
        <v>32</v>
      </c>
      <c r="G1220">
        <v>37</v>
      </c>
    </row>
    <row r="1221" spans="1:7" x14ac:dyDescent="0.25">
      <c r="A1221">
        <v>1219</v>
      </c>
      <c r="B1221">
        <v>40</v>
      </c>
      <c r="C1221">
        <v>0</v>
      </c>
      <c r="D1221" t="s">
        <v>9833</v>
      </c>
      <c r="E1221" t="s">
        <v>9833</v>
      </c>
      <c r="F1221">
        <v>31</v>
      </c>
      <c r="G1221">
        <v>37</v>
      </c>
    </row>
    <row r="1222" spans="1:7" x14ac:dyDescent="0.25">
      <c r="A1222">
        <v>1220</v>
      </c>
      <c r="B1222">
        <v>40</v>
      </c>
      <c r="C1222">
        <v>0</v>
      </c>
      <c r="D1222" t="s">
        <v>9834</v>
      </c>
      <c r="E1222" t="s">
        <v>9835</v>
      </c>
      <c r="F1222">
        <v>31</v>
      </c>
      <c r="G1222">
        <v>38</v>
      </c>
    </row>
    <row r="1223" spans="1:7" x14ac:dyDescent="0.25">
      <c r="A1223">
        <v>1221</v>
      </c>
      <c r="B1223">
        <v>40</v>
      </c>
      <c r="C1223">
        <v>0</v>
      </c>
      <c r="D1223" t="s">
        <v>9836</v>
      </c>
      <c r="E1223" t="s">
        <v>9836</v>
      </c>
      <c r="F1223">
        <v>31</v>
      </c>
      <c r="G1223">
        <v>37</v>
      </c>
    </row>
    <row r="1224" spans="1:7" x14ac:dyDescent="0.25">
      <c r="A1224">
        <v>1222</v>
      </c>
      <c r="B1224">
        <v>8</v>
      </c>
      <c r="C1224">
        <v>0</v>
      </c>
      <c r="D1224" t="s">
        <v>9837</v>
      </c>
      <c r="E1224" t="s">
        <v>9837</v>
      </c>
      <c r="F1224">
        <v>32</v>
      </c>
      <c r="G1224">
        <v>37</v>
      </c>
    </row>
    <row r="1225" spans="1:7" x14ac:dyDescent="0.25">
      <c r="A1225">
        <v>1223</v>
      </c>
      <c r="B1225">
        <v>8</v>
      </c>
      <c r="C1225">
        <v>0</v>
      </c>
      <c r="D1225" t="s">
        <v>9838</v>
      </c>
      <c r="E1225" t="s">
        <v>9838</v>
      </c>
      <c r="F1225">
        <v>32</v>
      </c>
      <c r="G1225">
        <v>37</v>
      </c>
    </row>
    <row r="1226" spans="1:7" x14ac:dyDescent="0.25">
      <c r="A1226">
        <v>1224</v>
      </c>
      <c r="B1226">
        <v>40</v>
      </c>
      <c r="C1226">
        <v>0</v>
      </c>
      <c r="D1226" t="s">
        <v>9839</v>
      </c>
      <c r="E1226" t="s">
        <v>9839</v>
      </c>
      <c r="F1226">
        <v>31</v>
      </c>
      <c r="G1226">
        <v>38</v>
      </c>
    </row>
    <row r="1227" spans="1:7" x14ac:dyDescent="0.25">
      <c r="A1227">
        <v>1225</v>
      </c>
      <c r="B1227">
        <v>9</v>
      </c>
      <c r="C1227">
        <v>0</v>
      </c>
      <c r="D1227" t="s">
        <v>9840</v>
      </c>
      <c r="E1227" t="s">
        <v>9840</v>
      </c>
      <c r="F1227">
        <v>32</v>
      </c>
      <c r="G1227">
        <v>37</v>
      </c>
    </row>
    <row r="1228" spans="1:7" x14ac:dyDescent="0.25">
      <c r="A1228">
        <v>1226</v>
      </c>
      <c r="B1228">
        <v>84</v>
      </c>
      <c r="C1228">
        <v>0</v>
      </c>
      <c r="D1228" t="s">
        <v>9841</v>
      </c>
      <c r="E1228" t="s">
        <v>9841</v>
      </c>
      <c r="F1228">
        <v>32</v>
      </c>
      <c r="G1228">
        <v>37</v>
      </c>
    </row>
    <row r="1229" spans="1:7" x14ac:dyDescent="0.25">
      <c r="A1229">
        <v>1227</v>
      </c>
      <c r="B1229">
        <v>40</v>
      </c>
      <c r="C1229">
        <v>0</v>
      </c>
      <c r="D1229" t="s">
        <v>9842</v>
      </c>
      <c r="E1229" t="s">
        <v>9842</v>
      </c>
      <c r="F1229">
        <v>31</v>
      </c>
      <c r="G1229">
        <v>38</v>
      </c>
    </row>
    <row r="1230" spans="1:7" x14ac:dyDescent="0.25">
      <c r="A1230">
        <v>1228</v>
      </c>
      <c r="B1230">
        <v>40</v>
      </c>
      <c r="C1230">
        <v>0</v>
      </c>
      <c r="D1230" t="s">
        <v>9843</v>
      </c>
      <c r="E1230" t="s">
        <v>9843</v>
      </c>
      <c r="F1230">
        <v>31</v>
      </c>
      <c r="G1230">
        <v>37</v>
      </c>
    </row>
    <row r="1231" spans="1:7" x14ac:dyDescent="0.25">
      <c r="A1231">
        <v>1229</v>
      </c>
      <c r="B1231">
        <v>40</v>
      </c>
      <c r="C1231">
        <v>0</v>
      </c>
      <c r="D1231" t="s">
        <v>9844</v>
      </c>
      <c r="E1231" t="s">
        <v>9844</v>
      </c>
      <c r="F1231">
        <v>31</v>
      </c>
      <c r="G1231">
        <v>38</v>
      </c>
    </row>
    <row r="1232" spans="1:7" x14ac:dyDescent="0.25">
      <c r="A1232">
        <v>1230</v>
      </c>
      <c r="B1232">
        <v>25</v>
      </c>
      <c r="C1232">
        <v>0</v>
      </c>
      <c r="D1232" t="s">
        <v>9845</v>
      </c>
      <c r="E1232" t="s">
        <v>9845</v>
      </c>
      <c r="F1232">
        <v>32</v>
      </c>
      <c r="G1232">
        <v>37</v>
      </c>
    </row>
    <row r="1233" spans="1:7" x14ac:dyDescent="0.25">
      <c r="A1233">
        <v>1231</v>
      </c>
      <c r="B1233">
        <v>40</v>
      </c>
      <c r="C1233">
        <v>0</v>
      </c>
      <c r="D1233" t="s">
        <v>9846</v>
      </c>
      <c r="E1233" t="s">
        <v>9846</v>
      </c>
      <c r="F1233">
        <v>31</v>
      </c>
      <c r="G1233">
        <v>38</v>
      </c>
    </row>
    <row r="1234" spans="1:7" x14ac:dyDescent="0.25">
      <c r="A1234">
        <v>1232</v>
      </c>
      <c r="B1234">
        <v>40</v>
      </c>
      <c r="C1234">
        <v>0</v>
      </c>
      <c r="D1234" t="s">
        <v>9847</v>
      </c>
      <c r="E1234" t="s">
        <v>9847</v>
      </c>
      <c r="F1234">
        <v>31</v>
      </c>
      <c r="G1234">
        <v>38</v>
      </c>
    </row>
    <row r="1235" spans="1:7" x14ac:dyDescent="0.25">
      <c r="A1235">
        <v>1233</v>
      </c>
      <c r="B1235">
        <v>40</v>
      </c>
      <c r="C1235">
        <v>0</v>
      </c>
      <c r="D1235" t="s">
        <v>1267</v>
      </c>
      <c r="E1235" t="s">
        <v>1267</v>
      </c>
      <c r="F1235">
        <v>31</v>
      </c>
      <c r="G1235">
        <v>38</v>
      </c>
    </row>
    <row r="1236" spans="1:7" x14ac:dyDescent="0.25">
      <c r="A1236">
        <v>1234</v>
      </c>
      <c r="B1236">
        <v>40</v>
      </c>
      <c r="C1236">
        <v>0</v>
      </c>
      <c r="D1236" t="s">
        <v>1282</v>
      </c>
      <c r="E1236" t="s">
        <v>1282</v>
      </c>
      <c r="F1236">
        <v>31</v>
      </c>
      <c r="G1236">
        <v>38</v>
      </c>
    </row>
    <row r="1237" spans="1:7" x14ac:dyDescent="0.25">
      <c r="A1237">
        <v>1235</v>
      </c>
      <c r="B1237">
        <v>69</v>
      </c>
      <c r="C1237">
        <v>0</v>
      </c>
      <c r="D1237" t="s">
        <v>1298</v>
      </c>
      <c r="E1237" t="s">
        <v>1298</v>
      </c>
      <c r="F1237">
        <v>31</v>
      </c>
      <c r="G1237">
        <v>37</v>
      </c>
    </row>
    <row r="1238" spans="1:7" x14ac:dyDescent="0.25">
      <c r="A1238">
        <v>1236</v>
      </c>
      <c r="B1238">
        <v>40</v>
      </c>
      <c r="C1238">
        <v>0</v>
      </c>
      <c r="D1238" t="s">
        <v>1323</v>
      </c>
      <c r="E1238" t="s">
        <v>1323</v>
      </c>
      <c r="F1238">
        <v>31</v>
      </c>
      <c r="G1238">
        <v>37</v>
      </c>
    </row>
    <row r="1239" spans="1:7" x14ac:dyDescent="0.25">
      <c r="A1239">
        <v>1237</v>
      </c>
      <c r="B1239">
        <v>23</v>
      </c>
      <c r="C1239">
        <v>0</v>
      </c>
      <c r="D1239" t="s">
        <v>9848</v>
      </c>
      <c r="E1239" t="s">
        <v>9848</v>
      </c>
      <c r="F1239">
        <v>32</v>
      </c>
      <c r="G1239">
        <v>37</v>
      </c>
    </row>
    <row r="1240" spans="1:7" x14ac:dyDescent="0.25">
      <c r="A1240">
        <v>1238</v>
      </c>
      <c r="B1240">
        <v>53</v>
      </c>
      <c r="C1240">
        <v>0</v>
      </c>
      <c r="D1240" t="s">
        <v>9849</v>
      </c>
      <c r="F1240">
        <v>32</v>
      </c>
      <c r="G1240">
        <v>37</v>
      </c>
    </row>
    <row r="1241" spans="1:7" x14ac:dyDescent="0.25">
      <c r="A1241">
        <v>1239</v>
      </c>
      <c r="B1241">
        <v>40</v>
      </c>
      <c r="C1241">
        <v>0</v>
      </c>
      <c r="D1241" t="s">
        <v>9850</v>
      </c>
      <c r="E1241" t="s">
        <v>9851</v>
      </c>
      <c r="F1241">
        <v>31</v>
      </c>
      <c r="G1241">
        <v>37</v>
      </c>
    </row>
    <row r="1242" spans="1:7" x14ac:dyDescent="0.25">
      <c r="A1242">
        <v>1240</v>
      </c>
      <c r="B1242">
        <v>40</v>
      </c>
      <c r="C1242">
        <v>0</v>
      </c>
      <c r="D1242" t="s">
        <v>9852</v>
      </c>
      <c r="E1242" t="s">
        <v>9852</v>
      </c>
      <c r="F1242">
        <v>31</v>
      </c>
      <c r="G1242">
        <v>38</v>
      </c>
    </row>
    <row r="1243" spans="1:7" x14ac:dyDescent="0.25">
      <c r="A1243">
        <v>1241</v>
      </c>
      <c r="B1243">
        <v>40</v>
      </c>
      <c r="C1243">
        <v>0</v>
      </c>
      <c r="D1243" t="s">
        <v>9853</v>
      </c>
      <c r="E1243" t="s">
        <v>9853</v>
      </c>
      <c r="F1243">
        <v>31</v>
      </c>
      <c r="G1243">
        <v>37</v>
      </c>
    </row>
    <row r="1244" spans="1:7" x14ac:dyDescent="0.25">
      <c r="A1244">
        <v>1242</v>
      </c>
      <c r="B1244">
        <v>54</v>
      </c>
      <c r="C1244">
        <v>0</v>
      </c>
      <c r="D1244" t="s">
        <v>9854</v>
      </c>
      <c r="E1244" t="s">
        <v>9854</v>
      </c>
      <c r="F1244">
        <v>32</v>
      </c>
      <c r="G1244">
        <v>37</v>
      </c>
    </row>
    <row r="1245" spans="1:7" x14ac:dyDescent="0.25">
      <c r="A1245">
        <v>1243</v>
      </c>
      <c r="B1245">
        <v>54</v>
      </c>
      <c r="C1245">
        <v>0</v>
      </c>
      <c r="D1245" t="s">
        <v>9855</v>
      </c>
      <c r="E1245" t="s">
        <v>9855</v>
      </c>
      <c r="F1245">
        <v>32</v>
      </c>
      <c r="G1245">
        <v>37</v>
      </c>
    </row>
    <row r="1246" spans="1:7" x14ac:dyDescent="0.25">
      <c r="A1246">
        <v>1244</v>
      </c>
      <c r="B1246">
        <v>8</v>
      </c>
      <c r="C1246">
        <v>0</v>
      </c>
      <c r="D1246" t="s">
        <v>9856</v>
      </c>
      <c r="E1246" t="s">
        <v>9856</v>
      </c>
      <c r="F1246">
        <v>32</v>
      </c>
      <c r="G1246">
        <v>37</v>
      </c>
    </row>
    <row r="1247" spans="1:7" x14ac:dyDescent="0.25">
      <c r="A1247">
        <v>1245</v>
      </c>
      <c r="B1247">
        <v>23</v>
      </c>
      <c r="C1247">
        <v>0</v>
      </c>
      <c r="D1247" t="s">
        <v>9857</v>
      </c>
      <c r="E1247" t="s">
        <v>9857</v>
      </c>
      <c r="F1247">
        <v>32</v>
      </c>
      <c r="G1247">
        <v>37</v>
      </c>
    </row>
    <row r="1248" spans="1:7" x14ac:dyDescent="0.25">
      <c r="A1248">
        <v>1246</v>
      </c>
      <c r="B1248">
        <v>40</v>
      </c>
      <c r="C1248">
        <v>0</v>
      </c>
      <c r="D1248" t="s">
        <v>9858</v>
      </c>
      <c r="E1248" t="s">
        <v>9859</v>
      </c>
      <c r="F1248">
        <v>31</v>
      </c>
      <c r="G1248">
        <v>38</v>
      </c>
    </row>
    <row r="1249" spans="1:7" x14ac:dyDescent="0.25">
      <c r="A1249">
        <v>1247</v>
      </c>
      <c r="B1249">
        <v>54</v>
      </c>
      <c r="C1249">
        <v>0</v>
      </c>
      <c r="D1249" t="s">
        <v>9860</v>
      </c>
      <c r="E1249" t="s">
        <v>9860</v>
      </c>
      <c r="F1249">
        <v>32</v>
      </c>
      <c r="G1249">
        <v>37</v>
      </c>
    </row>
    <row r="1250" spans="1:7" x14ac:dyDescent="0.25">
      <c r="A1250">
        <v>1248</v>
      </c>
      <c r="B1250">
        <v>40</v>
      </c>
      <c r="C1250">
        <v>0</v>
      </c>
      <c r="D1250" t="s">
        <v>9861</v>
      </c>
      <c r="E1250" t="s">
        <v>9861</v>
      </c>
      <c r="F1250">
        <v>31</v>
      </c>
      <c r="G1250">
        <v>38</v>
      </c>
    </row>
    <row r="1251" spans="1:7" x14ac:dyDescent="0.25">
      <c r="A1251">
        <v>1249</v>
      </c>
      <c r="B1251">
        <v>40</v>
      </c>
      <c r="C1251">
        <v>0</v>
      </c>
      <c r="D1251" t="s">
        <v>9862</v>
      </c>
      <c r="E1251" t="s">
        <v>9862</v>
      </c>
      <c r="F1251">
        <v>31</v>
      </c>
      <c r="G1251">
        <v>38</v>
      </c>
    </row>
    <row r="1252" spans="1:7" x14ac:dyDescent="0.25">
      <c r="A1252">
        <v>1250</v>
      </c>
      <c r="B1252">
        <v>40</v>
      </c>
      <c r="C1252">
        <v>0</v>
      </c>
      <c r="D1252" t="s">
        <v>9863</v>
      </c>
      <c r="E1252" t="s">
        <v>9863</v>
      </c>
      <c r="F1252">
        <v>31</v>
      </c>
      <c r="G1252">
        <v>38</v>
      </c>
    </row>
    <row r="1253" spans="1:7" x14ac:dyDescent="0.25">
      <c r="A1253">
        <v>1251</v>
      </c>
      <c r="B1253">
        <v>34</v>
      </c>
      <c r="C1253">
        <v>0</v>
      </c>
      <c r="D1253" t="s">
        <v>9864</v>
      </c>
      <c r="E1253" t="s">
        <v>9864</v>
      </c>
      <c r="F1253">
        <v>32</v>
      </c>
      <c r="G1253">
        <v>37</v>
      </c>
    </row>
    <row r="1254" spans="1:7" x14ac:dyDescent="0.25">
      <c r="A1254">
        <v>1252</v>
      </c>
      <c r="B1254">
        <v>40</v>
      </c>
      <c r="C1254">
        <v>0</v>
      </c>
      <c r="D1254" t="s">
        <v>9865</v>
      </c>
      <c r="E1254" t="s">
        <v>9865</v>
      </c>
      <c r="F1254">
        <v>31</v>
      </c>
      <c r="G1254">
        <v>37</v>
      </c>
    </row>
    <row r="1255" spans="1:7" x14ac:dyDescent="0.25">
      <c r="A1255">
        <v>1253</v>
      </c>
      <c r="B1255">
        <v>40</v>
      </c>
      <c r="C1255">
        <v>0</v>
      </c>
      <c r="D1255" t="s">
        <v>9866</v>
      </c>
      <c r="E1255" t="s">
        <v>9866</v>
      </c>
      <c r="F1255">
        <v>31</v>
      </c>
      <c r="G1255">
        <v>37</v>
      </c>
    </row>
    <row r="1256" spans="1:7" x14ac:dyDescent="0.25">
      <c r="A1256">
        <v>1254</v>
      </c>
      <c r="B1256">
        <v>55</v>
      </c>
      <c r="C1256">
        <v>300</v>
      </c>
      <c r="D1256" t="s">
        <v>9867</v>
      </c>
      <c r="F1256">
        <v>32</v>
      </c>
      <c r="G1256">
        <v>38</v>
      </c>
    </row>
    <row r="1257" spans="1:7" x14ac:dyDescent="0.25">
      <c r="A1257">
        <v>1255</v>
      </c>
      <c r="B1257">
        <v>54</v>
      </c>
      <c r="C1257">
        <v>0</v>
      </c>
      <c r="D1257" t="s">
        <v>9868</v>
      </c>
      <c r="E1257" t="s">
        <v>9868</v>
      </c>
      <c r="F1257">
        <v>32</v>
      </c>
      <c r="G1257">
        <v>38</v>
      </c>
    </row>
    <row r="1258" spans="1:7" x14ac:dyDescent="0.25">
      <c r="A1258">
        <v>1256</v>
      </c>
      <c r="B1258">
        <v>25</v>
      </c>
      <c r="C1258">
        <v>0</v>
      </c>
      <c r="D1258" t="s">
        <v>9869</v>
      </c>
      <c r="E1258" t="s">
        <v>9869</v>
      </c>
      <c r="F1258">
        <v>32</v>
      </c>
      <c r="G1258">
        <v>37</v>
      </c>
    </row>
    <row r="1259" spans="1:7" x14ac:dyDescent="0.25">
      <c r="A1259">
        <v>1257</v>
      </c>
      <c r="B1259">
        <v>25</v>
      </c>
      <c r="C1259">
        <v>0</v>
      </c>
      <c r="D1259" t="s">
        <v>9870</v>
      </c>
      <c r="E1259" t="s">
        <v>9870</v>
      </c>
      <c r="F1259">
        <v>32</v>
      </c>
      <c r="G1259">
        <v>37</v>
      </c>
    </row>
    <row r="1260" spans="1:7" x14ac:dyDescent="0.25">
      <c r="A1260">
        <v>1258</v>
      </c>
      <c r="B1260">
        <v>40</v>
      </c>
      <c r="C1260">
        <v>0</v>
      </c>
      <c r="D1260" t="s">
        <v>9871</v>
      </c>
      <c r="E1260" t="s">
        <v>9871</v>
      </c>
      <c r="F1260">
        <v>31</v>
      </c>
      <c r="G1260">
        <v>38</v>
      </c>
    </row>
    <row r="1261" spans="1:7" x14ac:dyDescent="0.25">
      <c r="A1261">
        <v>1259</v>
      </c>
      <c r="B1261">
        <v>14</v>
      </c>
      <c r="C1261">
        <v>0</v>
      </c>
      <c r="D1261" t="s">
        <v>9872</v>
      </c>
      <c r="E1261" t="s">
        <v>9872</v>
      </c>
      <c r="F1261">
        <v>32</v>
      </c>
      <c r="G1261">
        <v>37</v>
      </c>
    </row>
    <row r="1262" spans="1:7" x14ac:dyDescent="0.25">
      <c r="A1262">
        <v>1260</v>
      </c>
      <c r="B1262">
        <v>40</v>
      </c>
      <c r="C1262">
        <v>0</v>
      </c>
      <c r="D1262" t="s">
        <v>9871</v>
      </c>
      <c r="E1262" t="s">
        <v>9871</v>
      </c>
      <c r="F1262">
        <v>31</v>
      </c>
      <c r="G1262">
        <v>37</v>
      </c>
    </row>
    <row r="1263" spans="1:7" x14ac:dyDescent="0.25">
      <c r="A1263">
        <v>1261</v>
      </c>
      <c r="B1263">
        <v>40</v>
      </c>
      <c r="C1263">
        <v>0</v>
      </c>
      <c r="D1263" t="s">
        <v>9873</v>
      </c>
      <c r="E1263" t="s">
        <v>9873</v>
      </c>
      <c r="F1263">
        <v>31</v>
      </c>
      <c r="G1263">
        <v>37</v>
      </c>
    </row>
    <row r="1264" spans="1:7" x14ac:dyDescent="0.25">
      <c r="A1264">
        <v>1262</v>
      </c>
      <c r="B1264">
        <v>19</v>
      </c>
      <c r="C1264">
        <v>0</v>
      </c>
      <c r="D1264" t="s">
        <v>9874</v>
      </c>
      <c r="F1264">
        <v>32</v>
      </c>
      <c r="G1264">
        <v>37</v>
      </c>
    </row>
    <row r="1265" spans="1:7" x14ac:dyDescent="0.25">
      <c r="A1265">
        <v>1263</v>
      </c>
      <c r="B1265">
        <v>40</v>
      </c>
      <c r="C1265">
        <v>0</v>
      </c>
      <c r="D1265" t="s">
        <v>9875</v>
      </c>
      <c r="E1265" t="s">
        <v>9875</v>
      </c>
      <c r="F1265">
        <v>31</v>
      </c>
      <c r="G1265">
        <v>37</v>
      </c>
    </row>
    <row r="1266" spans="1:7" x14ac:dyDescent="0.25">
      <c r="A1266">
        <v>1264</v>
      </c>
      <c r="B1266">
        <v>40</v>
      </c>
      <c r="C1266">
        <v>0</v>
      </c>
      <c r="D1266" t="s">
        <v>9876</v>
      </c>
      <c r="E1266" t="s">
        <v>9876</v>
      </c>
      <c r="F1266">
        <v>31</v>
      </c>
      <c r="G1266">
        <v>38</v>
      </c>
    </row>
    <row r="1267" spans="1:7" x14ac:dyDescent="0.25">
      <c r="A1267">
        <v>1265</v>
      </c>
      <c r="B1267">
        <v>6</v>
      </c>
      <c r="C1267">
        <v>0</v>
      </c>
      <c r="D1267" t="s">
        <v>9877</v>
      </c>
      <c r="E1267" t="s">
        <v>9877</v>
      </c>
      <c r="F1267">
        <v>32</v>
      </c>
      <c r="G1267">
        <v>37</v>
      </c>
    </row>
    <row r="1268" spans="1:7" x14ac:dyDescent="0.25">
      <c r="A1268">
        <v>1266</v>
      </c>
      <c r="B1268">
        <v>45</v>
      </c>
      <c r="C1268">
        <v>0</v>
      </c>
      <c r="D1268" t="s">
        <v>9878</v>
      </c>
      <c r="E1268" t="s">
        <v>9878</v>
      </c>
      <c r="F1268">
        <v>32</v>
      </c>
      <c r="G1268">
        <v>37</v>
      </c>
    </row>
    <row r="1269" spans="1:7" x14ac:dyDescent="0.25">
      <c r="A1269">
        <v>1267</v>
      </c>
      <c r="B1269">
        <v>40</v>
      </c>
      <c r="C1269">
        <v>0</v>
      </c>
      <c r="D1269" t="s">
        <v>9879</v>
      </c>
      <c r="E1269" t="s">
        <v>9879</v>
      </c>
      <c r="F1269">
        <v>31</v>
      </c>
      <c r="G1269">
        <v>38</v>
      </c>
    </row>
    <row r="1270" spans="1:7" x14ac:dyDescent="0.25">
      <c r="A1270">
        <v>1268</v>
      </c>
      <c r="B1270">
        <v>45</v>
      </c>
      <c r="C1270">
        <v>0</v>
      </c>
      <c r="D1270" t="s">
        <v>9880</v>
      </c>
      <c r="E1270" t="s">
        <v>9880</v>
      </c>
      <c r="F1270">
        <v>32</v>
      </c>
      <c r="G1270">
        <v>37</v>
      </c>
    </row>
    <row r="1271" spans="1:7" x14ac:dyDescent="0.25">
      <c r="A1271">
        <v>1269</v>
      </c>
      <c r="B1271">
        <v>25</v>
      </c>
      <c r="C1271">
        <v>0</v>
      </c>
      <c r="D1271" t="s">
        <v>9881</v>
      </c>
      <c r="E1271" t="s">
        <v>9881</v>
      </c>
      <c r="F1271">
        <v>32</v>
      </c>
      <c r="G1271">
        <v>37</v>
      </c>
    </row>
    <row r="1272" spans="1:7" x14ac:dyDescent="0.25">
      <c r="A1272">
        <v>1270</v>
      </c>
      <c r="B1272">
        <v>2</v>
      </c>
      <c r="C1272">
        <v>0</v>
      </c>
      <c r="D1272" t="s">
        <v>9882</v>
      </c>
      <c r="E1272" t="s">
        <v>9882</v>
      </c>
      <c r="F1272">
        <v>32</v>
      </c>
      <c r="G1272">
        <v>37</v>
      </c>
    </row>
    <row r="1273" spans="1:7" x14ac:dyDescent="0.25">
      <c r="A1273">
        <v>1271</v>
      </c>
      <c r="B1273">
        <v>25</v>
      </c>
      <c r="C1273">
        <v>0</v>
      </c>
      <c r="D1273" t="s">
        <v>9883</v>
      </c>
      <c r="E1273" t="s">
        <v>9883</v>
      </c>
      <c r="F1273">
        <v>32</v>
      </c>
      <c r="G1273">
        <v>37</v>
      </c>
    </row>
    <row r="1274" spans="1:7" x14ac:dyDescent="0.25">
      <c r="A1274">
        <v>1272</v>
      </c>
      <c r="B1274">
        <v>40</v>
      </c>
      <c r="C1274">
        <v>0</v>
      </c>
      <c r="D1274" t="s">
        <v>9884</v>
      </c>
      <c r="E1274" t="s">
        <v>9884</v>
      </c>
      <c r="F1274">
        <v>31</v>
      </c>
      <c r="G1274">
        <v>37</v>
      </c>
    </row>
    <row r="1275" spans="1:7" x14ac:dyDescent="0.25">
      <c r="A1275">
        <v>1273</v>
      </c>
      <c r="B1275">
        <v>55</v>
      </c>
      <c r="C1275">
        <v>200</v>
      </c>
      <c r="D1275" t="s">
        <v>9885</v>
      </c>
      <c r="E1275" t="s">
        <v>9885</v>
      </c>
      <c r="F1275">
        <v>32</v>
      </c>
      <c r="G1275">
        <v>38</v>
      </c>
    </row>
    <row r="1276" spans="1:7" x14ac:dyDescent="0.25">
      <c r="A1276">
        <v>1274</v>
      </c>
      <c r="B1276">
        <v>25</v>
      </c>
      <c r="C1276">
        <v>200</v>
      </c>
      <c r="D1276" t="s">
        <v>9886</v>
      </c>
      <c r="E1276" t="s">
        <v>9886</v>
      </c>
      <c r="F1276">
        <v>32</v>
      </c>
      <c r="G1276">
        <v>37</v>
      </c>
    </row>
    <row r="1277" spans="1:7" x14ac:dyDescent="0.25">
      <c r="A1277">
        <v>1275</v>
      </c>
      <c r="B1277">
        <v>40</v>
      </c>
      <c r="C1277">
        <v>0</v>
      </c>
      <c r="D1277" t="s">
        <v>9887</v>
      </c>
      <c r="E1277" t="s">
        <v>9887</v>
      </c>
      <c r="F1277">
        <v>31</v>
      </c>
      <c r="G1277">
        <v>38</v>
      </c>
    </row>
    <row r="1278" spans="1:7" x14ac:dyDescent="0.25">
      <c r="A1278">
        <v>1276</v>
      </c>
      <c r="B1278">
        <v>14</v>
      </c>
      <c r="C1278">
        <v>0</v>
      </c>
      <c r="D1278" t="s">
        <v>9888</v>
      </c>
      <c r="E1278" t="s">
        <v>9888</v>
      </c>
      <c r="F1278">
        <v>32</v>
      </c>
      <c r="G1278">
        <v>37</v>
      </c>
    </row>
    <row r="1279" spans="1:7" x14ac:dyDescent="0.25">
      <c r="A1279">
        <v>1277</v>
      </c>
      <c r="B1279">
        <v>40</v>
      </c>
      <c r="C1279">
        <v>200</v>
      </c>
      <c r="D1279" t="s">
        <v>9889</v>
      </c>
      <c r="E1279" t="s">
        <v>9890</v>
      </c>
      <c r="F1279">
        <v>31</v>
      </c>
      <c r="G1279">
        <v>37</v>
      </c>
    </row>
    <row r="1280" spans="1:7" x14ac:dyDescent="0.25">
      <c r="A1280">
        <v>1278</v>
      </c>
      <c r="B1280">
        <v>48</v>
      </c>
      <c r="C1280">
        <v>200</v>
      </c>
      <c r="D1280" t="s">
        <v>9891</v>
      </c>
      <c r="E1280" t="s">
        <v>9891</v>
      </c>
      <c r="F1280">
        <v>32</v>
      </c>
      <c r="G1280">
        <v>37</v>
      </c>
    </row>
    <row r="1281" spans="1:7" x14ac:dyDescent="0.25">
      <c r="A1281">
        <v>1279</v>
      </c>
      <c r="B1281">
        <v>40</v>
      </c>
      <c r="C1281">
        <v>200</v>
      </c>
      <c r="D1281" t="s">
        <v>9892</v>
      </c>
      <c r="E1281" t="s">
        <v>9892</v>
      </c>
      <c r="F1281">
        <v>31</v>
      </c>
      <c r="G1281">
        <v>37</v>
      </c>
    </row>
    <row r="1282" spans="1:7" x14ac:dyDescent="0.25">
      <c r="A1282">
        <v>1280</v>
      </c>
      <c r="B1282">
        <v>40</v>
      </c>
      <c r="C1282">
        <v>200</v>
      </c>
      <c r="D1282" t="s">
        <v>9893</v>
      </c>
      <c r="E1282" t="s">
        <v>9893</v>
      </c>
      <c r="F1282">
        <v>31</v>
      </c>
      <c r="G1282">
        <v>37</v>
      </c>
    </row>
    <row r="1283" spans="1:7" x14ac:dyDescent="0.25">
      <c r="A1283">
        <v>1281</v>
      </c>
      <c r="B1283">
        <v>40</v>
      </c>
      <c r="C1283">
        <v>200</v>
      </c>
      <c r="D1283" t="s">
        <v>9894</v>
      </c>
      <c r="E1283" t="s">
        <v>9895</v>
      </c>
      <c r="F1283">
        <v>31</v>
      </c>
      <c r="G1283">
        <v>37</v>
      </c>
    </row>
    <row r="1284" spans="1:7" x14ac:dyDescent="0.25">
      <c r="A1284">
        <v>1282</v>
      </c>
      <c r="B1284">
        <v>83</v>
      </c>
      <c r="C1284">
        <v>200</v>
      </c>
      <c r="D1284" t="s">
        <v>9896</v>
      </c>
      <c r="E1284" t="s">
        <v>9896</v>
      </c>
      <c r="F1284">
        <v>32</v>
      </c>
      <c r="G1284">
        <v>37</v>
      </c>
    </row>
    <row r="1285" spans="1:7" x14ac:dyDescent="0.25">
      <c r="A1285">
        <v>1283</v>
      </c>
      <c r="B1285">
        <v>25</v>
      </c>
      <c r="C1285">
        <v>200</v>
      </c>
      <c r="D1285" t="s">
        <v>9897</v>
      </c>
      <c r="E1285" t="s">
        <v>9897</v>
      </c>
      <c r="F1285">
        <v>32</v>
      </c>
      <c r="G1285">
        <v>37</v>
      </c>
    </row>
    <row r="1286" spans="1:7" x14ac:dyDescent="0.25">
      <c r="A1286">
        <v>1284</v>
      </c>
      <c r="B1286">
        <v>40</v>
      </c>
      <c r="C1286">
        <v>200</v>
      </c>
      <c r="D1286" t="s">
        <v>9898</v>
      </c>
      <c r="E1286" t="s">
        <v>9898</v>
      </c>
      <c r="F1286">
        <v>31</v>
      </c>
      <c r="G1286">
        <v>38</v>
      </c>
    </row>
    <row r="1287" spans="1:7" x14ac:dyDescent="0.25">
      <c r="A1287">
        <v>1285</v>
      </c>
      <c r="B1287">
        <v>40</v>
      </c>
      <c r="C1287">
        <v>200</v>
      </c>
      <c r="D1287" t="s">
        <v>9899</v>
      </c>
      <c r="E1287" t="s">
        <v>9899</v>
      </c>
      <c r="F1287">
        <v>31</v>
      </c>
      <c r="G1287">
        <v>38</v>
      </c>
    </row>
    <row r="1288" spans="1:7" x14ac:dyDescent="0.25">
      <c r="A1288">
        <v>1286</v>
      </c>
      <c r="B1288">
        <v>14</v>
      </c>
      <c r="C1288">
        <v>200</v>
      </c>
      <c r="D1288" t="s">
        <v>9900</v>
      </c>
      <c r="F1288">
        <v>32</v>
      </c>
      <c r="G1288">
        <v>37</v>
      </c>
    </row>
    <row r="1289" spans="1:7" x14ac:dyDescent="0.25">
      <c r="A1289">
        <v>1287</v>
      </c>
      <c r="B1289">
        <v>40</v>
      </c>
      <c r="C1289">
        <v>200</v>
      </c>
      <c r="D1289" t="s">
        <v>9901</v>
      </c>
      <c r="E1289" t="s">
        <v>9901</v>
      </c>
      <c r="F1289">
        <v>31</v>
      </c>
      <c r="G1289">
        <v>38</v>
      </c>
    </row>
    <row r="1290" spans="1:7" x14ac:dyDescent="0.25">
      <c r="A1290">
        <v>1288</v>
      </c>
      <c r="B1290">
        <v>40</v>
      </c>
      <c r="C1290">
        <v>200</v>
      </c>
      <c r="D1290" t="s">
        <v>9902</v>
      </c>
      <c r="E1290" t="s">
        <v>9902</v>
      </c>
      <c r="F1290">
        <v>31</v>
      </c>
      <c r="G1290">
        <v>37</v>
      </c>
    </row>
    <row r="1291" spans="1:7" x14ac:dyDescent="0.25">
      <c r="A1291">
        <v>1289</v>
      </c>
      <c r="B1291">
        <v>65</v>
      </c>
      <c r="C1291">
        <v>200</v>
      </c>
      <c r="D1291" t="s">
        <v>9903</v>
      </c>
      <c r="E1291" t="s">
        <v>9903</v>
      </c>
      <c r="F1291">
        <v>32</v>
      </c>
      <c r="G1291">
        <v>38</v>
      </c>
    </row>
    <row r="1292" spans="1:7" x14ac:dyDescent="0.25">
      <c r="A1292">
        <v>1290</v>
      </c>
      <c r="B1292">
        <v>14</v>
      </c>
      <c r="C1292">
        <v>200</v>
      </c>
      <c r="D1292" t="s">
        <v>9904</v>
      </c>
      <c r="E1292" t="s">
        <v>9905</v>
      </c>
      <c r="F1292">
        <v>32</v>
      </c>
      <c r="G1292">
        <v>37</v>
      </c>
    </row>
    <row r="1293" spans="1:7" x14ac:dyDescent="0.25">
      <c r="A1293">
        <v>1291</v>
      </c>
      <c r="B1293">
        <v>40</v>
      </c>
      <c r="C1293">
        <v>0</v>
      </c>
      <c r="D1293" t="s">
        <v>9906</v>
      </c>
      <c r="E1293" t="s">
        <v>9906</v>
      </c>
      <c r="F1293">
        <v>31</v>
      </c>
      <c r="G1293">
        <v>38</v>
      </c>
    </row>
    <row r="1294" spans="1:7" x14ac:dyDescent="0.25">
      <c r="A1294">
        <v>1292</v>
      </c>
      <c r="B1294">
        <v>14</v>
      </c>
      <c r="C1294">
        <v>300</v>
      </c>
      <c r="D1294" t="s">
        <v>9907</v>
      </c>
      <c r="E1294" t="s">
        <v>9907</v>
      </c>
      <c r="F1294">
        <v>32</v>
      </c>
      <c r="G1294">
        <v>37</v>
      </c>
    </row>
    <row r="1295" spans="1:7" x14ac:dyDescent="0.25">
      <c r="A1295">
        <v>1293</v>
      </c>
      <c r="B1295">
        <v>25</v>
      </c>
      <c r="C1295">
        <v>200</v>
      </c>
      <c r="D1295" t="s">
        <v>9908</v>
      </c>
      <c r="E1295" t="s">
        <v>9908</v>
      </c>
      <c r="F1295">
        <v>32</v>
      </c>
      <c r="G1295">
        <v>37</v>
      </c>
    </row>
    <row r="1296" spans="1:7" x14ac:dyDescent="0.25">
      <c r="A1296">
        <v>1294</v>
      </c>
      <c r="B1296">
        <v>45</v>
      </c>
      <c r="C1296">
        <v>200</v>
      </c>
      <c r="D1296" t="s">
        <v>9909</v>
      </c>
      <c r="E1296" t="s">
        <v>9909</v>
      </c>
      <c r="F1296">
        <v>32</v>
      </c>
      <c r="G1296">
        <v>37</v>
      </c>
    </row>
    <row r="1297" spans="1:7" x14ac:dyDescent="0.25">
      <c r="A1297">
        <v>1295</v>
      </c>
      <c r="B1297">
        <v>40</v>
      </c>
      <c r="C1297">
        <v>0</v>
      </c>
      <c r="D1297" t="s">
        <v>9910</v>
      </c>
      <c r="E1297" t="s">
        <v>9910</v>
      </c>
      <c r="F1297">
        <v>31</v>
      </c>
      <c r="G1297">
        <v>37</v>
      </c>
    </row>
    <row r="1298" spans="1:7" x14ac:dyDescent="0.25">
      <c r="A1298">
        <v>1296</v>
      </c>
      <c r="B1298">
        <v>25</v>
      </c>
      <c r="C1298">
        <v>200</v>
      </c>
      <c r="D1298" t="s">
        <v>9911</v>
      </c>
      <c r="E1298" t="s">
        <v>9911</v>
      </c>
      <c r="F1298">
        <v>32</v>
      </c>
      <c r="G1298">
        <v>37</v>
      </c>
    </row>
    <row r="1299" spans="1:7" x14ac:dyDescent="0.25">
      <c r="A1299">
        <v>1297</v>
      </c>
      <c r="B1299">
        <v>43</v>
      </c>
      <c r="C1299">
        <v>200</v>
      </c>
      <c r="D1299" t="s">
        <v>9912</v>
      </c>
      <c r="E1299" t="s">
        <v>9912</v>
      </c>
      <c r="F1299">
        <v>32</v>
      </c>
      <c r="G1299">
        <v>37</v>
      </c>
    </row>
    <row r="1300" spans="1:7" x14ac:dyDescent="0.25">
      <c r="A1300">
        <v>1298</v>
      </c>
      <c r="B1300">
        <v>40</v>
      </c>
      <c r="C1300">
        <v>0</v>
      </c>
      <c r="D1300" t="s">
        <v>716</v>
      </c>
      <c r="E1300" t="s">
        <v>716</v>
      </c>
      <c r="F1300">
        <v>31</v>
      </c>
      <c r="G1300">
        <v>38</v>
      </c>
    </row>
    <row r="1301" spans="1:7" x14ac:dyDescent="0.25">
      <c r="A1301">
        <v>1299</v>
      </c>
      <c r="B1301">
        <v>25</v>
      </c>
      <c r="C1301">
        <v>0</v>
      </c>
      <c r="D1301" t="s">
        <v>9913</v>
      </c>
      <c r="E1301" t="s">
        <v>9913</v>
      </c>
      <c r="F1301">
        <v>32</v>
      </c>
      <c r="G1301">
        <v>37</v>
      </c>
    </row>
    <row r="1302" spans="1:7" x14ac:dyDescent="0.25">
      <c r="A1302">
        <v>1300</v>
      </c>
      <c r="B1302">
        <v>40</v>
      </c>
      <c r="C1302">
        <v>200</v>
      </c>
      <c r="D1302" t="s">
        <v>9914</v>
      </c>
      <c r="E1302" t="s">
        <v>9914</v>
      </c>
      <c r="F1302">
        <v>31</v>
      </c>
      <c r="G1302">
        <v>37</v>
      </c>
    </row>
    <row r="1303" spans="1:7" x14ac:dyDescent="0.25">
      <c r="A1303">
        <v>1301</v>
      </c>
      <c r="B1303">
        <v>40</v>
      </c>
      <c r="C1303">
        <v>200</v>
      </c>
      <c r="D1303" t="s">
        <v>9915</v>
      </c>
      <c r="E1303" t="s">
        <v>9915</v>
      </c>
      <c r="F1303">
        <v>31</v>
      </c>
      <c r="G1303">
        <v>38</v>
      </c>
    </row>
    <row r="1304" spans="1:7" x14ac:dyDescent="0.25">
      <c r="A1304">
        <v>1302</v>
      </c>
      <c r="B1304">
        <v>76</v>
      </c>
      <c r="C1304">
        <v>200</v>
      </c>
      <c r="D1304" t="s">
        <v>9916</v>
      </c>
      <c r="E1304" t="s">
        <v>9916</v>
      </c>
      <c r="F1304">
        <v>32</v>
      </c>
      <c r="G1304">
        <v>38</v>
      </c>
    </row>
    <row r="1305" spans="1:7" x14ac:dyDescent="0.25">
      <c r="A1305">
        <v>1303</v>
      </c>
      <c r="B1305">
        <v>40</v>
      </c>
      <c r="C1305">
        <v>200</v>
      </c>
      <c r="D1305" t="s">
        <v>9917</v>
      </c>
      <c r="E1305" t="s">
        <v>9917</v>
      </c>
      <c r="F1305">
        <v>31</v>
      </c>
      <c r="G1305">
        <v>38</v>
      </c>
    </row>
    <row r="1306" spans="1:7" x14ac:dyDescent="0.25">
      <c r="A1306">
        <v>1304</v>
      </c>
      <c r="B1306">
        <v>46</v>
      </c>
      <c r="C1306">
        <v>200</v>
      </c>
      <c r="D1306" t="s">
        <v>9918</v>
      </c>
      <c r="E1306" t="s">
        <v>9918</v>
      </c>
      <c r="F1306">
        <v>32</v>
      </c>
      <c r="G1306">
        <v>37</v>
      </c>
    </row>
    <row r="1307" spans="1:7" x14ac:dyDescent="0.25">
      <c r="A1307">
        <v>1305</v>
      </c>
      <c r="B1307">
        <v>58</v>
      </c>
      <c r="C1307">
        <v>200</v>
      </c>
      <c r="D1307" t="s">
        <v>9919</v>
      </c>
      <c r="E1307" t="s">
        <v>9919</v>
      </c>
      <c r="F1307">
        <v>32</v>
      </c>
      <c r="G1307">
        <v>37</v>
      </c>
    </row>
    <row r="1308" spans="1:7" x14ac:dyDescent="0.25">
      <c r="A1308">
        <v>1306</v>
      </c>
      <c r="B1308">
        <v>54</v>
      </c>
      <c r="C1308">
        <v>200</v>
      </c>
      <c r="D1308" t="s">
        <v>9920</v>
      </c>
      <c r="E1308" t="s">
        <v>9920</v>
      </c>
      <c r="F1308">
        <v>32</v>
      </c>
      <c r="G1308">
        <v>37</v>
      </c>
    </row>
    <row r="1309" spans="1:7" x14ac:dyDescent="0.25">
      <c r="A1309">
        <v>1307</v>
      </c>
      <c r="B1309">
        <v>40</v>
      </c>
      <c r="C1309">
        <v>200</v>
      </c>
      <c r="D1309" t="s">
        <v>9921</v>
      </c>
      <c r="E1309" t="s">
        <v>9921</v>
      </c>
      <c r="F1309">
        <v>31</v>
      </c>
      <c r="G1309">
        <v>37</v>
      </c>
    </row>
    <row r="1310" spans="1:7" x14ac:dyDescent="0.25">
      <c r="A1310">
        <v>1308</v>
      </c>
      <c r="B1310">
        <v>25</v>
      </c>
      <c r="C1310">
        <v>200</v>
      </c>
      <c r="D1310" t="s">
        <v>9922</v>
      </c>
      <c r="E1310" t="s">
        <v>9922</v>
      </c>
      <c r="F1310">
        <v>32</v>
      </c>
      <c r="G1310">
        <v>37</v>
      </c>
    </row>
    <row r="1311" spans="1:7" x14ac:dyDescent="0.25">
      <c r="A1311">
        <v>1309</v>
      </c>
      <c r="B1311">
        <v>45</v>
      </c>
      <c r="C1311">
        <v>200</v>
      </c>
      <c r="D1311" t="s">
        <v>9923</v>
      </c>
      <c r="F1311">
        <v>32</v>
      </c>
      <c r="G1311">
        <v>37</v>
      </c>
    </row>
    <row r="1312" spans="1:7" x14ac:dyDescent="0.25">
      <c r="A1312">
        <v>1310</v>
      </c>
      <c r="B1312">
        <v>40</v>
      </c>
      <c r="C1312">
        <v>200</v>
      </c>
      <c r="D1312" t="s">
        <v>9924</v>
      </c>
      <c r="E1312" t="s">
        <v>9924</v>
      </c>
      <c r="F1312">
        <v>31</v>
      </c>
      <c r="G1312">
        <v>38</v>
      </c>
    </row>
    <row r="1313" spans="1:7" x14ac:dyDescent="0.25">
      <c r="A1313">
        <v>1311</v>
      </c>
      <c r="B1313">
        <v>40</v>
      </c>
      <c r="C1313">
        <v>200</v>
      </c>
      <c r="D1313" t="s">
        <v>9925</v>
      </c>
      <c r="E1313" t="s">
        <v>9925</v>
      </c>
      <c r="F1313">
        <v>31</v>
      </c>
      <c r="G1313">
        <v>38</v>
      </c>
    </row>
    <row r="1314" spans="1:7" x14ac:dyDescent="0.25">
      <c r="A1314">
        <v>1312</v>
      </c>
      <c r="B1314">
        <v>70</v>
      </c>
      <c r="C1314">
        <v>200</v>
      </c>
      <c r="D1314" t="s">
        <v>9926</v>
      </c>
      <c r="E1314" t="s">
        <v>9926</v>
      </c>
      <c r="F1314">
        <v>32</v>
      </c>
      <c r="G1314">
        <v>37</v>
      </c>
    </row>
    <row r="1315" spans="1:7" x14ac:dyDescent="0.25">
      <c r="A1315">
        <v>1313</v>
      </c>
      <c r="B1315">
        <v>40</v>
      </c>
      <c r="C1315">
        <v>200</v>
      </c>
      <c r="D1315" t="s">
        <v>9927</v>
      </c>
      <c r="E1315" t="s">
        <v>9927</v>
      </c>
      <c r="F1315">
        <v>31</v>
      </c>
      <c r="G1315">
        <v>38</v>
      </c>
    </row>
    <row r="1316" spans="1:7" x14ac:dyDescent="0.25">
      <c r="A1316">
        <v>1314</v>
      </c>
      <c r="B1316">
        <v>24</v>
      </c>
      <c r="C1316">
        <v>200</v>
      </c>
      <c r="D1316" t="s">
        <v>9066</v>
      </c>
      <c r="E1316" t="s">
        <v>9066</v>
      </c>
      <c r="F1316">
        <v>32</v>
      </c>
      <c r="G1316">
        <v>37</v>
      </c>
    </row>
    <row r="1317" spans="1:7" x14ac:dyDescent="0.25">
      <c r="A1317">
        <v>1315</v>
      </c>
      <c r="B1317">
        <v>54</v>
      </c>
      <c r="C1317">
        <v>200</v>
      </c>
      <c r="D1317" t="s">
        <v>9928</v>
      </c>
      <c r="E1317" t="s">
        <v>9928</v>
      </c>
      <c r="F1317">
        <v>32</v>
      </c>
      <c r="G1317">
        <v>37</v>
      </c>
    </row>
    <row r="1318" spans="1:7" x14ac:dyDescent="0.25">
      <c r="A1318">
        <v>1316</v>
      </c>
      <c r="B1318">
        <v>6</v>
      </c>
      <c r="C1318">
        <v>200</v>
      </c>
      <c r="D1318" t="s">
        <v>9929</v>
      </c>
      <c r="F1318">
        <v>32</v>
      </c>
      <c r="G1318">
        <v>37</v>
      </c>
    </row>
    <row r="1319" spans="1:7" x14ac:dyDescent="0.25">
      <c r="A1319">
        <v>1317</v>
      </c>
      <c r="B1319">
        <v>45</v>
      </c>
      <c r="C1319">
        <v>200</v>
      </c>
      <c r="D1319" t="s">
        <v>9930</v>
      </c>
      <c r="E1319" t="s">
        <v>9930</v>
      </c>
      <c r="F1319">
        <v>32</v>
      </c>
      <c r="G1319">
        <v>37</v>
      </c>
    </row>
    <row r="1320" spans="1:7" x14ac:dyDescent="0.25">
      <c r="A1320">
        <v>1318</v>
      </c>
      <c r="B1320">
        <v>25</v>
      </c>
      <c r="C1320">
        <v>200</v>
      </c>
      <c r="D1320" t="s">
        <v>9931</v>
      </c>
      <c r="E1320" t="s">
        <v>9931</v>
      </c>
      <c r="F1320">
        <v>32</v>
      </c>
      <c r="G1320">
        <v>37</v>
      </c>
    </row>
    <row r="1321" spans="1:7" x14ac:dyDescent="0.25">
      <c r="A1321">
        <v>1319</v>
      </c>
      <c r="B1321">
        <v>8</v>
      </c>
      <c r="C1321">
        <v>200</v>
      </c>
      <c r="D1321" t="s">
        <v>9932</v>
      </c>
      <c r="E1321" t="s">
        <v>9932</v>
      </c>
      <c r="F1321">
        <v>32</v>
      </c>
      <c r="G1321">
        <v>37</v>
      </c>
    </row>
    <row r="1322" spans="1:7" x14ac:dyDescent="0.25">
      <c r="A1322">
        <v>1320</v>
      </c>
      <c r="B1322">
        <v>40</v>
      </c>
      <c r="C1322">
        <v>0</v>
      </c>
      <c r="D1322" t="s">
        <v>9933</v>
      </c>
      <c r="E1322" t="s">
        <v>9933</v>
      </c>
      <c r="F1322">
        <v>31</v>
      </c>
      <c r="G1322">
        <v>37</v>
      </c>
    </row>
    <row r="1323" spans="1:7" x14ac:dyDescent="0.25">
      <c r="A1323">
        <v>1321</v>
      </c>
      <c r="B1323">
        <v>40</v>
      </c>
      <c r="C1323">
        <v>0</v>
      </c>
      <c r="D1323" t="s">
        <v>9934</v>
      </c>
      <c r="E1323" t="s">
        <v>9934</v>
      </c>
      <c r="F1323">
        <v>31</v>
      </c>
      <c r="G1323">
        <v>38</v>
      </c>
    </row>
    <row r="1324" spans="1:7" x14ac:dyDescent="0.25">
      <c r="A1324">
        <v>1322</v>
      </c>
      <c r="B1324">
        <v>40</v>
      </c>
      <c r="C1324">
        <v>200</v>
      </c>
      <c r="D1324" t="s">
        <v>9935</v>
      </c>
      <c r="E1324" t="s">
        <v>9935</v>
      </c>
      <c r="F1324">
        <v>31</v>
      </c>
      <c r="G1324">
        <v>37</v>
      </c>
    </row>
    <row r="1325" spans="1:7" x14ac:dyDescent="0.25">
      <c r="A1325">
        <v>1323</v>
      </c>
      <c r="B1325">
        <v>45</v>
      </c>
      <c r="C1325">
        <v>200</v>
      </c>
      <c r="D1325" t="s">
        <v>9936</v>
      </c>
      <c r="F1325">
        <v>32</v>
      </c>
      <c r="G1325">
        <v>37</v>
      </c>
    </row>
    <row r="1326" spans="1:7" x14ac:dyDescent="0.25">
      <c r="A1326">
        <v>1324</v>
      </c>
      <c r="B1326">
        <v>40</v>
      </c>
      <c r="C1326">
        <v>200</v>
      </c>
      <c r="D1326" t="s">
        <v>9937</v>
      </c>
      <c r="E1326" t="s">
        <v>9937</v>
      </c>
      <c r="F1326">
        <v>31</v>
      </c>
      <c r="G1326">
        <v>37</v>
      </c>
    </row>
    <row r="1327" spans="1:7" x14ac:dyDescent="0.25">
      <c r="A1327">
        <v>1325</v>
      </c>
      <c r="B1327">
        <v>24</v>
      </c>
      <c r="C1327">
        <v>200</v>
      </c>
      <c r="D1327" t="s">
        <v>9938</v>
      </c>
      <c r="E1327" t="s">
        <v>9938</v>
      </c>
      <c r="F1327">
        <v>32</v>
      </c>
      <c r="G1327">
        <v>37</v>
      </c>
    </row>
    <row r="1328" spans="1:7" x14ac:dyDescent="0.25">
      <c r="A1328">
        <v>1326</v>
      </c>
      <c r="B1328">
        <v>40</v>
      </c>
      <c r="C1328">
        <v>200</v>
      </c>
      <c r="D1328" t="s">
        <v>9939</v>
      </c>
      <c r="E1328" t="s">
        <v>9939</v>
      </c>
      <c r="F1328">
        <v>31</v>
      </c>
      <c r="G1328">
        <v>37</v>
      </c>
    </row>
    <row r="1329" spans="1:7" x14ac:dyDescent="0.25">
      <c r="A1329">
        <v>1327</v>
      </c>
      <c r="B1329">
        <v>40</v>
      </c>
      <c r="C1329">
        <v>200</v>
      </c>
      <c r="D1329" t="s">
        <v>9927</v>
      </c>
      <c r="E1329" t="s">
        <v>9927</v>
      </c>
      <c r="F1329">
        <v>31</v>
      </c>
      <c r="G1329">
        <v>37</v>
      </c>
    </row>
    <row r="1330" spans="1:7" x14ac:dyDescent="0.25">
      <c r="A1330">
        <v>1328</v>
      </c>
      <c r="B1330">
        <v>14</v>
      </c>
      <c r="C1330">
        <v>200</v>
      </c>
      <c r="D1330" t="s">
        <v>9940</v>
      </c>
      <c r="E1330" t="s">
        <v>9940</v>
      </c>
      <c r="F1330">
        <v>32</v>
      </c>
      <c r="G1330">
        <v>37</v>
      </c>
    </row>
    <row r="1331" spans="1:7" x14ac:dyDescent="0.25">
      <c r="A1331">
        <v>1329</v>
      </c>
      <c r="B1331">
        <v>14</v>
      </c>
      <c r="C1331">
        <v>200</v>
      </c>
      <c r="D1331" t="s">
        <v>9941</v>
      </c>
      <c r="E1331" t="s">
        <v>9941</v>
      </c>
      <c r="F1331">
        <v>32</v>
      </c>
      <c r="G1331">
        <v>37</v>
      </c>
    </row>
    <row r="1332" spans="1:7" x14ac:dyDescent="0.25">
      <c r="A1332">
        <v>1330</v>
      </c>
      <c r="B1332">
        <v>24</v>
      </c>
      <c r="C1332">
        <v>200</v>
      </c>
      <c r="D1332" t="s">
        <v>9942</v>
      </c>
      <c r="E1332" t="s">
        <v>9942</v>
      </c>
      <c r="F1332">
        <v>32</v>
      </c>
      <c r="G1332">
        <v>37</v>
      </c>
    </row>
    <row r="1333" spans="1:7" x14ac:dyDescent="0.25">
      <c r="A1333">
        <v>1331</v>
      </c>
      <c r="B1333">
        <v>23</v>
      </c>
      <c r="C1333">
        <v>200</v>
      </c>
      <c r="D1333" t="s">
        <v>9943</v>
      </c>
      <c r="E1333" t="s">
        <v>9943</v>
      </c>
      <c r="F1333">
        <v>32</v>
      </c>
      <c r="G1333">
        <v>38</v>
      </c>
    </row>
    <row r="1334" spans="1:7" x14ac:dyDescent="0.25">
      <c r="A1334">
        <v>1332</v>
      </c>
      <c r="B1334">
        <v>4</v>
      </c>
      <c r="C1334">
        <v>200</v>
      </c>
      <c r="D1334" t="s">
        <v>9944</v>
      </c>
      <c r="E1334" t="s">
        <v>9944</v>
      </c>
      <c r="F1334">
        <v>32</v>
      </c>
      <c r="G1334">
        <v>38</v>
      </c>
    </row>
    <row r="1335" spans="1:7" x14ac:dyDescent="0.25">
      <c r="A1335">
        <v>1333</v>
      </c>
      <c r="B1335">
        <v>4</v>
      </c>
      <c r="C1335">
        <v>200</v>
      </c>
      <c r="D1335" t="s">
        <v>9945</v>
      </c>
      <c r="E1335" t="s">
        <v>9945</v>
      </c>
      <c r="F1335">
        <v>32</v>
      </c>
      <c r="G1335">
        <v>38</v>
      </c>
    </row>
    <row r="1336" spans="1:7" x14ac:dyDescent="0.25">
      <c r="A1336">
        <v>1334</v>
      </c>
      <c r="B1336">
        <v>76</v>
      </c>
      <c r="C1336">
        <v>200</v>
      </c>
      <c r="D1336" t="s">
        <v>9946</v>
      </c>
      <c r="E1336" t="s">
        <v>9946</v>
      </c>
      <c r="F1336">
        <v>32</v>
      </c>
      <c r="G1336">
        <v>37</v>
      </c>
    </row>
    <row r="1337" spans="1:7" x14ac:dyDescent="0.25">
      <c r="A1337">
        <v>1335</v>
      </c>
      <c r="B1337">
        <v>34</v>
      </c>
      <c r="C1337">
        <v>200</v>
      </c>
      <c r="D1337" t="s">
        <v>9947</v>
      </c>
      <c r="E1337" t="s">
        <v>9947</v>
      </c>
      <c r="F1337">
        <v>32</v>
      </c>
      <c r="G1337">
        <v>37</v>
      </c>
    </row>
    <row r="1338" spans="1:7" x14ac:dyDescent="0.25">
      <c r="A1338">
        <v>1336</v>
      </c>
      <c r="B1338">
        <v>2</v>
      </c>
      <c r="C1338">
        <v>200</v>
      </c>
      <c r="D1338" t="s">
        <v>9948</v>
      </c>
      <c r="E1338" t="s">
        <v>9948</v>
      </c>
      <c r="F1338">
        <v>32</v>
      </c>
      <c r="G1338">
        <v>37</v>
      </c>
    </row>
    <row r="1339" spans="1:7" x14ac:dyDescent="0.25">
      <c r="A1339">
        <v>1337</v>
      </c>
      <c r="B1339">
        <v>7</v>
      </c>
      <c r="C1339">
        <v>300</v>
      </c>
      <c r="D1339" t="s">
        <v>9949</v>
      </c>
      <c r="F1339">
        <v>32</v>
      </c>
      <c r="G1339">
        <v>37</v>
      </c>
    </row>
    <row r="1340" spans="1:7" x14ac:dyDescent="0.25">
      <c r="A1340">
        <v>1338</v>
      </c>
      <c r="B1340">
        <v>23</v>
      </c>
      <c r="C1340">
        <v>200</v>
      </c>
      <c r="D1340" t="s">
        <v>9950</v>
      </c>
      <c r="F1340">
        <v>32</v>
      </c>
      <c r="G1340">
        <v>37</v>
      </c>
    </row>
    <row r="1341" spans="1:7" x14ac:dyDescent="0.25">
      <c r="A1341">
        <v>1339</v>
      </c>
      <c r="B1341">
        <v>14</v>
      </c>
      <c r="C1341">
        <v>200</v>
      </c>
      <c r="D1341" t="s">
        <v>9951</v>
      </c>
      <c r="E1341" t="s">
        <v>9951</v>
      </c>
      <c r="F1341">
        <v>32</v>
      </c>
      <c r="G1341">
        <v>37</v>
      </c>
    </row>
    <row r="1342" spans="1:7" x14ac:dyDescent="0.25">
      <c r="A1342">
        <v>1340</v>
      </c>
      <c r="B1342">
        <v>6</v>
      </c>
      <c r="C1342">
        <v>200</v>
      </c>
      <c r="D1342" t="s">
        <v>9929</v>
      </c>
      <c r="E1342" t="s">
        <v>9929</v>
      </c>
      <c r="F1342">
        <v>32</v>
      </c>
      <c r="G1342">
        <v>37</v>
      </c>
    </row>
    <row r="1343" spans="1:7" x14ac:dyDescent="0.25">
      <c r="A1343">
        <v>1341</v>
      </c>
      <c r="B1343">
        <v>14</v>
      </c>
      <c r="C1343">
        <v>200</v>
      </c>
      <c r="D1343" t="s">
        <v>9952</v>
      </c>
      <c r="E1343" t="s">
        <v>9952</v>
      </c>
      <c r="F1343">
        <v>32</v>
      </c>
      <c r="G1343">
        <v>38</v>
      </c>
    </row>
    <row r="1344" spans="1:7" x14ac:dyDescent="0.25">
      <c r="A1344">
        <v>1342</v>
      </c>
      <c r="B1344">
        <v>25</v>
      </c>
      <c r="C1344">
        <v>200</v>
      </c>
      <c r="D1344" t="s">
        <v>9953</v>
      </c>
      <c r="E1344" t="s">
        <v>9953</v>
      </c>
      <c r="F1344">
        <v>32</v>
      </c>
      <c r="G1344">
        <v>37</v>
      </c>
    </row>
    <row r="1345" spans="1:7" x14ac:dyDescent="0.25">
      <c r="A1345">
        <v>1343</v>
      </c>
      <c r="B1345">
        <v>84</v>
      </c>
      <c r="C1345">
        <v>200</v>
      </c>
      <c r="D1345" t="s">
        <v>9954</v>
      </c>
      <c r="E1345" t="s">
        <v>9954</v>
      </c>
      <c r="F1345">
        <v>32</v>
      </c>
      <c r="G1345">
        <v>37</v>
      </c>
    </row>
    <row r="1346" spans="1:7" x14ac:dyDescent="0.25">
      <c r="A1346">
        <v>1344</v>
      </c>
      <c r="B1346">
        <v>82</v>
      </c>
      <c r="C1346">
        <v>200</v>
      </c>
      <c r="D1346" t="s">
        <v>9955</v>
      </c>
      <c r="E1346" t="s">
        <v>9955</v>
      </c>
      <c r="F1346">
        <v>32</v>
      </c>
      <c r="G1346">
        <v>38</v>
      </c>
    </row>
    <row r="1347" spans="1:7" x14ac:dyDescent="0.25">
      <c r="A1347">
        <v>1345</v>
      </c>
      <c r="B1347">
        <v>14</v>
      </c>
      <c r="C1347">
        <v>200</v>
      </c>
      <c r="D1347" t="s">
        <v>9956</v>
      </c>
      <c r="E1347" t="s">
        <v>9956</v>
      </c>
      <c r="F1347">
        <v>32</v>
      </c>
      <c r="G1347">
        <v>37</v>
      </c>
    </row>
    <row r="1348" spans="1:7" x14ac:dyDescent="0.25">
      <c r="A1348">
        <v>1346</v>
      </c>
      <c r="B1348">
        <v>52</v>
      </c>
      <c r="C1348">
        <v>200</v>
      </c>
      <c r="D1348" t="s">
        <v>9957</v>
      </c>
      <c r="E1348" t="s">
        <v>9957</v>
      </c>
      <c r="F1348">
        <v>32</v>
      </c>
      <c r="G1348">
        <v>38</v>
      </c>
    </row>
    <row r="1349" spans="1:7" x14ac:dyDescent="0.25">
      <c r="A1349">
        <v>1347</v>
      </c>
      <c r="B1349">
        <v>54</v>
      </c>
      <c r="C1349">
        <v>200</v>
      </c>
      <c r="D1349" t="s">
        <v>9958</v>
      </c>
      <c r="E1349" t="s">
        <v>9958</v>
      </c>
      <c r="F1349">
        <v>32</v>
      </c>
      <c r="G1349">
        <v>37</v>
      </c>
    </row>
    <row r="1350" spans="1:7" x14ac:dyDescent="0.25">
      <c r="A1350">
        <v>1348</v>
      </c>
      <c r="B1350">
        <v>45</v>
      </c>
      <c r="C1350">
        <v>200</v>
      </c>
      <c r="D1350" t="s">
        <v>9959</v>
      </c>
      <c r="F1350">
        <v>32</v>
      </c>
      <c r="G1350">
        <v>37</v>
      </c>
    </row>
    <row r="1351" spans="1:7" x14ac:dyDescent="0.25">
      <c r="A1351">
        <v>1349</v>
      </c>
      <c r="B1351">
        <v>84</v>
      </c>
      <c r="C1351">
        <v>200</v>
      </c>
      <c r="D1351" t="s">
        <v>9960</v>
      </c>
      <c r="E1351" t="s">
        <v>9961</v>
      </c>
      <c r="F1351">
        <v>32</v>
      </c>
      <c r="G1351">
        <v>37</v>
      </c>
    </row>
    <row r="1352" spans="1:7" x14ac:dyDescent="0.25">
      <c r="A1352">
        <v>1350</v>
      </c>
      <c r="B1352">
        <v>74</v>
      </c>
      <c r="C1352">
        <v>0</v>
      </c>
      <c r="D1352" t="s">
        <v>9962</v>
      </c>
      <c r="E1352" t="s">
        <v>9962</v>
      </c>
      <c r="F1352">
        <v>32</v>
      </c>
      <c r="G1352">
        <v>37</v>
      </c>
    </row>
    <row r="1353" spans="1:7" x14ac:dyDescent="0.25">
      <c r="A1353">
        <v>1351</v>
      </c>
      <c r="B1353">
        <v>40</v>
      </c>
      <c r="C1353">
        <v>200</v>
      </c>
      <c r="D1353" t="s">
        <v>9963</v>
      </c>
      <c r="E1353" t="s">
        <v>9963</v>
      </c>
      <c r="F1353">
        <v>31</v>
      </c>
      <c r="G1353">
        <v>38</v>
      </c>
    </row>
    <row r="1354" spans="1:7" x14ac:dyDescent="0.25">
      <c r="A1354">
        <v>1352</v>
      </c>
      <c r="B1354">
        <v>52</v>
      </c>
      <c r="C1354">
        <v>200</v>
      </c>
      <c r="D1354" t="s">
        <v>9964</v>
      </c>
      <c r="E1354" t="s">
        <v>9964</v>
      </c>
      <c r="F1354">
        <v>32</v>
      </c>
      <c r="G1354">
        <v>37</v>
      </c>
    </row>
    <row r="1355" spans="1:7" x14ac:dyDescent="0.25">
      <c r="A1355">
        <v>1353</v>
      </c>
      <c r="B1355">
        <v>54</v>
      </c>
      <c r="C1355">
        <v>200</v>
      </c>
      <c r="D1355" t="s">
        <v>9965</v>
      </c>
      <c r="E1355" t="s">
        <v>9965</v>
      </c>
      <c r="F1355">
        <v>32</v>
      </c>
      <c r="G1355">
        <v>38</v>
      </c>
    </row>
    <row r="1356" spans="1:7" x14ac:dyDescent="0.25">
      <c r="A1356">
        <v>1354</v>
      </c>
      <c r="B1356">
        <v>2</v>
      </c>
      <c r="C1356">
        <v>200</v>
      </c>
      <c r="D1356" t="s">
        <v>9948</v>
      </c>
      <c r="E1356" t="s">
        <v>9948</v>
      </c>
      <c r="F1356">
        <v>32</v>
      </c>
      <c r="G1356">
        <v>37</v>
      </c>
    </row>
    <row r="1357" spans="1:7" x14ac:dyDescent="0.25">
      <c r="A1357">
        <v>1355</v>
      </c>
      <c r="B1357">
        <v>2</v>
      </c>
      <c r="C1357">
        <v>300</v>
      </c>
      <c r="D1357" t="s">
        <v>9966</v>
      </c>
      <c r="E1357" t="s">
        <v>9966</v>
      </c>
      <c r="F1357">
        <v>32</v>
      </c>
      <c r="G1357">
        <v>37</v>
      </c>
    </row>
    <row r="1358" spans="1:7" x14ac:dyDescent="0.25">
      <c r="A1358">
        <v>1356</v>
      </c>
      <c r="B1358">
        <v>54</v>
      </c>
      <c r="C1358">
        <v>200</v>
      </c>
      <c r="D1358" t="s">
        <v>9967</v>
      </c>
      <c r="F1358">
        <v>32</v>
      </c>
      <c r="G1358">
        <v>38</v>
      </c>
    </row>
    <row r="1359" spans="1:7" x14ac:dyDescent="0.25">
      <c r="A1359">
        <v>1357</v>
      </c>
      <c r="B1359">
        <v>40</v>
      </c>
      <c r="C1359">
        <v>200</v>
      </c>
      <c r="D1359" t="s">
        <v>9968</v>
      </c>
      <c r="E1359" t="s">
        <v>9968</v>
      </c>
      <c r="F1359">
        <v>31</v>
      </c>
      <c r="G1359">
        <v>37</v>
      </c>
    </row>
    <row r="1360" spans="1:7" x14ac:dyDescent="0.25">
      <c r="A1360">
        <v>1358</v>
      </c>
      <c r="B1360">
        <v>25</v>
      </c>
      <c r="C1360">
        <v>200</v>
      </c>
      <c r="D1360" t="s">
        <v>9228</v>
      </c>
      <c r="E1360" t="s">
        <v>9228</v>
      </c>
      <c r="F1360">
        <v>32</v>
      </c>
      <c r="G1360">
        <v>37</v>
      </c>
    </row>
    <row r="1361" spans="1:7" x14ac:dyDescent="0.25">
      <c r="A1361">
        <v>1359</v>
      </c>
      <c r="B1361">
        <v>40</v>
      </c>
      <c r="C1361">
        <v>200</v>
      </c>
      <c r="D1361" t="s">
        <v>9969</v>
      </c>
      <c r="E1361" t="s">
        <v>9969</v>
      </c>
      <c r="F1361">
        <v>31</v>
      </c>
      <c r="G1361">
        <v>37</v>
      </c>
    </row>
    <row r="1362" spans="1:7" x14ac:dyDescent="0.25">
      <c r="A1362">
        <v>1360</v>
      </c>
      <c r="B1362">
        <v>8</v>
      </c>
      <c r="C1362">
        <v>300</v>
      </c>
      <c r="D1362" t="s">
        <v>9970</v>
      </c>
      <c r="E1362" t="s">
        <v>9970</v>
      </c>
      <c r="F1362">
        <v>32</v>
      </c>
      <c r="G1362">
        <v>37</v>
      </c>
    </row>
    <row r="1363" spans="1:7" x14ac:dyDescent="0.25">
      <c r="A1363">
        <v>1361</v>
      </c>
      <c r="B1363">
        <v>40</v>
      </c>
      <c r="C1363">
        <v>200</v>
      </c>
      <c r="D1363" t="s">
        <v>9971</v>
      </c>
      <c r="E1363" t="s">
        <v>9971</v>
      </c>
      <c r="F1363">
        <v>31</v>
      </c>
      <c r="G1363">
        <v>37</v>
      </c>
    </row>
    <row r="1364" spans="1:7" x14ac:dyDescent="0.25">
      <c r="A1364">
        <v>1362</v>
      </c>
      <c r="B1364">
        <v>23</v>
      </c>
      <c r="C1364">
        <v>200</v>
      </c>
      <c r="D1364" t="s">
        <v>9972</v>
      </c>
      <c r="F1364">
        <v>32</v>
      </c>
      <c r="G1364">
        <v>37</v>
      </c>
    </row>
    <row r="1365" spans="1:7" x14ac:dyDescent="0.25">
      <c r="A1365">
        <v>1363</v>
      </c>
      <c r="B1365">
        <v>45</v>
      </c>
      <c r="C1365">
        <v>200</v>
      </c>
      <c r="D1365" t="s">
        <v>9973</v>
      </c>
      <c r="E1365" t="s">
        <v>9973</v>
      </c>
      <c r="F1365">
        <v>32</v>
      </c>
      <c r="G1365">
        <v>37</v>
      </c>
    </row>
    <row r="1366" spans="1:7" x14ac:dyDescent="0.25">
      <c r="A1366">
        <v>1364</v>
      </c>
      <c r="B1366">
        <v>25</v>
      </c>
      <c r="C1366">
        <v>200</v>
      </c>
      <c r="D1366" t="s">
        <v>9974</v>
      </c>
      <c r="E1366" t="s">
        <v>9974</v>
      </c>
      <c r="F1366">
        <v>32</v>
      </c>
      <c r="G1366">
        <v>37</v>
      </c>
    </row>
    <row r="1367" spans="1:7" x14ac:dyDescent="0.25">
      <c r="A1367">
        <v>1365</v>
      </c>
      <c r="B1367">
        <v>8</v>
      </c>
      <c r="C1367">
        <v>200</v>
      </c>
      <c r="D1367" t="s">
        <v>9975</v>
      </c>
      <c r="E1367" t="s">
        <v>9975</v>
      </c>
      <c r="F1367">
        <v>32</v>
      </c>
      <c r="G1367">
        <v>37</v>
      </c>
    </row>
    <row r="1368" spans="1:7" x14ac:dyDescent="0.25">
      <c r="A1368">
        <v>1366</v>
      </c>
      <c r="B1368">
        <v>54</v>
      </c>
      <c r="C1368">
        <v>200</v>
      </c>
      <c r="D1368" t="s">
        <v>9976</v>
      </c>
      <c r="E1368" t="s">
        <v>9976</v>
      </c>
      <c r="F1368">
        <v>32</v>
      </c>
      <c r="G1368">
        <v>37</v>
      </c>
    </row>
    <row r="1369" spans="1:7" x14ac:dyDescent="0.25">
      <c r="A1369">
        <v>1367</v>
      </c>
      <c r="B1369">
        <v>2</v>
      </c>
      <c r="C1369">
        <v>200</v>
      </c>
      <c r="D1369" t="s">
        <v>9977</v>
      </c>
      <c r="E1369" t="s">
        <v>9977</v>
      </c>
      <c r="F1369">
        <v>32</v>
      </c>
      <c r="G1369">
        <v>38</v>
      </c>
    </row>
    <row r="1370" spans="1:7" x14ac:dyDescent="0.25">
      <c r="A1370">
        <v>1368</v>
      </c>
      <c r="B1370">
        <v>58</v>
      </c>
      <c r="C1370">
        <v>200</v>
      </c>
      <c r="D1370" t="s">
        <v>9978</v>
      </c>
      <c r="E1370" t="s">
        <v>9978</v>
      </c>
      <c r="F1370">
        <v>32</v>
      </c>
      <c r="G1370">
        <v>37</v>
      </c>
    </row>
    <row r="1371" spans="1:7" x14ac:dyDescent="0.25">
      <c r="A1371">
        <v>1369</v>
      </c>
      <c r="B1371">
        <v>34</v>
      </c>
      <c r="C1371">
        <v>200</v>
      </c>
      <c r="D1371" t="s">
        <v>9979</v>
      </c>
      <c r="E1371" t="s">
        <v>9979</v>
      </c>
      <c r="F1371">
        <v>32</v>
      </c>
      <c r="G1371">
        <v>37</v>
      </c>
    </row>
    <row r="1372" spans="1:7" x14ac:dyDescent="0.25">
      <c r="A1372">
        <v>1370</v>
      </c>
      <c r="B1372">
        <v>40</v>
      </c>
      <c r="C1372">
        <v>200</v>
      </c>
      <c r="D1372" t="s">
        <v>9980</v>
      </c>
      <c r="E1372" t="s">
        <v>9981</v>
      </c>
      <c r="F1372">
        <v>31</v>
      </c>
      <c r="G1372">
        <v>37</v>
      </c>
    </row>
    <row r="1373" spans="1:7" x14ac:dyDescent="0.25">
      <c r="A1373">
        <v>1371</v>
      </c>
      <c r="B1373">
        <v>40</v>
      </c>
      <c r="C1373">
        <v>200</v>
      </c>
      <c r="D1373" t="s">
        <v>9982</v>
      </c>
      <c r="E1373" t="s">
        <v>9982</v>
      </c>
      <c r="F1373">
        <v>31</v>
      </c>
      <c r="G1373">
        <v>37</v>
      </c>
    </row>
    <row r="1374" spans="1:7" x14ac:dyDescent="0.25">
      <c r="A1374">
        <v>1372</v>
      </c>
      <c r="B1374">
        <v>84</v>
      </c>
      <c r="C1374">
        <v>200</v>
      </c>
      <c r="D1374" t="s">
        <v>9983</v>
      </c>
      <c r="E1374" t="s">
        <v>9983</v>
      </c>
      <c r="F1374">
        <v>32</v>
      </c>
      <c r="G1374">
        <v>37</v>
      </c>
    </row>
    <row r="1375" spans="1:7" x14ac:dyDescent="0.25">
      <c r="A1375">
        <v>1373</v>
      </c>
      <c r="B1375">
        <v>52</v>
      </c>
      <c r="C1375">
        <v>200</v>
      </c>
      <c r="D1375" t="s">
        <v>9984</v>
      </c>
      <c r="E1375" t="s">
        <v>9984</v>
      </c>
      <c r="F1375">
        <v>32</v>
      </c>
      <c r="G1375">
        <v>37</v>
      </c>
    </row>
    <row r="1376" spans="1:7" x14ac:dyDescent="0.25">
      <c r="A1376">
        <v>1374</v>
      </c>
      <c r="B1376">
        <v>6</v>
      </c>
      <c r="C1376">
        <v>200</v>
      </c>
      <c r="D1376" t="s">
        <v>9985</v>
      </c>
      <c r="E1376" t="s">
        <v>9985</v>
      </c>
      <c r="F1376">
        <v>32</v>
      </c>
      <c r="G1376">
        <v>37</v>
      </c>
    </row>
    <row r="1377" spans="1:7" x14ac:dyDescent="0.25">
      <c r="A1377">
        <v>1375</v>
      </c>
      <c r="B1377">
        <v>69</v>
      </c>
      <c r="C1377">
        <v>200</v>
      </c>
      <c r="D1377" t="s">
        <v>9986</v>
      </c>
      <c r="E1377" t="s">
        <v>9986</v>
      </c>
      <c r="F1377">
        <v>32</v>
      </c>
      <c r="G1377">
        <v>37</v>
      </c>
    </row>
    <row r="1378" spans="1:7" x14ac:dyDescent="0.25">
      <c r="A1378">
        <v>1376</v>
      </c>
      <c r="B1378">
        <v>14</v>
      </c>
      <c r="C1378">
        <v>200</v>
      </c>
      <c r="D1378" t="s">
        <v>9987</v>
      </c>
      <c r="E1378" t="s">
        <v>9987</v>
      </c>
      <c r="F1378">
        <v>32</v>
      </c>
      <c r="G1378">
        <v>37</v>
      </c>
    </row>
    <row r="1379" spans="1:7" x14ac:dyDescent="0.25">
      <c r="A1379">
        <v>1377</v>
      </c>
      <c r="B1379">
        <v>14</v>
      </c>
      <c r="C1379">
        <v>200</v>
      </c>
      <c r="D1379" t="s">
        <v>9988</v>
      </c>
      <c r="E1379" t="s">
        <v>9988</v>
      </c>
      <c r="F1379">
        <v>32</v>
      </c>
      <c r="G1379">
        <v>37</v>
      </c>
    </row>
    <row r="1380" spans="1:7" x14ac:dyDescent="0.25">
      <c r="A1380">
        <v>1378</v>
      </c>
      <c r="B1380">
        <v>14</v>
      </c>
      <c r="C1380">
        <v>200</v>
      </c>
      <c r="D1380" t="s">
        <v>9989</v>
      </c>
      <c r="E1380" t="s">
        <v>9989</v>
      </c>
      <c r="F1380">
        <v>32</v>
      </c>
      <c r="G1380">
        <v>37</v>
      </c>
    </row>
    <row r="1381" spans="1:7" x14ac:dyDescent="0.25">
      <c r="A1381">
        <v>1379</v>
      </c>
      <c r="B1381">
        <v>40</v>
      </c>
      <c r="C1381">
        <v>200</v>
      </c>
      <c r="D1381" t="s">
        <v>9990</v>
      </c>
      <c r="E1381" t="s">
        <v>9990</v>
      </c>
      <c r="F1381">
        <v>31</v>
      </c>
      <c r="G1381">
        <v>37</v>
      </c>
    </row>
    <row r="1382" spans="1:7" x14ac:dyDescent="0.25">
      <c r="A1382">
        <v>1380</v>
      </c>
      <c r="B1382">
        <v>24</v>
      </c>
      <c r="C1382">
        <v>200</v>
      </c>
      <c r="D1382" t="s">
        <v>9991</v>
      </c>
      <c r="E1382" t="s">
        <v>9991</v>
      </c>
      <c r="F1382">
        <v>32</v>
      </c>
      <c r="G1382">
        <v>37</v>
      </c>
    </row>
    <row r="1383" spans="1:7" x14ac:dyDescent="0.25">
      <c r="A1383">
        <v>1381</v>
      </c>
      <c r="B1383">
        <v>84</v>
      </c>
      <c r="C1383">
        <v>200</v>
      </c>
      <c r="D1383" t="s">
        <v>9992</v>
      </c>
      <c r="E1383" t="s">
        <v>9992</v>
      </c>
      <c r="F1383">
        <v>32</v>
      </c>
      <c r="G1383">
        <v>37</v>
      </c>
    </row>
    <row r="1384" spans="1:7" x14ac:dyDescent="0.25">
      <c r="A1384">
        <v>1382</v>
      </c>
      <c r="B1384">
        <v>25</v>
      </c>
      <c r="C1384">
        <v>200</v>
      </c>
      <c r="D1384" t="s">
        <v>9993</v>
      </c>
      <c r="E1384" t="s">
        <v>9993</v>
      </c>
      <c r="F1384">
        <v>32</v>
      </c>
      <c r="G1384">
        <v>37</v>
      </c>
    </row>
    <row r="1385" spans="1:7" x14ac:dyDescent="0.25">
      <c r="A1385">
        <v>1383</v>
      </c>
      <c r="B1385">
        <v>62</v>
      </c>
      <c r="C1385">
        <v>200</v>
      </c>
      <c r="D1385" t="s">
        <v>9994</v>
      </c>
      <c r="E1385" t="s">
        <v>9994</v>
      </c>
      <c r="F1385">
        <v>32</v>
      </c>
      <c r="G1385">
        <v>37</v>
      </c>
    </row>
    <row r="1386" spans="1:7" x14ac:dyDescent="0.25">
      <c r="A1386">
        <v>1384</v>
      </c>
      <c r="B1386">
        <v>14</v>
      </c>
      <c r="C1386">
        <v>200</v>
      </c>
      <c r="D1386" t="s">
        <v>9995</v>
      </c>
      <c r="E1386" t="s">
        <v>9995</v>
      </c>
      <c r="F1386">
        <v>32</v>
      </c>
      <c r="G1386">
        <v>37</v>
      </c>
    </row>
    <row r="1387" spans="1:7" x14ac:dyDescent="0.25">
      <c r="A1387">
        <v>1385</v>
      </c>
      <c r="B1387">
        <v>40</v>
      </c>
      <c r="C1387">
        <v>200</v>
      </c>
      <c r="D1387" t="s">
        <v>9996</v>
      </c>
      <c r="E1387" t="s">
        <v>9996</v>
      </c>
      <c r="F1387">
        <v>31</v>
      </c>
      <c r="G1387">
        <v>37</v>
      </c>
    </row>
    <row r="1388" spans="1:7" x14ac:dyDescent="0.25">
      <c r="A1388">
        <v>1386</v>
      </c>
      <c r="B1388">
        <v>12</v>
      </c>
      <c r="C1388">
        <v>200</v>
      </c>
      <c r="D1388" t="s">
        <v>9997</v>
      </c>
      <c r="E1388" t="s">
        <v>9997</v>
      </c>
      <c r="F1388">
        <v>32</v>
      </c>
      <c r="G1388">
        <v>37</v>
      </c>
    </row>
    <row r="1389" spans="1:7" x14ac:dyDescent="0.25">
      <c r="A1389">
        <v>1387</v>
      </c>
      <c r="B1389">
        <v>45</v>
      </c>
      <c r="C1389">
        <v>200</v>
      </c>
      <c r="D1389" t="s">
        <v>9998</v>
      </c>
      <c r="E1389" t="s">
        <v>9998</v>
      </c>
      <c r="F1389">
        <v>32</v>
      </c>
      <c r="G1389">
        <v>37</v>
      </c>
    </row>
    <row r="1390" spans="1:7" x14ac:dyDescent="0.25">
      <c r="A1390">
        <v>1388</v>
      </c>
      <c r="B1390">
        <v>84</v>
      </c>
      <c r="C1390">
        <v>200</v>
      </c>
      <c r="D1390" t="s">
        <v>9999</v>
      </c>
      <c r="E1390" t="s">
        <v>9999</v>
      </c>
      <c r="F1390">
        <v>32</v>
      </c>
      <c r="G1390">
        <v>37</v>
      </c>
    </row>
    <row r="1391" spans="1:7" x14ac:dyDescent="0.25">
      <c r="A1391">
        <v>1389</v>
      </c>
      <c r="B1391">
        <v>10</v>
      </c>
      <c r="C1391">
        <v>200</v>
      </c>
      <c r="D1391" t="s">
        <v>10000</v>
      </c>
      <c r="E1391" t="s">
        <v>10000</v>
      </c>
      <c r="F1391">
        <v>32</v>
      </c>
      <c r="G1391">
        <v>37</v>
      </c>
    </row>
    <row r="1392" spans="1:7" x14ac:dyDescent="0.25">
      <c r="A1392">
        <v>1390</v>
      </c>
      <c r="B1392">
        <v>54</v>
      </c>
      <c r="C1392">
        <v>200</v>
      </c>
      <c r="D1392" t="s">
        <v>10001</v>
      </c>
      <c r="E1392" t="s">
        <v>10001</v>
      </c>
      <c r="F1392">
        <v>32</v>
      </c>
      <c r="G1392">
        <v>37</v>
      </c>
    </row>
    <row r="1393" spans="1:7" x14ac:dyDescent="0.25">
      <c r="A1393">
        <v>1391</v>
      </c>
      <c r="B1393">
        <v>59</v>
      </c>
      <c r="C1393">
        <v>200</v>
      </c>
      <c r="D1393" t="s">
        <v>10002</v>
      </c>
      <c r="E1393" t="s">
        <v>10002</v>
      </c>
      <c r="F1393">
        <v>32</v>
      </c>
      <c r="G1393">
        <v>37</v>
      </c>
    </row>
    <row r="1394" spans="1:7" x14ac:dyDescent="0.25">
      <c r="A1394">
        <v>1392</v>
      </c>
      <c r="B1394">
        <v>14</v>
      </c>
      <c r="C1394">
        <v>200</v>
      </c>
      <c r="D1394" t="s">
        <v>10003</v>
      </c>
      <c r="F1394">
        <v>32</v>
      </c>
      <c r="G1394">
        <v>38</v>
      </c>
    </row>
    <row r="1395" spans="1:7" x14ac:dyDescent="0.25">
      <c r="A1395">
        <v>1393</v>
      </c>
      <c r="B1395">
        <v>40</v>
      </c>
      <c r="C1395">
        <v>300</v>
      </c>
      <c r="D1395" t="s">
        <v>397</v>
      </c>
      <c r="E1395" t="s">
        <v>397</v>
      </c>
      <c r="F1395">
        <v>31</v>
      </c>
      <c r="G1395">
        <v>38</v>
      </c>
    </row>
    <row r="1396" spans="1:7" x14ac:dyDescent="0.25">
      <c r="A1396">
        <v>1394</v>
      </c>
      <c r="B1396">
        <v>40</v>
      </c>
      <c r="C1396">
        <v>200</v>
      </c>
      <c r="D1396" t="s">
        <v>10004</v>
      </c>
      <c r="E1396" t="s">
        <v>10004</v>
      </c>
      <c r="F1396">
        <v>31</v>
      </c>
      <c r="G1396">
        <v>38</v>
      </c>
    </row>
    <row r="1397" spans="1:7" x14ac:dyDescent="0.25">
      <c r="A1397">
        <v>1395</v>
      </c>
      <c r="B1397">
        <v>14</v>
      </c>
      <c r="C1397">
        <v>200</v>
      </c>
      <c r="D1397" t="s">
        <v>10005</v>
      </c>
      <c r="E1397" t="s">
        <v>10005</v>
      </c>
      <c r="F1397">
        <v>32</v>
      </c>
      <c r="G1397">
        <v>38</v>
      </c>
    </row>
    <row r="1398" spans="1:7" x14ac:dyDescent="0.25">
      <c r="A1398">
        <v>1396</v>
      </c>
      <c r="B1398">
        <v>19</v>
      </c>
      <c r="C1398">
        <v>300</v>
      </c>
      <c r="D1398" t="s">
        <v>10006</v>
      </c>
      <c r="E1398" t="s">
        <v>10006</v>
      </c>
      <c r="F1398">
        <v>32</v>
      </c>
      <c r="G1398">
        <v>37</v>
      </c>
    </row>
    <row r="1399" spans="1:7" x14ac:dyDescent="0.25">
      <c r="A1399">
        <v>1397</v>
      </c>
      <c r="B1399">
        <v>40</v>
      </c>
      <c r="C1399">
        <v>300</v>
      </c>
      <c r="D1399" t="s">
        <v>10007</v>
      </c>
      <c r="E1399" t="s">
        <v>10008</v>
      </c>
      <c r="F1399">
        <v>31</v>
      </c>
      <c r="G1399">
        <v>38</v>
      </c>
    </row>
    <row r="1400" spans="1:7" x14ac:dyDescent="0.25">
      <c r="A1400">
        <v>1398</v>
      </c>
      <c r="B1400">
        <v>34</v>
      </c>
      <c r="C1400">
        <v>300</v>
      </c>
      <c r="D1400" t="s">
        <v>10009</v>
      </c>
      <c r="E1400" t="s">
        <v>10009</v>
      </c>
      <c r="F1400">
        <v>32</v>
      </c>
      <c r="G1400">
        <v>37</v>
      </c>
    </row>
    <row r="1401" spans="1:7" x14ac:dyDescent="0.25">
      <c r="A1401">
        <v>1399</v>
      </c>
      <c r="B1401">
        <v>24</v>
      </c>
      <c r="C1401">
        <v>200</v>
      </c>
      <c r="D1401" t="s">
        <v>10010</v>
      </c>
      <c r="E1401" t="s">
        <v>10010</v>
      </c>
      <c r="F1401">
        <v>32</v>
      </c>
      <c r="G1401">
        <v>37</v>
      </c>
    </row>
    <row r="1402" spans="1:7" x14ac:dyDescent="0.25">
      <c r="A1402">
        <v>1400</v>
      </c>
      <c r="B1402">
        <v>24</v>
      </c>
      <c r="C1402">
        <v>200</v>
      </c>
      <c r="D1402" t="s">
        <v>10011</v>
      </c>
      <c r="E1402" t="s">
        <v>10011</v>
      </c>
      <c r="F1402">
        <v>32</v>
      </c>
      <c r="G1402">
        <v>37</v>
      </c>
    </row>
    <row r="1403" spans="1:7" x14ac:dyDescent="0.25">
      <c r="A1403">
        <v>1401</v>
      </c>
      <c r="B1403">
        <v>24</v>
      </c>
      <c r="C1403">
        <v>200</v>
      </c>
      <c r="D1403" t="s">
        <v>10012</v>
      </c>
      <c r="E1403" t="s">
        <v>10012</v>
      </c>
      <c r="F1403">
        <v>32</v>
      </c>
      <c r="G1403">
        <v>37</v>
      </c>
    </row>
    <row r="1404" spans="1:7" x14ac:dyDescent="0.25">
      <c r="A1404">
        <v>1402</v>
      </c>
      <c r="B1404">
        <v>25</v>
      </c>
      <c r="C1404">
        <v>300</v>
      </c>
      <c r="D1404" t="s">
        <v>10013</v>
      </c>
      <c r="E1404" t="s">
        <v>10013</v>
      </c>
      <c r="F1404">
        <v>32</v>
      </c>
      <c r="G1404">
        <v>37</v>
      </c>
    </row>
    <row r="1405" spans="1:7" x14ac:dyDescent="0.25">
      <c r="A1405">
        <v>1403</v>
      </c>
      <c r="B1405">
        <v>40</v>
      </c>
      <c r="C1405">
        <v>300</v>
      </c>
      <c r="D1405" t="s">
        <v>10014</v>
      </c>
      <c r="E1405" t="s">
        <v>10014</v>
      </c>
      <c r="F1405">
        <v>31</v>
      </c>
      <c r="G1405">
        <v>38</v>
      </c>
    </row>
    <row r="1406" spans="1:7" x14ac:dyDescent="0.25">
      <c r="A1406">
        <v>1404</v>
      </c>
      <c r="B1406">
        <v>40</v>
      </c>
      <c r="C1406">
        <v>200</v>
      </c>
      <c r="D1406" t="s">
        <v>10015</v>
      </c>
      <c r="E1406" t="s">
        <v>10015</v>
      </c>
      <c r="F1406">
        <v>31</v>
      </c>
      <c r="G1406">
        <v>37</v>
      </c>
    </row>
    <row r="1407" spans="1:7" x14ac:dyDescent="0.25">
      <c r="A1407">
        <v>1405</v>
      </c>
      <c r="B1407">
        <v>25</v>
      </c>
      <c r="C1407">
        <v>200</v>
      </c>
      <c r="D1407" t="s">
        <v>10016</v>
      </c>
      <c r="E1407" t="s">
        <v>10016</v>
      </c>
      <c r="F1407">
        <v>32</v>
      </c>
      <c r="G1407">
        <v>37</v>
      </c>
    </row>
    <row r="1408" spans="1:7" x14ac:dyDescent="0.25">
      <c r="A1408">
        <v>1406</v>
      </c>
      <c r="B1408">
        <v>24</v>
      </c>
      <c r="C1408">
        <v>200</v>
      </c>
      <c r="D1408" t="s">
        <v>10017</v>
      </c>
      <c r="E1408" t="s">
        <v>10017</v>
      </c>
      <c r="F1408">
        <v>32</v>
      </c>
      <c r="G1408">
        <v>37</v>
      </c>
    </row>
    <row r="1409" spans="1:7" x14ac:dyDescent="0.25">
      <c r="A1409">
        <v>1407</v>
      </c>
      <c r="B1409">
        <v>40</v>
      </c>
      <c r="C1409">
        <v>300</v>
      </c>
      <c r="D1409" t="s">
        <v>10018</v>
      </c>
      <c r="E1409" t="s">
        <v>10018</v>
      </c>
      <c r="F1409">
        <v>31</v>
      </c>
      <c r="G1409">
        <v>38</v>
      </c>
    </row>
    <row r="1410" spans="1:7" x14ac:dyDescent="0.25">
      <c r="A1410">
        <v>1408</v>
      </c>
      <c r="B1410">
        <v>61</v>
      </c>
      <c r="C1410">
        <v>200</v>
      </c>
      <c r="D1410" t="s">
        <v>10019</v>
      </c>
      <c r="E1410" t="s">
        <v>10019</v>
      </c>
      <c r="F1410">
        <v>32</v>
      </c>
      <c r="G1410">
        <v>37</v>
      </c>
    </row>
    <row r="1411" spans="1:7" x14ac:dyDescent="0.25">
      <c r="A1411">
        <v>1409</v>
      </c>
      <c r="B1411">
        <v>40</v>
      </c>
      <c r="C1411">
        <v>200</v>
      </c>
      <c r="D1411" t="s">
        <v>10020</v>
      </c>
      <c r="E1411" t="s">
        <v>10020</v>
      </c>
      <c r="F1411">
        <v>31</v>
      </c>
      <c r="G1411">
        <v>37</v>
      </c>
    </row>
    <row r="1412" spans="1:7" x14ac:dyDescent="0.25">
      <c r="A1412">
        <v>1410</v>
      </c>
      <c r="B1412">
        <v>57</v>
      </c>
      <c r="C1412">
        <v>200</v>
      </c>
      <c r="D1412" t="s">
        <v>10021</v>
      </c>
      <c r="E1412" t="s">
        <v>10021</v>
      </c>
      <c r="F1412">
        <v>32</v>
      </c>
      <c r="G1412">
        <v>37</v>
      </c>
    </row>
    <row r="1413" spans="1:7" x14ac:dyDescent="0.25">
      <c r="A1413">
        <v>1411</v>
      </c>
      <c r="B1413">
        <v>74</v>
      </c>
      <c r="C1413">
        <v>200</v>
      </c>
      <c r="D1413" t="s">
        <v>10022</v>
      </c>
      <c r="E1413" t="s">
        <v>10022</v>
      </c>
      <c r="F1413">
        <v>32</v>
      </c>
      <c r="G1413">
        <v>37</v>
      </c>
    </row>
    <row r="1414" spans="1:7" x14ac:dyDescent="0.25">
      <c r="A1414">
        <v>1412</v>
      </c>
      <c r="B1414">
        <v>34</v>
      </c>
      <c r="C1414">
        <v>200</v>
      </c>
      <c r="D1414" t="s">
        <v>10023</v>
      </c>
      <c r="E1414" t="s">
        <v>10023</v>
      </c>
      <c r="F1414">
        <v>32</v>
      </c>
      <c r="G1414">
        <v>37</v>
      </c>
    </row>
    <row r="1415" spans="1:7" x14ac:dyDescent="0.25">
      <c r="A1415">
        <v>1413</v>
      </c>
      <c r="B1415">
        <v>25</v>
      </c>
      <c r="C1415">
        <v>200</v>
      </c>
      <c r="D1415" t="s">
        <v>10024</v>
      </c>
      <c r="E1415" t="s">
        <v>10024</v>
      </c>
      <c r="F1415">
        <v>32</v>
      </c>
      <c r="G1415">
        <v>37</v>
      </c>
    </row>
    <row r="1416" spans="1:7" x14ac:dyDescent="0.25">
      <c r="A1416">
        <v>1414</v>
      </c>
      <c r="B1416">
        <v>58</v>
      </c>
      <c r="C1416">
        <v>200</v>
      </c>
      <c r="D1416" t="s">
        <v>10025</v>
      </c>
      <c r="E1416" t="s">
        <v>10025</v>
      </c>
      <c r="F1416">
        <v>32</v>
      </c>
      <c r="G1416">
        <v>37</v>
      </c>
    </row>
    <row r="1417" spans="1:7" x14ac:dyDescent="0.25">
      <c r="A1417">
        <v>1415</v>
      </c>
      <c r="B1417">
        <v>70</v>
      </c>
      <c r="C1417">
        <v>200</v>
      </c>
      <c r="D1417" t="s">
        <v>10026</v>
      </c>
      <c r="E1417" t="s">
        <v>10026</v>
      </c>
      <c r="F1417">
        <v>32</v>
      </c>
      <c r="G1417">
        <v>37</v>
      </c>
    </row>
    <row r="1418" spans="1:7" x14ac:dyDescent="0.25">
      <c r="A1418">
        <v>1416</v>
      </c>
      <c r="B1418">
        <v>59</v>
      </c>
      <c r="C1418">
        <v>200</v>
      </c>
      <c r="D1418" t="s">
        <v>10027</v>
      </c>
      <c r="E1418" t="s">
        <v>10027</v>
      </c>
      <c r="F1418">
        <v>32</v>
      </c>
      <c r="G1418">
        <v>37</v>
      </c>
    </row>
    <row r="1419" spans="1:7" x14ac:dyDescent="0.25">
      <c r="A1419">
        <v>1417</v>
      </c>
      <c r="B1419">
        <v>11</v>
      </c>
      <c r="C1419">
        <v>200</v>
      </c>
      <c r="D1419" t="s">
        <v>10028</v>
      </c>
      <c r="E1419" t="s">
        <v>10028</v>
      </c>
      <c r="F1419">
        <v>32</v>
      </c>
      <c r="G1419">
        <v>37</v>
      </c>
    </row>
    <row r="1420" spans="1:7" x14ac:dyDescent="0.25">
      <c r="A1420">
        <v>1418</v>
      </c>
      <c r="B1420">
        <v>8</v>
      </c>
      <c r="C1420">
        <v>200</v>
      </c>
      <c r="D1420" t="s">
        <v>10029</v>
      </c>
      <c r="E1420" t="s">
        <v>10029</v>
      </c>
      <c r="F1420">
        <v>32</v>
      </c>
      <c r="G1420">
        <v>37</v>
      </c>
    </row>
    <row r="1421" spans="1:7" x14ac:dyDescent="0.25">
      <c r="A1421">
        <v>1419</v>
      </c>
      <c r="B1421">
        <v>69</v>
      </c>
      <c r="C1421">
        <v>200</v>
      </c>
      <c r="D1421" t="s">
        <v>10030</v>
      </c>
      <c r="E1421" t="s">
        <v>10030</v>
      </c>
      <c r="F1421">
        <v>32</v>
      </c>
      <c r="G1421">
        <v>37</v>
      </c>
    </row>
    <row r="1422" spans="1:7" x14ac:dyDescent="0.25">
      <c r="A1422">
        <v>1420</v>
      </c>
      <c r="B1422">
        <v>8</v>
      </c>
      <c r="C1422">
        <v>200</v>
      </c>
      <c r="D1422" t="s">
        <v>10031</v>
      </c>
      <c r="E1422" t="s">
        <v>10031</v>
      </c>
      <c r="F1422">
        <v>32</v>
      </c>
      <c r="G1422">
        <v>37</v>
      </c>
    </row>
    <row r="1423" spans="1:7" x14ac:dyDescent="0.25">
      <c r="A1423">
        <v>1421</v>
      </c>
      <c r="B1423">
        <v>54</v>
      </c>
      <c r="C1423">
        <v>200</v>
      </c>
      <c r="D1423" t="s">
        <v>10032</v>
      </c>
      <c r="E1423" t="s">
        <v>10032</v>
      </c>
      <c r="F1423">
        <v>32</v>
      </c>
      <c r="G1423">
        <v>37</v>
      </c>
    </row>
    <row r="1424" spans="1:7" x14ac:dyDescent="0.25">
      <c r="A1424">
        <v>1422</v>
      </c>
      <c r="B1424">
        <v>34</v>
      </c>
      <c r="C1424">
        <v>200</v>
      </c>
      <c r="D1424" t="s">
        <v>10033</v>
      </c>
      <c r="E1424" t="s">
        <v>10033</v>
      </c>
      <c r="F1424">
        <v>32</v>
      </c>
      <c r="G1424">
        <v>37</v>
      </c>
    </row>
    <row r="1425" spans="1:7" x14ac:dyDescent="0.25">
      <c r="A1425">
        <v>1423</v>
      </c>
      <c r="B1425">
        <v>61</v>
      </c>
      <c r="C1425">
        <v>200</v>
      </c>
      <c r="D1425" t="s">
        <v>10034</v>
      </c>
      <c r="E1425" t="s">
        <v>10034</v>
      </c>
      <c r="F1425">
        <v>32</v>
      </c>
      <c r="G1425">
        <v>37</v>
      </c>
    </row>
    <row r="1426" spans="1:7" x14ac:dyDescent="0.25">
      <c r="A1426">
        <v>1424</v>
      </c>
      <c r="B1426">
        <v>25</v>
      </c>
      <c r="C1426">
        <v>200</v>
      </c>
      <c r="D1426" t="s">
        <v>10035</v>
      </c>
      <c r="E1426" t="s">
        <v>10035</v>
      </c>
      <c r="F1426">
        <v>32</v>
      </c>
      <c r="G1426">
        <v>37</v>
      </c>
    </row>
    <row r="1427" spans="1:7" x14ac:dyDescent="0.25">
      <c r="A1427">
        <v>1425</v>
      </c>
      <c r="B1427">
        <v>34</v>
      </c>
      <c r="C1427">
        <v>200</v>
      </c>
      <c r="D1427" t="s">
        <v>10036</v>
      </c>
      <c r="E1427" t="s">
        <v>10036</v>
      </c>
      <c r="F1427">
        <v>32</v>
      </c>
      <c r="G1427">
        <v>37</v>
      </c>
    </row>
    <row r="1428" spans="1:7" x14ac:dyDescent="0.25">
      <c r="A1428">
        <v>1426</v>
      </c>
      <c r="B1428">
        <v>61</v>
      </c>
      <c r="C1428">
        <v>200</v>
      </c>
      <c r="D1428" t="s">
        <v>10037</v>
      </c>
      <c r="E1428" t="s">
        <v>10037</v>
      </c>
      <c r="F1428">
        <v>32</v>
      </c>
      <c r="G1428">
        <v>37</v>
      </c>
    </row>
    <row r="1429" spans="1:7" x14ac:dyDescent="0.25">
      <c r="A1429">
        <v>1427</v>
      </c>
      <c r="B1429">
        <v>54</v>
      </c>
      <c r="C1429">
        <v>200</v>
      </c>
      <c r="D1429" t="s">
        <v>10038</v>
      </c>
      <c r="E1429" t="s">
        <v>10038</v>
      </c>
      <c r="F1429">
        <v>32</v>
      </c>
      <c r="G1429">
        <v>37</v>
      </c>
    </row>
    <row r="1430" spans="1:7" x14ac:dyDescent="0.25">
      <c r="A1430">
        <v>1428</v>
      </c>
      <c r="B1430">
        <v>62</v>
      </c>
      <c r="C1430">
        <v>200</v>
      </c>
      <c r="D1430" t="s">
        <v>10039</v>
      </c>
      <c r="E1430" t="s">
        <v>10039</v>
      </c>
      <c r="F1430">
        <v>32</v>
      </c>
      <c r="G1430">
        <v>37</v>
      </c>
    </row>
    <row r="1431" spans="1:7" x14ac:dyDescent="0.25">
      <c r="A1431">
        <v>1429</v>
      </c>
      <c r="B1431">
        <v>69</v>
      </c>
      <c r="C1431">
        <v>200</v>
      </c>
      <c r="D1431" t="s">
        <v>10040</v>
      </c>
      <c r="E1431" t="s">
        <v>10040</v>
      </c>
      <c r="F1431">
        <v>32</v>
      </c>
      <c r="G1431">
        <v>37</v>
      </c>
    </row>
    <row r="1432" spans="1:7" x14ac:dyDescent="0.25">
      <c r="A1432">
        <v>1430</v>
      </c>
      <c r="B1432">
        <v>9</v>
      </c>
      <c r="C1432">
        <v>200</v>
      </c>
      <c r="D1432" t="s">
        <v>10041</v>
      </c>
      <c r="E1432" t="s">
        <v>10041</v>
      </c>
      <c r="F1432">
        <v>32</v>
      </c>
      <c r="G1432">
        <v>37</v>
      </c>
    </row>
    <row r="1433" spans="1:7" x14ac:dyDescent="0.25">
      <c r="A1433">
        <v>1431</v>
      </c>
      <c r="B1433">
        <v>54</v>
      </c>
      <c r="C1433">
        <v>200</v>
      </c>
      <c r="D1433" t="s">
        <v>10042</v>
      </c>
      <c r="E1433" t="s">
        <v>10042</v>
      </c>
      <c r="F1433">
        <v>32</v>
      </c>
      <c r="G1433">
        <v>37</v>
      </c>
    </row>
    <row r="1434" spans="1:7" x14ac:dyDescent="0.25">
      <c r="A1434">
        <v>1432</v>
      </c>
      <c r="B1434">
        <v>24</v>
      </c>
      <c r="C1434">
        <v>200</v>
      </c>
      <c r="D1434" t="s">
        <v>10043</v>
      </c>
      <c r="E1434" t="s">
        <v>10043</v>
      </c>
      <c r="F1434">
        <v>32</v>
      </c>
      <c r="G1434">
        <v>37</v>
      </c>
    </row>
    <row r="1435" spans="1:7" x14ac:dyDescent="0.25">
      <c r="A1435">
        <v>1433</v>
      </c>
      <c r="B1435">
        <v>52</v>
      </c>
      <c r="C1435">
        <v>200</v>
      </c>
      <c r="D1435" t="s">
        <v>10044</v>
      </c>
      <c r="F1435">
        <v>32</v>
      </c>
      <c r="G1435">
        <v>38</v>
      </c>
    </row>
    <row r="1436" spans="1:7" x14ac:dyDescent="0.25">
      <c r="A1436">
        <v>1434</v>
      </c>
      <c r="B1436">
        <v>69</v>
      </c>
      <c r="C1436">
        <v>200</v>
      </c>
      <c r="D1436" t="s">
        <v>10045</v>
      </c>
      <c r="E1436" t="s">
        <v>10045</v>
      </c>
      <c r="F1436">
        <v>32</v>
      </c>
      <c r="G1436">
        <v>37</v>
      </c>
    </row>
    <row r="1437" spans="1:7" x14ac:dyDescent="0.25">
      <c r="A1437">
        <v>1435</v>
      </c>
      <c r="B1437">
        <v>2</v>
      </c>
      <c r="C1437">
        <v>200</v>
      </c>
      <c r="D1437" t="s">
        <v>10046</v>
      </c>
      <c r="E1437" t="s">
        <v>10046</v>
      </c>
      <c r="F1437">
        <v>32</v>
      </c>
      <c r="G1437">
        <v>37</v>
      </c>
    </row>
    <row r="1438" spans="1:7" x14ac:dyDescent="0.25">
      <c r="A1438">
        <v>1436</v>
      </c>
      <c r="B1438">
        <v>40</v>
      </c>
      <c r="C1438">
        <v>200</v>
      </c>
      <c r="D1438" t="s">
        <v>10047</v>
      </c>
      <c r="E1438" t="s">
        <v>10047</v>
      </c>
      <c r="F1438">
        <v>31</v>
      </c>
      <c r="G1438">
        <v>37</v>
      </c>
    </row>
    <row r="1439" spans="1:7" x14ac:dyDescent="0.25">
      <c r="A1439">
        <v>1437</v>
      </c>
      <c r="B1439">
        <v>25</v>
      </c>
      <c r="C1439">
        <v>200</v>
      </c>
      <c r="D1439" t="s">
        <v>10048</v>
      </c>
      <c r="E1439" t="s">
        <v>10048</v>
      </c>
      <c r="F1439">
        <v>32</v>
      </c>
      <c r="G1439">
        <v>37</v>
      </c>
    </row>
    <row r="1440" spans="1:7" x14ac:dyDescent="0.25">
      <c r="A1440">
        <v>1438</v>
      </c>
      <c r="B1440">
        <v>23</v>
      </c>
      <c r="C1440">
        <v>200</v>
      </c>
      <c r="D1440" t="s">
        <v>10049</v>
      </c>
      <c r="E1440" t="s">
        <v>10049</v>
      </c>
      <c r="F1440">
        <v>32</v>
      </c>
      <c r="G1440">
        <v>37</v>
      </c>
    </row>
    <row r="1441" spans="1:7" x14ac:dyDescent="0.25">
      <c r="A1441">
        <v>1439</v>
      </c>
      <c r="B1441">
        <v>8</v>
      </c>
      <c r="C1441">
        <v>200</v>
      </c>
      <c r="D1441" t="s">
        <v>10050</v>
      </c>
      <c r="E1441" t="s">
        <v>10050</v>
      </c>
      <c r="F1441">
        <v>32</v>
      </c>
      <c r="G1441">
        <v>37</v>
      </c>
    </row>
    <row r="1442" spans="1:7" x14ac:dyDescent="0.25">
      <c r="A1442">
        <v>1440</v>
      </c>
      <c r="B1442">
        <v>74</v>
      </c>
      <c r="C1442">
        <v>200</v>
      </c>
      <c r="D1442" t="s">
        <v>10051</v>
      </c>
      <c r="E1442" t="s">
        <v>10051</v>
      </c>
      <c r="F1442">
        <v>32</v>
      </c>
      <c r="G1442">
        <v>37</v>
      </c>
    </row>
    <row r="1443" spans="1:7" x14ac:dyDescent="0.25">
      <c r="A1443">
        <v>1441</v>
      </c>
      <c r="B1443">
        <v>8</v>
      </c>
      <c r="C1443">
        <v>200</v>
      </c>
      <c r="D1443" t="s">
        <v>10052</v>
      </c>
      <c r="E1443" t="s">
        <v>10052</v>
      </c>
      <c r="F1443">
        <v>32</v>
      </c>
      <c r="G1443">
        <v>37</v>
      </c>
    </row>
    <row r="1444" spans="1:7" x14ac:dyDescent="0.25">
      <c r="A1444">
        <v>1442</v>
      </c>
      <c r="B1444">
        <v>11</v>
      </c>
      <c r="C1444">
        <v>200</v>
      </c>
      <c r="D1444" t="s">
        <v>10053</v>
      </c>
      <c r="E1444" t="s">
        <v>10053</v>
      </c>
      <c r="F1444">
        <v>32</v>
      </c>
      <c r="G1444">
        <v>37</v>
      </c>
    </row>
    <row r="1445" spans="1:7" x14ac:dyDescent="0.25">
      <c r="A1445">
        <v>1443</v>
      </c>
      <c r="B1445">
        <v>8</v>
      </c>
      <c r="C1445">
        <v>200</v>
      </c>
      <c r="D1445" t="s">
        <v>10054</v>
      </c>
      <c r="E1445" t="s">
        <v>10054</v>
      </c>
      <c r="F1445">
        <v>32</v>
      </c>
      <c r="G1445">
        <v>37</v>
      </c>
    </row>
    <row r="1446" spans="1:7" x14ac:dyDescent="0.25">
      <c r="A1446">
        <v>1444</v>
      </c>
      <c r="B1446">
        <v>40</v>
      </c>
      <c r="C1446">
        <v>200</v>
      </c>
      <c r="D1446" t="s">
        <v>10055</v>
      </c>
      <c r="E1446" t="s">
        <v>10055</v>
      </c>
      <c r="F1446">
        <v>31</v>
      </c>
      <c r="G1446">
        <v>37</v>
      </c>
    </row>
    <row r="1447" spans="1:7" x14ac:dyDescent="0.25">
      <c r="A1447">
        <v>1445</v>
      </c>
      <c r="B1447">
        <v>70</v>
      </c>
      <c r="C1447">
        <v>200</v>
      </c>
      <c r="D1447" t="s">
        <v>10056</v>
      </c>
      <c r="E1447" t="s">
        <v>10056</v>
      </c>
      <c r="F1447">
        <v>32</v>
      </c>
      <c r="G1447">
        <v>37</v>
      </c>
    </row>
    <row r="1448" spans="1:7" x14ac:dyDescent="0.25">
      <c r="A1448">
        <v>1446</v>
      </c>
      <c r="B1448">
        <v>84</v>
      </c>
      <c r="C1448">
        <v>200</v>
      </c>
      <c r="D1448" t="s">
        <v>10057</v>
      </c>
      <c r="E1448" t="s">
        <v>10057</v>
      </c>
      <c r="F1448">
        <v>32</v>
      </c>
      <c r="G1448">
        <v>37</v>
      </c>
    </row>
    <row r="1449" spans="1:7" x14ac:dyDescent="0.25">
      <c r="A1449">
        <v>1447</v>
      </c>
      <c r="B1449">
        <v>83</v>
      </c>
      <c r="C1449">
        <v>200</v>
      </c>
      <c r="D1449" t="s">
        <v>10058</v>
      </c>
      <c r="E1449" t="s">
        <v>10058</v>
      </c>
      <c r="F1449">
        <v>32</v>
      </c>
      <c r="G1449">
        <v>37</v>
      </c>
    </row>
    <row r="1450" spans="1:7" x14ac:dyDescent="0.25">
      <c r="A1450">
        <v>1448</v>
      </c>
      <c r="B1450">
        <v>24</v>
      </c>
      <c r="C1450">
        <v>200</v>
      </c>
      <c r="D1450" t="s">
        <v>10059</v>
      </c>
      <c r="E1450" t="s">
        <v>10059</v>
      </c>
      <c r="F1450">
        <v>32</v>
      </c>
      <c r="G1450">
        <v>37</v>
      </c>
    </row>
    <row r="1451" spans="1:7" x14ac:dyDescent="0.25">
      <c r="A1451">
        <v>1449</v>
      </c>
      <c r="B1451">
        <v>2</v>
      </c>
      <c r="C1451">
        <v>200</v>
      </c>
      <c r="D1451" t="s">
        <v>10060</v>
      </c>
      <c r="E1451" t="s">
        <v>10060</v>
      </c>
      <c r="F1451">
        <v>32</v>
      </c>
      <c r="G1451">
        <v>37</v>
      </c>
    </row>
    <row r="1452" spans="1:7" x14ac:dyDescent="0.25">
      <c r="A1452">
        <v>1450</v>
      </c>
      <c r="B1452">
        <v>58</v>
      </c>
      <c r="C1452">
        <v>200</v>
      </c>
      <c r="D1452" t="s">
        <v>10061</v>
      </c>
      <c r="E1452" t="s">
        <v>10062</v>
      </c>
      <c r="F1452">
        <v>32</v>
      </c>
      <c r="G1452">
        <v>37</v>
      </c>
    </row>
    <row r="1453" spans="1:7" x14ac:dyDescent="0.25">
      <c r="A1453">
        <v>1451</v>
      </c>
      <c r="B1453">
        <v>40</v>
      </c>
      <c r="C1453">
        <v>200</v>
      </c>
      <c r="D1453" t="s">
        <v>10063</v>
      </c>
      <c r="E1453" t="s">
        <v>10063</v>
      </c>
      <c r="F1453">
        <v>31</v>
      </c>
      <c r="G1453">
        <v>37</v>
      </c>
    </row>
    <row r="1454" spans="1:7" x14ac:dyDescent="0.25">
      <c r="A1454">
        <v>1452</v>
      </c>
      <c r="B1454">
        <v>40</v>
      </c>
      <c r="C1454">
        <v>200</v>
      </c>
      <c r="D1454" t="s">
        <v>10064</v>
      </c>
      <c r="E1454" t="s">
        <v>10064</v>
      </c>
      <c r="F1454">
        <v>31</v>
      </c>
      <c r="G1454">
        <v>38</v>
      </c>
    </row>
    <row r="1455" spans="1:7" x14ac:dyDescent="0.25">
      <c r="A1455">
        <v>1453</v>
      </c>
      <c r="B1455">
        <v>12</v>
      </c>
      <c r="C1455">
        <v>200</v>
      </c>
      <c r="D1455" t="s">
        <v>10065</v>
      </c>
      <c r="F1455">
        <v>32</v>
      </c>
      <c r="G1455">
        <v>37</v>
      </c>
    </row>
    <row r="1456" spans="1:7" x14ac:dyDescent="0.25">
      <c r="A1456">
        <v>1454</v>
      </c>
      <c r="B1456">
        <v>40</v>
      </c>
      <c r="C1456">
        <v>200</v>
      </c>
      <c r="D1456" t="s">
        <v>10066</v>
      </c>
      <c r="E1456" t="s">
        <v>10066</v>
      </c>
      <c r="F1456">
        <v>31</v>
      </c>
      <c r="G1456">
        <v>38</v>
      </c>
    </row>
    <row r="1457" spans="1:7" x14ac:dyDescent="0.25">
      <c r="A1457">
        <v>1455</v>
      </c>
      <c r="B1457">
        <v>40</v>
      </c>
      <c r="C1457">
        <v>200</v>
      </c>
      <c r="D1457" t="s">
        <v>10067</v>
      </c>
      <c r="E1457" t="s">
        <v>10067</v>
      </c>
      <c r="F1457">
        <v>31</v>
      </c>
      <c r="G1457">
        <v>37</v>
      </c>
    </row>
    <row r="1458" spans="1:7" x14ac:dyDescent="0.25">
      <c r="A1458">
        <v>1456</v>
      </c>
      <c r="B1458">
        <v>40</v>
      </c>
      <c r="C1458">
        <v>200</v>
      </c>
      <c r="D1458" t="s">
        <v>10068</v>
      </c>
      <c r="E1458" t="s">
        <v>10069</v>
      </c>
      <c r="F1458">
        <v>31</v>
      </c>
      <c r="G1458">
        <v>38</v>
      </c>
    </row>
    <row r="1459" spans="1:7" x14ac:dyDescent="0.25">
      <c r="A1459">
        <v>1457</v>
      </c>
      <c r="B1459">
        <v>40</v>
      </c>
      <c r="C1459">
        <v>200</v>
      </c>
      <c r="D1459" t="s">
        <v>10070</v>
      </c>
      <c r="E1459" t="s">
        <v>10070</v>
      </c>
      <c r="F1459">
        <v>31</v>
      </c>
      <c r="G1459">
        <v>38</v>
      </c>
    </row>
    <row r="1460" spans="1:7" x14ac:dyDescent="0.25">
      <c r="A1460">
        <v>1458</v>
      </c>
      <c r="B1460">
        <v>11</v>
      </c>
      <c r="C1460">
        <v>200</v>
      </c>
      <c r="D1460" t="s">
        <v>10071</v>
      </c>
      <c r="E1460" t="s">
        <v>10071</v>
      </c>
      <c r="F1460">
        <v>32</v>
      </c>
      <c r="G1460">
        <v>37</v>
      </c>
    </row>
    <row r="1461" spans="1:7" x14ac:dyDescent="0.25">
      <c r="A1461">
        <v>1459</v>
      </c>
      <c r="B1461">
        <v>45</v>
      </c>
      <c r="C1461">
        <v>200</v>
      </c>
      <c r="D1461" t="s">
        <v>10072</v>
      </c>
      <c r="E1461" t="s">
        <v>10072</v>
      </c>
      <c r="F1461">
        <v>32</v>
      </c>
      <c r="G1461">
        <v>38</v>
      </c>
    </row>
    <row r="1462" spans="1:7" x14ac:dyDescent="0.25">
      <c r="A1462">
        <v>1460</v>
      </c>
      <c r="B1462">
        <v>40</v>
      </c>
      <c r="C1462">
        <v>200</v>
      </c>
      <c r="D1462" t="s">
        <v>10073</v>
      </c>
      <c r="E1462" t="s">
        <v>10073</v>
      </c>
      <c r="F1462">
        <v>31</v>
      </c>
      <c r="G1462">
        <v>37</v>
      </c>
    </row>
    <row r="1463" spans="1:7" x14ac:dyDescent="0.25">
      <c r="A1463">
        <v>1461</v>
      </c>
      <c r="B1463">
        <v>54</v>
      </c>
      <c r="C1463">
        <v>200</v>
      </c>
      <c r="D1463" t="s">
        <v>10074</v>
      </c>
      <c r="E1463" t="s">
        <v>10074</v>
      </c>
      <c r="F1463">
        <v>32</v>
      </c>
      <c r="G1463">
        <v>37</v>
      </c>
    </row>
    <row r="1464" spans="1:7" x14ac:dyDescent="0.25">
      <c r="A1464">
        <v>1462</v>
      </c>
      <c r="B1464">
        <v>2</v>
      </c>
      <c r="C1464">
        <v>200</v>
      </c>
      <c r="D1464" t="s">
        <v>10075</v>
      </c>
      <c r="E1464" t="s">
        <v>10075</v>
      </c>
      <c r="F1464">
        <v>32</v>
      </c>
      <c r="G1464">
        <v>37</v>
      </c>
    </row>
    <row r="1465" spans="1:7" x14ac:dyDescent="0.25">
      <c r="A1465">
        <v>1463</v>
      </c>
      <c r="B1465">
        <v>19</v>
      </c>
      <c r="C1465">
        <v>300</v>
      </c>
      <c r="D1465" t="s">
        <v>10076</v>
      </c>
      <c r="E1465" t="s">
        <v>10076</v>
      </c>
      <c r="F1465">
        <v>32</v>
      </c>
      <c r="G1465">
        <v>38</v>
      </c>
    </row>
    <row r="1466" spans="1:7" x14ac:dyDescent="0.25">
      <c r="A1466">
        <v>1464</v>
      </c>
      <c r="B1466">
        <v>40</v>
      </c>
      <c r="C1466">
        <v>300</v>
      </c>
      <c r="D1466" t="s">
        <v>10077</v>
      </c>
      <c r="E1466" t="s">
        <v>10077</v>
      </c>
      <c r="F1466">
        <v>31</v>
      </c>
      <c r="G1466">
        <v>37</v>
      </c>
    </row>
    <row r="1467" spans="1:7" x14ac:dyDescent="0.25">
      <c r="A1467">
        <v>1465</v>
      </c>
      <c r="B1467">
        <v>40</v>
      </c>
      <c r="C1467">
        <v>300</v>
      </c>
      <c r="D1467" t="s">
        <v>10078</v>
      </c>
      <c r="E1467" t="s">
        <v>10079</v>
      </c>
      <c r="F1467">
        <v>31</v>
      </c>
      <c r="G1467">
        <v>37</v>
      </c>
    </row>
    <row r="1468" spans="1:7" x14ac:dyDescent="0.25">
      <c r="A1468">
        <v>1466</v>
      </c>
      <c r="B1468">
        <v>40</v>
      </c>
      <c r="C1468">
        <v>300</v>
      </c>
      <c r="D1468" t="s">
        <v>7343</v>
      </c>
      <c r="E1468" t="s">
        <v>7343</v>
      </c>
      <c r="F1468">
        <v>31</v>
      </c>
      <c r="G1468">
        <v>37</v>
      </c>
    </row>
    <row r="1469" spans="1:7" x14ac:dyDescent="0.25">
      <c r="A1469">
        <v>1467</v>
      </c>
      <c r="B1469">
        <v>84</v>
      </c>
      <c r="C1469">
        <v>300</v>
      </c>
      <c r="D1469" t="s">
        <v>10080</v>
      </c>
      <c r="E1469" t="s">
        <v>10080</v>
      </c>
      <c r="F1469">
        <v>32</v>
      </c>
      <c r="G1469">
        <v>37</v>
      </c>
    </row>
    <row r="1470" spans="1:7" x14ac:dyDescent="0.25">
      <c r="A1470">
        <v>1468</v>
      </c>
      <c r="B1470">
        <v>14</v>
      </c>
      <c r="C1470">
        <v>300</v>
      </c>
      <c r="D1470" t="s">
        <v>10081</v>
      </c>
      <c r="E1470" t="s">
        <v>10081</v>
      </c>
      <c r="F1470">
        <v>32</v>
      </c>
      <c r="G1470">
        <v>37</v>
      </c>
    </row>
    <row r="1471" spans="1:7" x14ac:dyDescent="0.25">
      <c r="A1471">
        <v>1469</v>
      </c>
      <c r="B1471">
        <v>55</v>
      </c>
      <c r="C1471">
        <v>300</v>
      </c>
      <c r="D1471" t="s">
        <v>10082</v>
      </c>
      <c r="E1471" t="s">
        <v>10082</v>
      </c>
      <c r="F1471">
        <v>32</v>
      </c>
      <c r="G1471">
        <v>38</v>
      </c>
    </row>
    <row r="1472" spans="1:7" x14ac:dyDescent="0.25">
      <c r="A1472">
        <v>1470</v>
      </c>
      <c r="B1472">
        <v>54</v>
      </c>
      <c r="C1472">
        <v>300</v>
      </c>
      <c r="D1472" t="s">
        <v>10083</v>
      </c>
      <c r="E1472" t="s">
        <v>10083</v>
      </c>
      <c r="F1472">
        <v>32</v>
      </c>
      <c r="G1472">
        <v>37</v>
      </c>
    </row>
    <row r="1473" spans="1:7" x14ac:dyDescent="0.25">
      <c r="A1473">
        <v>1471</v>
      </c>
      <c r="B1473">
        <v>58</v>
      </c>
      <c r="C1473">
        <v>200</v>
      </c>
      <c r="D1473" t="s">
        <v>10084</v>
      </c>
      <c r="E1473" t="s">
        <v>10084</v>
      </c>
      <c r="F1473">
        <v>32</v>
      </c>
      <c r="G1473">
        <v>37</v>
      </c>
    </row>
    <row r="1474" spans="1:7" x14ac:dyDescent="0.25">
      <c r="A1474">
        <v>1472</v>
      </c>
      <c r="B1474">
        <v>14</v>
      </c>
      <c r="C1474">
        <v>300</v>
      </c>
      <c r="D1474" t="s">
        <v>10085</v>
      </c>
      <c r="E1474" t="s">
        <v>10085</v>
      </c>
      <c r="F1474">
        <v>32</v>
      </c>
      <c r="G1474">
        <v>37</v>
      </c>
    </row>
    <row r="1475" spans="1:7" x14ac:dyDescent="0.25">
      <c r="A1475">
        <v>1473</v>
      </c>
      <c r="B1475">
        <v>2</v>
      </c>
      <c r="C1475">
        <v>200</v>
      </c>
      <c r="D1475" t="s">
        <v>10086</v>
      </c>
      <c r="E1475" t="s">
        <v>10086</v>
      </c>
      <c r="F1475">
        <v>32</v>
      </c>
      <c r="G1475">
        <v>37</v>
      </c>
    </row>
    <row r="1476" spans="1:7" x14ac:dyDescent="0.25">
      <c r="A1476">
        <v>1474</v>
      </c>
      <c r="B1476">
        <v>54</v>
      </c>
      <c r="C1476">
        <v>200</v>
      </c>
      <c r="D1476" t="s">
        <v>10087</v>
      </c>
      <c r="E1476" t="s">
        <v>10087</v>
      </c>
      <c r="F1476">
        <v>32</v>
      </c>
      <c r="G1476">
        <v>38</v>
      </c>
    </row>
    <row r="1477" spans="1:7" x14ac:dyDescent="0.25">
      <c r="A1477">
        <v>1475</v>
      </c>
      <c r="B1477">
        <v>66</v>
      </c>
      <c r="C1477">
        <v>200</v>
      </c>
      <c r="D1477" t="s">
        <v>10088</v>
      </c>
      <c r="E1477" t="s">
        <v>10088</v>
      </c>
      <c r="F1477">
        <v>32</v>
      </c>
      <c r="G1477">
        <v>37</v>
      </c>
    </row>
    <row r="1478" spans="1:7" x14ac:dyDescent="0.25">
      <c r="A1478">
        <v>1476</v>
      </c>
      <c r="B1478">
        <v>54</v>
      </c>
      <c r="C1478">
        <v>200</v>
      </c>
      <c r="D1478" t="s">
        <v>10089</v>
      </c>
      <c r="E1478" t="s">
        <v>10089</v>
      </c>
      <c r="F1478">
        <v>32</v>
      </c>
      <c r="G1478">
        <v>37</v>
      </c>
    </row>
    <row r="1479" spans="1:7" x14ac:dyDescent="0.25">
      <c r="A1479">
        <v>1477</v>
      </c>
      <c r="B1479">
        <v>54</v>
      </c>
      <c r="C1479">
        <v>200</v>
      </c>
      <c r="D1479" t="s">
        <v>10090</v>
      </c>
      <c r="E1479" t="s">
        <v>10090</v>
      </c>
      <c r="F1479">
        <v>32</v>
      </c>
      <c r="G1479">
        <v>37</v>
      </c>
    </row>
    <row r="1480" spans="1:7" x14ac:dyDescent="0.25">
      <c r="A1480">
        <v>1478</v>
      </c>
      <c r="B1480">
        <v>54</v>
      </c>
      <c r="C1480">
        <v>200</v>
      </c>
      <c r="D1480" t="s">
        <v>10091</v>
      </c>
      <c r="E1480" t="s">
        <v>10091</v>
      </c>
      <c r="F1480">
        <v>32</v>
      </c>
      <c r="G1480">
        <v>37</v>
      </c>
    </row>
    <row r="1481" spans="1:7" x14ac:dyDescent="0.25">
      <c r="A1481">
        <v>1479</v>
      </c>
      <c r="B1481">
        <v>84</v>
      </c>
      <c r="C1481">
        <v>200</v>
      </c>
      <c r="D1481" t="s">
        <v>10092</v>
      </c>
      <c r="E1481" t="s">
        <v>10092</v>
      </c>
      <c r="F1481">
        <v>32</v>
      </c>
      <c r="G1481">
        <v>38</v>
      </c>
    </row>
    <row r="1482" spans="1:7" x14ac:dyDescent="0.25">
      <c r="A1482">
        <v>1480</v>
      </c>
      <c r="B1482">
        <v>25</v>
      </c>
      <c r="C1482">
        <v>200</v>
      </c>
      <c r="D1482" t="s">
        <v>10093</v>
      </c>
      <c r="E1482" t="s">
        <v>10093</v>
      </c>
      <c r="F1482">
        <v>32</v>
      </c>
      <c r="G1482">
        <v>37</v>
      </c>
    </row>
    <row r="1483" spans="1:7" x14ac:dyDescent="0.25">
      <c r="A1483">
        <v>1481</v>
      </c>
      <c r="B1483">
        <v>2</v>
      </c>
      <c r="C1483">
        <v>200</v>
      </c>
      <c r="D1483" t="s">
        <v>10094</v>
      </c>
      <c r="F1483">
        <v>32</v>
      </c>
      <c r="G1483">
        <v>37</v>
      </c>
    </row>
    <row r="1484" spans="1:7" x14ac:dyDescent="0.25">
      <c r="A1484">
        <v>1482</v>
      </c>
      <c r="B1484">
        <v>54</v>
      </c>
      <c r="C1484">
        <v>200</v>
      </c>
      <c r="D1484" t="s">
        <v>10095</v>
      </c>
      <c r="E1484" t="s">
        <v>10095</v>
      </c>
      <c r="F1484">
        <v>32</v>
      </c>
      <c r="G1484">
        <v>38</v>
      </c>
    </row>
    <row r="1485" spans="1:7" x14ac:dyDescent="0.25">
      <c r="A1485">
        <v>1483</v>
      </c>
      <c r="B1485">
        <v>74</v>
      </c>
      <c r="C1485">
        <v>200</v>
      </c>
      <c r="D1485" t="s">
        <v>10096</v>
      </c>
      <c r="F1485">
        <v>32</v>
      </c>
      <c r="G1485">
        <v>37</v>
      </c>
    </row>
    <row r="1486" spans="1:7" x14ac:dyDescent="0.25">
      <c r="A1486">
        <v>1484</v>
      </c>
      <c r="B1486">
        <v>2</v>
      </c>
      <c r="C1486">
        <v>200</v>
      </c>
      <c r="D1486" t="s">
        <v>1173</v>
      </c>
      <c r="E1486" t="s">
        <v>1173</v>
      </c>
      <c r="F1486">
        <v>32</v>
      </c>
      <c r="G1486">
        <v>37</v>
      </c>
    </row>
    <row r="1487" spans="1:7" x14ac:dyDescent="0.25">
      <c r="A1487">
        <v>1485</v>
      </c>
      <c r="B1487">
        <v>25</v>
      </c>
      <c r="C1487">
        <v>200</v>
      </c>
      <c r="D1487" t="s">
        <v>10097</v>
      </c>
      <c r="E1487" t="s">
        <v>10097</v>
      </c>
      <c r="F1487">
        <v>32</v>
      </c>
      <c r="G1487">
        <v>37</v>
      </c>
    </row>
    <row r="1488" spans="1:7" x14ac:dyDescent="0.25">
      <c r="A1488">
        <v>1486</v>
      </c>
      <c r="B1488">
        <v>54</v>
      </c>
      <c r="C1488">
        <v>200</v>
      </c>
      <c r="D1488" t="s">
        <v>10098</v>
      </c>
      <c r="E1488" t="s">
        <v>10098</v>
      </c>
      <c r="F1488">
        <v>32</v>
      </c>
      <c r="G1488">
        <v>37</v>
      </c>
    </row>
    <row r="1489" spans="1:7" x14ac:dyDescent="0.25">
      <c r="A1489">
        <v>1487</v>
      </c>
      <c r="B1489">
        <v>27</v>
      </c>
      <c r="C1489">
        <v>200</v>
      </c>
      <c r="D1489" t="s">
        <v>10099</v>
      </c>
      <c r="E1489" t="s">
        <v>10099</v>
      </c>
      <c r="F1489">
        <v>31</v>
      </c>
      <c r="G1489">
        <v>37</v>
      </c>
    </row>
    <row r="1490" spans="1:7" x14ac:dyDescent="0.25">
      <c r="A1490">
        <v>1488</v>
      </c>
      <c r="B1490">
        <v>14</v>
      </c>
      <c r="C1490">
        <v>200</v>
      </c>
      <c r="D1490" t="s">
        <v>10100</v>
      </c>
      <c r="F1490">
        <v>32</v>
      </c>
      <c r="G1490">
        <v>37</v>
      </c>
    </row>
    <row r="1491" spans="1:7" x14ac:dyDescent="0.25">
      <c r="A1491">
        <v>1489</v>
      </c>
      <c r="B1491">
        <v>2</v>
      </c>
      <c r="C1491">
        <v>200</v>
      </c>
      <c r="D1491" t="s">
        <v>10101</v>
      </c>
      <c r="E1491" t="s">
        <v>10101</v>
      </c>
      <c r="F1491">
        <v>32</v>
      </c>
      <c r="G1491">
        <v>37</v>
      </c>
    </row>
    <row r="1492" spans="1:7" x14ac:dyDescent="0.25">
      <c r="A1492">
        <v>1490</v>
      </c>
      <c r="B1492">
        <v>10</v>
      </c>
      <c r="C1492">
        <v>200</v>
      </c>
      <c r="D1492" t="s">
        <v>10102</v>
      </c>
      <c r="E1492" t="s">
        <v>10102</v>
      </c>
      <c r="F1492">
        <v>32</v>
      </c>
      <c r="G1492">
        <v>37</v>
      </c>
    </row>
    <row r="1493" spans="1:7" x14ac:dyDescent="0.25">
      <c r="A1493">
        <v>1491</v>
      </c>
      <c r="B1493">
        <v>10</v>
      </c>
      <c r="C1493">
        <v>200</v>
      </c>
      <c r="D1493" t="s">
        <v>10103</v>
      </c>
      <c r="E1493" t="s">
        <v>10103</v>
      </c>
      <c r="F1493">
        <v>32</v>
      </c>
      <c r="G1493">
        <v>37</v>
      </c>
    </row>
    <row r="1494" spans="1:7" x14ac:dyDescent="0.25">
      <c r="A1494">
        <v>1492</v>
      </c>
      <c r="B1494">
        <v>19</v>
      </c>
      <c r="C1494">
        <v>200</v>
      </c>
      <c r="D1494" t="s">
        <v>10104</v>
      </c>
      <c r="E1494" t="s">
        <v>10105</v>
      </c>
      <c r="F1494">
        <v>32</v>
      </c>
      <c r="G1494">
        <v>37</v>
      </c>
    </row>
    <row r="1495" spans="1:7" x14ac:dyDescent="0.25">
      <c r="A1495">
        <v>1493</v>
      </c>
      <c r="B1495">
        <v>54</v>
      </c>
      <c r="C1495">
        <v>200</v>
      </c>
      <c r="D1495" t="s">
        <v>9490</v>
      </c>
      <c r="E1495" t="s">
        <v>9490</v>
      </c>
      <c r="F1495">
        <v>32</v>
      </c>
      <c r="G1495">
        <v>37</v>
      </c>
    </row>
    <row r="1496" spans="1:7" x14ac:dyDescent="0.25">
      <c r="A1496">
        <v>1494</v>
      </c>
      <c r="B1496">
        <v>23</v>
      </c>
      <c r="C1496">
        <v>200</v>
      </c>
      <c r="D1496" t="s">
        <v>10106</v>
      </c>
      <c r="E1496" t="s">
        <v>10106</v>
      </c>
      <c r="F1496">
        <v>32</v>
      </c>
      <c r="G1496">
        <v>37</v>
      </c>
    </row>
    <row r="1497" spans="1:7" x14ac:dyDescent="0.25">
      <c r="A1497">
        <v>1495</v>
      </c>
      <c r="B1497">
        <v>14</v>
      </c>
      <c r="C1497">
        <v>300</v>
      </c>
      <c r="D1497" t="s">
        <v>10107</v>
      </c>
      <c r="E1497" t="s">
        <v>10107</v>
      </c>
      <c r="F1497">
        <v>32</v>
      </c>
      <c r="G1497">
        <v>37</v>
      </c>
    </row>
    <row r="1498" spans="1:7" x14ac:dyDescent="0.25">
      <c r="A1498">
        <v>1496</v>
      </c>
      <c r="B1498">
        <v>14</v>
      </c>
      <c r="C1498">
        <v>300</v>
      </c>
      <c r="D1498" t="s">
        <v>10108</v>
      </c>
      <c r="F1498">
        <v>32</v>
      </c>
      <c r="G1498">
        <v>37</v>
      </c>
    </row>
    <row r="1499" spans="1:7" x14ac:dyDescent="0.25">
      <c r="A1499">
        <v>1497</v>
      </c>
      <c r="B1499">
        <v>84</v>
      </c>
      <c r="C1499">
        <v>300</v>
      </c>
      <c r="D1499" t="s">
        <v>10109</v>
      </c>
      <c r="E1499" t="s">
        <v>10109</v>
      </c>
      <c r="F1499">
        <v>32</v>
      </c>
      <c r="G1499">
        <v>37</v>
      </c>
    </row>
    <row r="1500" spans="1:7" x14ac:dyDescent="0.25">
      <c r="A1500">
        <v>1498</v>
      </c>
      <c r="B1500">
        <v>54</v>
      </c>
      <c r="C1500">
        <v>300</v>
      </c>
      <c r="D1500" t="s">
        <v>10110</v>
      </c>
      <c r="E1500" t="s">
        <v>10110</v>
      </c>
      <c r="F1500">
        <v>32</v>
      </c>
      <c r="G1500">
        <v>37</v>
      </c>
    </row>
    <row r="1501" spans="1:7" x14ac:dyDescent="0.25">
      <c r="A1501">
        <v>1499</v>
      </c>
      <c r="B1501">
        <v>23</v>
      </c>
      <c r="C1501">
        <v>200</v>
      </c>
      <c r="D1501" t="s">
        <v>10111</v>
      </c>
      <c r="E1501" t="s">
        <v>10111</v>
      </c>
      <c r="F1501">
        <v>32</v>
      </c>
      <c r="G1501">
        <v>37</v>
      </c>
    </row>
    <row r="1502" spans="1:7" x14ac:dyDescent="0.25">
      <c r="A1502">
        <v>1500</v>
      </c>
      <c r="B1502">
        <v>54</v>
      </c>
      <c r="C1502">
        <v>200</v>
      </c>
      <c r="D1502" t="s">
        <v>10112</v>
      </c>
      <c r="E1502" t="s">
        <v>10112</v>
      </c>
      <c r="F1502">
        <v>32</v>
      </c>
      <c r="G1502">
        <v>37</v>
      </c>
    </row>
    <row r="1503" spans="1:7" x14ac:dyDescent="0.25">
      <c r="A1503">
        <v>1501</v>
      </c>
      <c r="B1503">
        <v>19</v>
      </c>
      <c r="C1503">
        <v>200</v>
      </c>
      <c r="D1503" t="s">
        <v>10113</v>
      </c>
      <c r="E1503" t="s">
        <v>10113</v>
      </c>
      <c r="F1503">
        <v>32</v>
      </c>
      <c r="G1503">
        <v>37</v>
      </c>
    </row>
    <row r="1504" spans="1:7" x14ac:dyDescent="0.25">
      <c r="A1504">
        <v>1502</v>
      </c>
      <c r="B1504">
        <v>30</v>
      </c>
      <c r="C1504">
        <v>200</v>
      </c>
      <c r="D1504" t="s">
        <v>10114</v>
      </c>
      <c r="F1504">
        <v>32</v>
      </c>
      <c r="G1504">
        <v>37</v>
      </c>
    </row>
    <row r="1505" spans="1:7" x14ac:dyDescent="0.25">
      <c r="A1505">
        <v>1503</v>
      </c>
      <c r="B1505">
        <v>24</v>
      </c>
      <c r="C1505">
        <v>200</v>
      </c>
      <c r="D1505" t="s">
        <v>10115</v>
      </c>
      <c r="E1505" t="s">
        <v>10115</v>
      </c>
      <c r="F1505">
        <v>32</v>
      </c>
      <c r="G1505">
        <v>37</v>
      </c>
    </row>
    <row r="1506" spans="1:7" x14ac:dyDescent="0.25">
      <c r="A1506">
        <v>1504</v>
      </c>
      <c r="B1506">
        <v>23</v>
      </c>
      <c r="C1506">
        <v>200</v>
      </c>
      <c r="D1506" t="s">
        <v>10116</v>
      </c>
      <c r="E1506" t="s">
        <v>10116</v>
      </c>
      <c r="F1506">
        <v>32</v>
      </c>
      <c r="G1506">
        <v>37</v>
      </c>
    </row>
    <row r="1507" spans="1:7" x14ac:dyDescent="0.25">
      <c r="A1507">
        <v>1505</v>
      </c>
      <c r="B1507">
        <v>24</v>
      </c>
      <c r="C1507">
        <v>200</v>
      </c>
      <c r="D1507" t="s">
        <v>10117</v>
      </c>
      <c r="E1507" t="s">
        <v>10117</v>
      </c>
      <c r="F1507">
        <v>32</v>
      </c>
      <c r="G1507">
        <v>37</v>
      </c>
    </row>
    <row r="1508" spans="1:7" x14ac:dyDescent="0.25">
      <c r="A1508">
        <v>1506</v>
      </c>
      <c r="B1508">
        <v>45</v>
      </c>
      <c r="C1508">
        <v>200</v>
      </c>
      <c r="D1508" t="s">
        <v>10118</v>
      </c>
      <c r="E1508" t="s">
        <v>10118</v>
      </c>
      <c r="F1508">
        <v>32</v>
      </c>
      <c r="G1508">
        <v>37</v>
      </c>
    </row>
    <row r="1509" spans="1:7" x14ac:dyDescent="0.25">
      <c r="A1509">
        <v>1507</v>
      </c>
      <c r="B1509">
        <v>8</v>
      </c>
      <c r="C1509">
        <v>300</v>
      </c>
      <c r="D1509" t="s">
        <v>10119</v>
      </c>
      <c r="E1509" t="s">
        <v>10119</v>
      </c>
      <c r="F1509">
        <v>32</v>
      </c>
      <c r="G1509">
        <v>38</v>
      </c>
    </row>
    <row r="1510" spans="1:7" x14ac:dyDescent="0.25">
      <c r="A1510">
        <v>1508</v>
      </c>
      <c r="B1510">
        <v>10</v>
      </c>
      <c r="C1510">
        <v>200</v>
      </c>
      <c r="D1510" t="s">
        <v>10120</v>
      </c>
      <c r="E1510" t="s">
        <v>10120</v>
      </c>
      <c r="F1510">
        <v>32</v>
      </c>
      <c r="G1510">
        <v>38</v>
      </c>
    </row>
    <row r="1511" spans="1:7" x14ac:dyDescent="0.25">
      <c r="A1511">
        <v>1509</v>
      </c>
      <c r="B1511">
        <v>23</v>
      </c>
      <c r="C1511">
        <v>200</v>
      </c>
      <c r="D1511" t="s">
        <v>10121</v>
      </c>
      <c r="E1511" t="s">
        <v>10121</v>
      </c>
      <c r="F1511">
        <v>32</v>
      </c>
      <c r="G1511">
        <v>37</v>
      </c>
    </row>
    <row r="1512" spans="1:7" x14ac:dyDescent="0.25">
      <c r="A1512">
        <v>1510</v>
      </c>
      <c r="B1512">
        <v>8</v>
      </c>
      <c r="C1512">
        <v>200</v>
      </c>
      <c r="D1512" t="s">
        <v>10122</v>
      </c>
      <c r="E1512" t="s">
        <v>10122</v>
      </c>
      <c r="F1512">
        <v>32</v>
      </c>
      <c r="G1512">
        <v>37</v>
      </c>
    </row>
    <row r="1513" spans="1:7" x14ac:dyDescent="0.25">
      <c r="A1513">
        <v>1511</v>
      </c>
      <c r="B1513">
        <v>69</v>
      </c>
      <c r="C1513">
        <v>200</v>
      </c>
      <c r="D1513" t="s">
        <v>10123</v>
      </c>
      <c r="E1513" t="s">
        <v>10123</v>
      </c>
      <c r="F1513">
        <v>32</v>
      </c>
      <c r="G1513">
        <v>37</v>
      </c>
    </row>
    <row r="1514" spans="1:7" x14ac:dyDescent="0.25">
      <c r="A1514">
        <v>1512</v>
      </c>
      <c r="B1514">
        <v>19</v>
      </c>
      <c r="C1514">
        <v>200</v>
      </c>
      <c r="D1514" t="s">
        <v>10124</v>
      </c>
      <c r="F1514">
        <v>32</v>
      </c>
      <c r="G1514">
        <v>37</v>
      </c>
    </row>
    <row r="1515" spans="1:7" x14ac:dyDescent="0.25">
      <c r="A1515">
        <v>1513</v>
      </c>
      <c r="B1515">
        <v>54</v>
      </c>
      <c r="C1515">
        <v>200</v>
      </c>
      <c r="D1515" t="s">
        <v>10125</v>
      </c>
      <c r="E1515" t="s">
        <v>10125</v>
      </c>
      <c r="F1515">
        <v>32</v>
      </c>
      <c r="G1515">
        <v>37</v>
      </c>
    </row>
    <row r="1516" spans="1:7" x14ac:dyDescent="0.25">
      <c r="A1516">
        <v>1514</v>
      </c>
      <c r="B1516">
        <v>54</v>
      </c>
      <c r="C1516">
        <v>200</v>
      </c>
      <c r="D1516" t="s">
        <v>10126</v>
      </c>
      <c r="E1516" t="s">
        <v>10126</v>
      </c>
      <c r="F1516">
        <v>32</v>
      </c>
      <c r="G1516">
        <v>37</v>
      </c>
    </row>
    <row r="1517" spans="1:7" x14ac:dyDescent="0.25">
      <c r="A1517">
        <v>1515</v>
      </c>
      <c r="B1517">
        <v>58</v>
      </c>
      <c r="C1517">
        <v>200</v>
      </c>
      <c r="D1517" t="s">
        <v>10127</v>
      </c>
      <c r="F1517">
        <v>32</v>
      </c>
      <c r="G1517">
        <v>37</v>
      </c>
    </row>
    <row r="1518" spans="1:7" x14ac:dyDescent="0.25">
      <c r="A1518">
        <v>1516</v>
      </c>
      <c r="B1518">
        <v>45</v>
      </c>
      <c r="C1518">
        <v>200</v>
      </c>
      <c r="D1518" t="s">
        <v>10128</v>
      </c>
      <c r="E1518" t="s">
        <v>10128</v>
      </c>
      <c r="F1518">
        <v>32</v>
      </c>
      <c r="G1518">
        <v>37</v>
      </c>
    </row>
    <row r="1519" spans="1:7" x14ac:dyDescent="0.25">
      <c r="A1519">
        <v>1517</v>
      </c>
      <c r="B1519">
        <v>19</v>
      </c>
      <c r="C1519">
        <v>200</v>
      </c>
      <c r="D1519" t="s">
        <v>10129</v>
      </c>
      <c r="E1519" t="s">
        <v>10129</v>
      </c>
      <c r="F1519">
        <v>32</v>
      </c>
      <c r="G1519">
        <v>37</v>
      </c>
    </row>
    <row r="1520" spans="1:7" x14ac:dyDescent="0.25">
      <c r="A1520">
        <v>1518</v>
      </c>
      <c r="B1520">
        <v>14</v>
      </c>
      <c r="C1520">
        <v>200</v>
      </c>
      <c r="D1520" t="s">
        <v>10130</v>
      </c>
      <c r="E1520" t="s">
        <v>10130</v>
      </c>
      <c r="F1520">
        <v>32</v>
      </c>
      <c r="G1520">
        <v>37</v>
      </c>
    </row>
    <row r="1521" spans="1:7" x14ac:dyDescent="0.25">
      <c r="A1521">
        <v>1519</v>
      </c>
      <c r="B1521">
        <v>14</v>
      </c>
      <c r="C1521">
        <v>200</v>
      </c>
      <c r="D1521" t="s">
        <v>10131</v>
      </c>
      <c r="E1521" t="s">
        <v>10131</v>
      </c>
      <c r="F1521">
        <v>32</v>
      </c>
      <c r="G1521">
        <v>37</v>
      </c>
    </row>
    <row r="1522" spans="1:7" x14ac:dyDescent="0.25">
      <c r="A1522">
        <v>1520</v>
      </c>
      <c r="B1522">
        <v>8</v>
      </c>
      <c r="C1522">
        <v>200</v>
      </c>
      <c r="D1522" t="s">
        <v>10132</v>
      </c>
      <c r="E1522" t="s">
        <v>10132</v>
      </c>
      <c r="F1522">
        <v>32</v>
      </c>
      <c r="G1522">
        <v>37</v>
      </c>
    </row>
    <row r="1523" spans="1:7" x14ac:dyDescent="0.25">
      <c r="A1523">
        <v>1521</v>
      </c>
      <c r="B1523">
        <v>23</v>
      </c>
      <c r="C1523">
        <v>200</v>
      </c>
      <c r="D1523" t="s">
        <v>10133</v>
      </c>
      <c r="E1523" t="s">
        <v>10133</v>
      </c>
      <c r="F1523">
        <v>32</v>
      </c>
      <c r="G1523">
        <v>37</v>
      </c>
    </row>
    <row r="1524" spans="1:7" x14ac:dyDescent="0.25">
      <c r="A1524">
        <v>1522</v>
      </c>
      <c r="B1524">
        <v>10</v>
      </c>
      <c r="C1524">
        <v>200</v>
      </c>
      <c r="D1524" t="s">
        <v>10134</v>
      </c>
      <c r="E1524" t="s">
        <v>10134</v>
      </c>
      <c r="F1524">
        <v>32</v>
      </c>
      <c r="G1524">
        <v>37</v>
      </c>
    </row>
    <row r="1525" spans="1:7" x14ac:dyDescent="0.25">
      <c r="A1525">
        <v>1523</v>
      </c>
      <c r="B1525">
        <v>2</v>
      </c>
      <c r="C1525">
        <v>200</v>
      </c>
      <c r="D1525" t="s">
        <v>10135</v>
      </c>
      <c r="E1525" t="s">
        <v>10135</v>
      </c>
      <c r="F1525">
        <v>32</v>
      </c>
      <c r="G1525">
        <v>37</v>
      </c>
    </row>
    <row r="1526" spans="1:7" x14ac:dyDescent="0.25">
      <c r="A1526">
        <v>1524</v>
      </c>
      <c r="B1526">
        <v>8</v>
      </c>
      <c r="C1526">
        <v>200</v>
      </c>
      <c r="D1526" t="s">
        <v>10136</v>
      </c>
      <c r="E1526" t="s">
        <v>10136</v>
      </c>
      <c r="F1526">
        <v>32</v>
      </c>
      <c r="G1526">
        <v>37</v>
      </c>
    </row>
    <row r="1527" spans="1:7" x14ac:dyDescent="0.25">
      <c r="A1527">
        <v>1525</v>
      </c>
      <c r="B1527">
        <v>45</v>
      </c>
      <c r="C1527">
        <v>200</v>
      </c>
      <c r="D1527" t="s">
        <v>10137</v>
      </c>
      <c r="F1527">
        <v>32</v>
      </c>
      <c r="G1527">
        <v>37</v>
      </c>
    </row>
    <row r="1528" spans="1:7" x14ac:dyDescent="0.25">
      <c r="A1528">
        <v>1526</v>
      </c>
      <c r="B1528">
        <v>25</v>
      </c>
      <c r="C1528">
        <v>200</v>
      </c>
      <c r="D1528" t="s">
        <v>10138</v>
      </c>
      <c r="E1528" t="s">
        <v>10138</v>
      </c>
      <c r="F1528">
        <v>32</v>
      </c>
      <c r="G1528">
        <v>37</v>
      </c>
    </row>
    <row r="1529" spans="1:7" x14ac:dyDescent="0.25">
      <c r="A1529">
        <v>1527</v>
      </c>
      <c r="B1529">
        <v>14</v>
      </c>
      <c r="C1529">
        <v>200</v>
      </c>
      <c r="D1529" t="s">
        <v>10139</v>
      </c>
      <c r="E1529" t="s">
        <v>10139</v>
      </c>
      <c r="F1529">
        <v>32</v>
      </c>
      <c r="G1529">
        <v>37</v>
      </c>
    </row>
    <row r="1530" spans="1:7" x14ac:dyDescent="0.25">
      <c r="A1530">
        <v>1528</v>
      </c>
      <c r="B1530">
        <v>25</v>
      </c>
      <c r="C1530">
        <v>0</v>
      </c>
      <c r="D1530" t="s">
        <v>10140</v>
      </c>
      <c r="F1530">
        <v>32</v>
      </c>
      <c r="G1530">
        <v>37</v>
      </c>
    </row>
    <row r="1531" spans="1:7" x14ac:dyDescent="0.25">
      <c r="A1531">
        <v>1529</v>
      </c>
      <c r="B1531">
        <v>14</v>
      </c>
      <c r="C1531">
        <v>200</v>
      </c>
      <c r="D1531" t="s">
        <v>10141</v>
      </c>
      <c r="E1531" t="s">
        <v>10141</v>
      </c>
      <c r="F1531">
        <v>32</v>
      </c>
      <c r="G1531">
        <v>37</v>
      </c>
    </row>
    <row r="1532" spans="1:7" x14ac:dyDescent="0.25">
      <c r="A1532">
        <v>1530</v>
      </c>
      <c r="B1532">
        <v>12</v>
      </c>
      <c r="C1532">
        <v>200</v>
      </c>
      <c r="D1532" t="s">
        <v>10142</v>
      </c>
      <c r="E1532" t="s">
        <v>10142</v>
      </c>
      <c r="F1532">
        <v>32</v>
      </c>
      <c r="G1532">
        <v>37</v>
      </c>
    </row>
    <row r="1533" spans="1:7" x14ac:dyDescent="0.25">
      <c r="A1533">
        <v>1531</v>
      </c>
      <c r="B1533">
        <v>8</v>
      </c>
      <c r="C1533">
        <v>200</v>
      </c>
      <c r="D1533" t="s">
        <v>10143</v>
      </c>
      <c r="E1533" t="s">
        <v>10143</v>
      </c>
      <c r="F1533">
        <v>32</v>
      </c>
      <c r="G1533">
        <v>37</v>
      </c>
    </row>
    <row r="1534" spans="1:7" x14ac:dyDescent="0.25">
      <c r="A1534">
        <v>1532</v>
      </c>
      <c r="B1534">
        <v>14</v>
      </c>
      <c r="C1534">
        <v>200</v>
      </c>
      <c r="D1534" t="s">
        <v>10144</v>
      </c>
      <c r="F1534">
        <v>32</v>
      </c>
      <c r="G1534">
        <v>37</v>
      </c>
    </row>
    <row r="1535" spans="1:7" x14ac:dyDescent="0.25">
      <c r="A1535">
        <v>1533</v>
      </c>
      <c r="B1535">
        <v>7</v>
      </c>
      <c r="C1535">
        <v>200</v>
      </c>
      <c r="D1535" t="s">
        <v>10145</v>
      </c>
      <c r="E1535" t="s">
        <v>10145</v>
      </c>
      <c r="F1535">
        <v>32</v>
      </c>
      <c r="G1535">
        <v>37</v>
      </c>
    </row>
    <row r="1536" spans="1:7" x14ac:dyDescent="0.25">
      <c r="A1536">
        <v>1534</v>
      </c>
      <c r="B1536">
        <v>14</v>
      </c>
      <c r="C1536">
        <v>200</v>
      </c>
      <c r="D1536" t="s">
        <v>10146</v>
      </c>
      <c r="E1536" t="s">
        <v>10146</v>
      </c>
      <c r="F1536">
        <v>32</v>
      </c>
      <c r="G1536">
        <v>37</v>
      </c>
    </row>
    <row r="1537" spans="1:7" x14ac:dyDescent="0.25">
      <c r="A1537">
        <v>1535</v>
      </c>
      <c r="B1537">
        <v>14</v>
      </c>
      <c r="C1537">
        <v>200</v>
      </c>
      <c r="D1537" t="s">
        <v>10147</v>
      </c>
      <c r="E1537" t="s">
        <v>10147</v>
      </c>
      <c r="F1537">
        <v>32</v>
      </c>
      <c r="G1537">
        <v>37</v>
      </c>
    </row>
    <row r="1538" spans="1:7" x14ac:dyDescent="0.25">
      <c r="A1538">
        <v>1536</v>
      </c>
      <c r="B1538">
        <v>33</v>
      </c>
      <c r="C1538">
        <v>200</v>
      </c>
      <c r="D1538" t="s">
        <v>10148</v>
      </c>
      <c r="E1538" t="s">
        <v>10148</v>
      </c>
      <c r="F1538">
        <v>32</v>
      </c>
      <c r="G1538">
        <v>37</v>
      </c>
    </row>
    <row r="1539" spans="1:7" x14ac:dyDescent="0.25">
      <c r="A1539">
        <v>1537</v>
      </c>
      <c r="B1539">
        <v>24</v>
      </c>
      <c r="C1539">
        <v>200</v>
      </c>
      <c r="D1539" t="s">
        <v>10149</v>
      </c>
      <c r="E1539" t="s">
        <v>10149</v>
      </c>
      <c r="F1539">
        <v>32</v>
      </c>
      <c r="G1539">
        <v>37</v>
      </c>
    </row>
    <row r="1540" spans="1:7" x14ac:dyDescent="0.25">
      <c r="A1540">
        <v>1538</v>
      </c>
      <c r="B1540">
        <v>45</v>
      </c>
      <c r="C1540">
        <v>200</v>
      </c>
      <c r="D1540" t="s">
        <v>10150</v>
      </c>
      <c r="E1540" t="s">
        <v>10150</v>
      </c>
      <c r="F1540">
        <v>32</v>
      </c>
      <c r="G1540">
        <v>37</v>
      </c>
    </row>
    <row r="1541" spans="1:7" x14ac:dyDescent="0.25">
      <c r="A1541">
        <v>1539</v>
      </c>
      <c r="B1541">
        <v>14</v>
      </c>
      <c r="C1541">
        <v>200</v>
      </c>
      <c r="D1541" t="s">
        <v>10151</v>
      </c>
      <c r="E1541" t="s">
        <v>10151</v>
      </c>
      <c r="F1541">
        <v>32</v>
      </c>
      <c r="G1541">
        <v>37</v>
      </c>
    </row>
    <row r="1542" spans="1:7" x14ac:dyDescent="0.25">
      <c r="A1542">
        <v>1540</v>
      </c>
      <c r="B1542">
        <v>54</v>
      </c>
      <c r="C1542">
        <v>200</v>
      </c>
      <c r="D1542" t="s">
        <v>10152</v>
      </c>
      <c r="E1542" t="s">
        <v>10152</v>
      </c>
      <c r="F1542">
        <v>32</v>
      </c>
      <c r="G1542">
        <v>37</v>
      </c>
    </row>
    <row r="1543" spans="1:7" x14ac:dyDescent="0.25">
      <c r="A1543">
        <v>1541</v>
      </c>
      <c r="B1543">
        <v>54</v>
      </c>
      <c r="C1543">
        <v>200</v>
      </c>
      <c r="D1543" t="s">
        <v>10153</v>
      </c>
      <c r="E1543" t="s">
        <v>10153</v>
      </c>
      <c r="F1543">
        <v>32</v>
      </c>
      <c r="G1543">
        <v>37</v>
      </c>
    </row>
    <row r="1544" spans="1:7" x14ac:dyDescent="0.25">
      <c r="A1544">
        <v>1542</v>
      </c>
      <c r="B1544">
        <v>34</v>
      </c>
      <c r="C1544">
        <v>200</v>
      </c>
      <c r="D1544" t="s">
        <v>10154</v>
      </c>
      <c r="E1544" t="s">
        <v>10154</v>
      </c>
      <c r="F1544">
        <v>32</v>
      </c>
      <c r="G1544">
        <v>37</v>
      </c>
    </row>
    <row r="1545" spans="1:7" x14ac:dyDescent="0.25">
      <c r="A1545">
        <v>1543</v>
      </c>
      <c r="B1545">
        <v>23</v>
      </c>
      <c r="C1545">
        <v>200</v>
      </c>
      <c r="D1545" t="s">
        <v>10155</v>
      </c>
      <c r="E1545" t="s">
        <v>10155</v>
      </c>
      <c r="F1545">
        <v>32</v>
      </c>
      <c r="G1545">
        <v>37</v>
      </c>
    </row>
    <row r="1546" spans="1:7" x14ac:dyDescent="0.25">
      <c r="A1546">
        <v>1544</v>
      </c>
      <c r="B1546">
        <v>54</v>
      </c>
      <c r="C1546">
        <v>200</v>
      </c>
      <c r="D1546" t="s">
        <v>10156</v>
      </c>
      <c r="E1546" t="s">
        <v>10156</v>
      </c>
      <c r="F1546">
        <v>32</v>
      </c>
      <c r="G1546">
        <v>37</v>
      </c>
    </row>
    <row r="1547" spans="1:7" x14ac:dyDescent="0.25">
      <c r="A1547">
        <v>1545</v>
      </c>
      <c r="B1547">
        <v>69</v>
      </c>
      <c r="C1547">
        <v>200</v>
      </c>
      <c r="D1547" t="s">
        <v>10157</v>
      </c>
      <c r="E1547" t="s">
        <v>10157</v>
      </c>
      <c r="F1547">
        <v>32</v>
      </c>
      <c r="G1547">
        <v>37</v>
      </c>
    </row>
    <row r="1548" spans="1:7" x14ac:dyDescent="0.25">
      <c r="A1548">
        <v>1546</v>
      </c>
      <c r="B1548">
        <v>24</v>
      </c>
      <c r="C1548">
        <v>0</v>
      </c>
      <c r="D1548" t="s">
        <v>10158</v>
      </c>
      <c r="F1548">
        <v>32</v>
      </c>
      <c r="G1548">
        <v>37</v>
      </c>
    </row>
    <row r="1549" spans="1:7" x14ac:dyDescent="0.25">
      <c r="A1549">
        <v>1547</v>
      </c>
      <c r="B1549">
        <v>8</v>
      </c>
      <c r="C1549">
        <v>200</v>
      </c>
      <c r="D1549" t="s">
        <v>10159</v>
      </c>
      <c r="E1549" t="s">
        <v>10159</v>
      </c>
      <c r="F1549">
        <v>32</v>
      </c>
      <c r="G1549">
        <v>37</v>
      </c>
    </row>
    <row r="1550" spans="1:7" x14ac:dyDescent="0.25">
      <c r="A1550">
        <v>1548</v>
      </c>
      <c r="B1550">
        <v>8</v>
      </c>
      <c r="C1550">
        <v>200</v>
      </c>
      <c r="D1550" t="s">
        <v>10160</v>
      </c>
      <c r="E1550" t="s">
        <v>10160</v>
      </c>
      <c r="F1550">
        <v>32</v>
      </c>
      <c r="G1550">
        <v>37</v>
      </c>
    </row>
    <row r="1551" spans="1:7" x14ac:dyDescent="0.25">
      <c r="A1551">
        <v>1549</v>
      </c>
      <c r="B1551">
        <v>1</v>
      </c>
      <c r="C1551">
        <v>200</v>
      </c>
      <c r="D1551" t="s">
        <v>10161</v>
      </c>
      <c r="E1551" t="s">
        <v>10161</v>
      </c>
      <c r="F1551">
        <v>32</v>
      </c>
      <c r="G1551">
        <v>37</v>
      </c>
    </row>
    <row r="1552" spans="1:7" x14ac:dyDescent="0.25">
      <c r="A1552">
        <v>1550</v>
      </c>
      <c r="B1552">
        <v>54</v>
      </c>
      <c r="C1552">
        <v>200</v>
      </c>
      <c r="D1552" t="s">
        <v>10162</v>
      </c>
      <c r="E1552" t="s">
        <v>10162</v>
      </c>
      <c r="F1552">
        <v>32</v>
      </c>
      <c r="G1552">
        <v>37</v>
      </c>
    </row>
    <row r="1553" spans="1:7" x14ac:dyDescent="0.25">
      <c r="A1553">
        <v>1551</v>
      </c>
      <c r="B1553">
        <v>8</v>
      </c>
      <c r="C1553">
        <v>200</v>
      </c>
      <c r="D1553" t="s">
        <v>10163</v>
      </c>
      <c r="E1553" t="s">
        <v>10163</v>
      </c>
      <c r="F1553">
        <v>32</v>
      </c>
      <c r="G1553">
        <v>37</v>
      </c>
    </row>
    <row r="1554" spans="1:7" x14ac:dyDescent="0.25">
      <c r="A1554">
        <v>1552</v>
      </c>
      <c r="B1554">
        <v>25</v>
      </c>
      <c r="C1554">
        <v>300</v>
      </c>
      <c r="D1554" t="s">
        <v>10164</v>
      </c>
      <c r="E1554" t="s">
        <v>10164</v>
      </c>
      <c r="F1554">
        <v>32</v>
      </c>
      <c r="G1554">
        <v>37</v>
      </c>
    </row>
    <row r="1555" spans="1:7" x14ac:dyDescent="0.25">
      <c r="A1555">
        <v>1553</v>
      </c>
      <c r="B1555">
        <v>54</v>
      </c>
      <c r="C1555">
        <v>200</v>
      </c>
      <c r="D1555" t="s">
        <v>10165</v>
      </c>
      <c r="E1555" t="s">
        <v>10166</v>
      </c>
      <c r="F1555">
        <v>32</v>
      </c>
      <c r="G1555">
        <v>37</v>
      </c>
    </row>
    <row r="1556" spans="1:7" x14ac:dyDescent="0.25">
      <c r="A1556">
        <v>1554</v>
      </c>
      <c r="B1556">
        <v>54</v>
      </c>
      <c r="C1556">
        <v>200</v>
      </c>
      <c r="D1556" t="s">
        <v>10167</v>
      </c>
      <c r="F1556">
        <v>32</v>
      </c>
      <c r="G1556">
        <v>37</v>
      </c>
    </row>
    <row r="1557" spans="1:7" x14ac:dyDescent="0.25">
      <c r="A1557">
        <v>1555</v>
      </c>
      <c r="B1557">
        <v>23</v>
      </c>
      <c r="C1557">
        <v>200</v>
      </c>
      <c r="D1557" t="s">
        <v>10168</v>
      </c>
      <c r="F1557">
        <v>32</v>
      </c>
      <c r="G1557">
        <v>37</v>
      </c>
    </row>
    <row r="1558" spans="1:7" x14ac:dyDescent="0.25">
      <c r="A1558">
        <v>1556</v>
      </c>
      <c r="B1558">
        <v>65</v>
      </c>
      <c r="C1558">
        <v>200</v>
      </c>
      <c r="D1558" t="s">
        <v>10169</v>
      </c>
      <c r="F1558">
        <v>32</v>
      </c>
      <c r="G1558">
        <v>37</v>
      </c>
    </row>
    <row r="1559" spans="1:7" x14ac:dyDescent="0.25">
      <c r="A1559">
        <v>1557</v>
      </c>
      <c r="B1559">
        <v>10</v>
      </c>
      <c r="C1559">
        <v>200</v>
      </c>
      <c r="D1559" t="s">
        <v>10170</v>
      </c>
      <c r="F1559">
        <v>32</v>
      </c>
      <c r="G1559">
        <v>37</v>
      </c>
    </row>
    <row r="1560" spans="1:7" x14ac:dyDescent="0.25">
      <c r="A1560">
        <v>1558</v>
      </c>
      <c r="B1560">
        <v>84</v>
      </c>
      <c r="C1560">
        <v>300</v>
      </c>
      <c r="D1560" t="s">
        <v>10171</v>
      </c>
      <c r="F1560">
        <v>32</v>
      </c>
      <c r="G1560">
        <v>37</v>
      </c>
    </row>
    <row r="1561" spans="1:7" x14ac:dyDescent="0.25">
      <c r="A1561">
        <v>1559</v>
      </c>
      <c r="B1561">
        <v>25</v>
      </c>
      <c r="C1561">
        <v>200</v>
      </c>
      <c r="D1561" t="s">
        <v>10172</v>
      </c>
      <c r="F1561">
        <v>32</v>
      </c>
      <c r="G1561">
        <v>37</v>
      </c>
    </row>
    <row r="1562" spans="1:7" x14ac:dyDescent="0.25">
      <c r="A1562">
        <v>1560</v>
      </c>
      <c r="B1562">
        <v>69</v>
      </c>
      <c r="C1562">
        <v>200</v>
      </c>
      <c r="D1562" t="s">
        <v>10173</v>
      </c>
      <c r="F1562">
        <v>32</v>
      </c>
      <c r="G1562">
        <v>37</v>
      </c>
    </row>
    <row r="1563" spans="1:7" x14ac:dyDescent="0.25">
      <c r="A1563">
        <v>1561</v>
      </c>
      <c r="B1563">
        <v>57</v>
      </c>
      <c r="C1563">
        <v>200</v>
      </c>
      <c r="D1563" t="s">
        <v>10174</v>
      </c>
      <c r="F1563">
        <v>32</v>
      </c>
      <c r="G1563">
        <v>37</v>
      </c>
    </row>
    <row r="1564" spans="1:7" x14ac:dyDescent="0.25">
      <c r="A1564">
        <v>1562</v>
      </c>
      <c r="B1564">
        <v>54</v>
      </c>
      <c r="C1564">
        <v>200</v>
      </c>
      <c r="D1564" t="s">
        <v>10175</v>
      </c>
      <c r="F1564">
        <v>32</v>
      </c>
      <c r="G1564">
        <v>37</v>
      </c>
    </row>
    <row r="1565" spans="1:7" x14ac:dyDescent="0.25">
      <c r="A1565">
        <v>1563</v>
      </c>
      <c r="B1565">
        <v>12</v>
      </c>
      <c r="C1565">
        <v>200</v>
      </c>
      <c r="D1565" t="s">
        <v>10176</v>
      </c>
      <c r="F1565">
        <v>32</v>
      </c>
      <c r="G1565">
        <v>37</v>
      </c>
    </row>
    <row r="1566" spans="1:7" x14ac:dyDescent="0.25">
      <c r="A1566">
        <v>1564</v>
      </c>
      <c r="B1566">
        <v>69</v>
      </c>
      <c r="C1566">
        <v>200</v>
      </c>
      <c r="D1566" t="s">
        <v>10177</v>
      </c>
      <c r="F1566">
        <v>32</v>
      </c>
      <c r="G1566">
        <v>37</v>
      </c>
    </row>
    <row r="1567" spans="1:7" x14ac:dyDescent="0.25">
      <c r="A1567">
        <v>1565</v>
      </c>
      <c r="B1567">
        <v>69</v>
      </c>
      <c r="C1567">
        <v>200</v>
      </c>
      <c r="D1567" t="s">
        <v>10178</v>
      </c>
      <c r="F1567">
        <v>32</v>
      </c>
      <c r="G1567">
        <v>37</v>
      </c>
    </row>
    <row r="1568" spans="1:7" x14ac:dyDescent="0.25">
      <c r="A1568">
        <v>1566</v>
      </c>
      <c r="B1568">
        <v>25</v>
      </c>
      <c r="C1568">
        <v>200</v>
      </c>
      <c r="D1568" t="s">
        <v>10179</v>
      </c>
      <c r="F1568">
        <v>32</v>
      </c>
      <c r="G1568">
        <v>37</v>
      </c>
    </row>
    <row r="1569" spans="1:7" x14ac:dyDescent="0.25">
      <c r="A1569">
        <v>1567</v>
      </c>
      <c r="B1569">
        <v>23</v>
      </c>
      <c r="C1569">
        <v>200</v>
      </c>
      <c r="D1569" t="s">
        <v>10180</v>
      </c>
      <c r="E1569" t="s">
        <v>10180</v>
      </c>
      <c r="F1569">
        <v>32</v>
      </c>
      <c r="G1569">
        <v>38</v>
      </c>
    </row>
    <row r="1570" spans="1:7" x14ac:dyDescent="0.25">
      <c r="A1570">
        <v>1568</v>
      </c>
      <c r="B1570">
        <v>69</v>
      </c>
      <c r="C1570">
        <v>200</v>
      </c>
      <c r="D1570" t="s">
        <v>10181</v>
      </c>
      <c r="F1570">
        <v>32</v>
      </c>
      <c r="G1570">
        <v>37</v>
      </c>
    </row>
    <row r="1571" spans="1:7" x14ac:dyDescent="0.25">
      <c r="A1571">
        <v>1569</v>
      </c>
      <c r="B1571">
        <v>23</v>
      </c>
      <c r="C1571">
        <v>200</v>
      </c>
      <c r="D1571" t="s">
        <v>10182</v>
      </c>
      <c r="F1571">
        <v>32</v>
      </c>
      <c r="G1571">
        <v>37</v>
      </c>
    </row>
    <row r="1572" spans="1:7" x14ac:dyDescent="0.25">
      <c r="A1572">
        <v>1570</v>
      </c>
      <c r="B1572">
        <v>77</v>
      </c>
      <c r="C1572">
        <v>200</v>
      </c>
      <c r="D1572" t="s">
        <v>10183</v>
      </c>
      <c r="F1572">
        <v>31</v>
      </c>
      <c r="G1572">
        <v>37</v>
      </c>
    </row>
    <row r="1573" spans="1:7" x14ac:dyDescent="0.25">
      <c r="A1573">
        <v>1571</v>
      </c>
      <c r="B1573">
        <v>23</v>
      </c>
      <c r="C1573">
        <v>200</v>
      </c>
      <c r="D1573" t="s">
        <v>10184</v>
      </c>
      <c r="F1573">
        <v>32</v>
      </c>
      <c r="G1573">
        <v>37</v>
      </c>
    </row>
    <row r="1574" spans="1:7" x14ac:dyDescent="0.25">
      <c r="A1574">
        <v>1572</v>
      </c>
      <c r="B1574">
        <v>10</v>
      </c>
      <c r="C1574">
        <v>200</v>
      </c>
      <c r="D1574" t="s">
        <v>10185</v>
      </c>
      <c r="F1574">
        <v>32</v>
      </c>
      <c r="G1574">
        <v>37</v>
      </c>
    </row>
    <row r="1575" spans="1:7" x14ac:dyDescent="0.25">
      <c r="A1575">
        <v>1573</v>
      </c>
      <c r="B1575">
        <v>52</v>
      </c>
      <c r="C1575">
        <v>200</v>
      </c>
      <c r="D1575" t="s">
        <v>10186</v>
      </c>
      <c r="F1575">
        <v>32</v>
      </c>
      <c r="G1575">
        <v>37</v>
      </c>
    </row>
    <row r="1576" spans="1:7" x14ac:dyDescent="0.25">
      <c r="A1576">
        <v>1574</v>
      </c>
      <c r="B1576">
        <v>10</v>
      </c>
      <c r="C1576">
        <v>200</v>
      </c>
      <c r="D1576" t="s">
        <v>10187</v>
      </c>
      <c r="F1576">
        <v>32</v>
      </c>
      <c r="G1576">
        <v>37</v>
      </c>
    </row>
    <row r="1577" spans="1:7" x14ac:dyDescent="0.25">
      <c r="A1577">
        <v>1575</v>
      </c>
      <c r="B1577">
        <v>45</v>
      </c>
      <c r="C1577">
        <v>200</v>
      </c>
      <c r="D1577" t="s">
        <v>10188</v>
      </c>
      <c r="F1577">
        <v>32</v>
      </c>
      <c r="G1577">
        <v>37</v>
      </c>
    </row>
    <row r="1578" spans="1:7" x14ac:dyDescent="0.25">
      <c r="A1578">
        <v>1576</v>
      </c>
      <c r="B1578">
        <v>54</v>
      </c>
      <c r="C1578">
        <v>200</v>
      </c>
      <c r="D1578" t="s">
        <v>10189</v>
      </c>
      <c r="F1578">
        <v>32</v>
      </c>
      <c r="G1578">
        <v>37</v>
      </c>
    </row>
    <row r="1579" spans="1:7" x14ac:dyDescent="0.25">
      <c r="A1579">
        <v>1577</v>
      </c>
      <c r="B1579">
        <v>58</v>
      </c>
      <c r="C1579">
        <v>200</v>
      </c>
      <c r="D1579" t="s">
        <v>10190</v>
      </c>
      <c r="F1579">
        <v>32</v>
      </c>
      <c r="G1579">
        <v>38</v>
      </c>
    </row>
    <row r="1580" spans="1:7" x14ac:dyDescent="0.25">
      <c r="A1580">
        <v>1578</v>
      </c>
      <c r="B1580">
        <v>14</v>
      </c>
      <c r="C1580">
        <v>200</v>
      </c>
      <c r="D1580" t="s">
        <v>10191</v>
      </c>
      <c r="F1580">
        <v>32</v>
      </c>
      <c r="G1580">
        <v>37</v>
      </c>
    </row>
    <row r="1581" spans="1:7" x14ac:dyDescent="0.25">
      <c r="A1581">
        <v>1579</v>
      </c>
      <c r="B1581">
        <v>24</v>
      </c>
      <c r="C1581">
        <v>200</v>
      </c>
      <c r="D1581" t="s">
        <v>10192</v>
      </c>
      <c r="F1581">
        <v>32</v>
      </c>
      <c r="G1581">
        <v>38</v>
      </c>
    </row>
    <row r="1582" spans="1:7" x14ac:dyDescent="0.25">
      <c r="A1582">
        <v>1580</v>
      </c>
      <c r="B1582">
        <v>54</v>
      </c>
      <c r="C1582">
        <v>200</v>
      </c>
      <c r="D1582" t="s">
        <v>10193</v>
      </c>
      <c r="F1582">
        <v>32</v>
      </c>
      <c r="G1582">
        <v>38</v>
      </c>
    </row>
    <row r="1583" spans="1:7" x14ac:dyDescent="0.25">
      <c r="A1583">
        <v>1581</v>
      </c>
      <c r="B1583">
        <v>23</v>
      </c>
      <c r="C1583">
        <v>200</v>
      </c>
      <c r="D1583" t="s">
        <v>10194</v>
      </c>
      <c r="F1583">
        <v>32</v>
      </c>
      <c r="G1583">
        <v>37</v>
      </c>
    </row>
    <row r="1584" spans="1:7" x14ac:dyDescent="0.25">
      <c r="A1584">
        <v>1582</v>
      </c>
      <c r="B1584">
        <v>24</v>
      </c>
      <c r="C1584">
        <v>200</v>
      </c>
      <c r="D1584" t="s">
        <v>10195</v>
      </c>
      <c r="F1584">
        <v>32</v>
      </c>
      <c r="G1584">
        <v>38</v>
      </c>
    </row>
    <row r="1585" spans="1:7" x14ac:dyDescent="0.25">
      <c r="A1585">
        <v>1583</v>
      </c>
      <c r="B1585">
        <v>69</v>
      </c>
      <c r="C1585">
        <v>200</v>
      </c>
      <c r="D1585" t="s">
        <v>10196</v>
      </c>
      <c r="F1585">
        <v>32</v>
      </c>
      <c r="G1585">
        <v>37</v>
      </c>
    </row>
    <row r="1586" spans="1:7" x14ac:dyDescent="0.25">
      <c r="A1586">
        <v>1584</v>
      </c>
      <c r="B1586">
        <v>69</v>
      </c>
      <c r="C1586">
        <v>200</v>
      </c>
      <c r="D1586" t="s">
        <v>10197</v>
      </c>
      <c r="F1586">
        <v>32</v>
      </c>
      <c r="G1586">
        <v>37</v>
      </c>
    </row>
    <row r="1587" spans="1:7" x14ac:dyDescent="0.25">
      <c r="A1587">
        <v>1585</v>
      </c>
      <c r="B1587">
        <v>8</v>
      </c>
      <c r="C1587">
        <v>200</v>
      </c>
      <c r="D1587" t="s">
        <v>10198</v>
      </c>
      <c r="F1587">
        <v>32</v>
      </c>
      <c r="G1587">
        <v>37</v>
      </c>
    </row>
    <row r="1588" spans="1:7" x14ac:dyDescent="0.25">
      <c r="A1588">
        <v>1586</v>
      </c>
      <c r="B1588">
        <v>24</v>
      </c>
      <c r="C1588">
        <v>200</v>
      </c>
      <c r="D1588" t="s">
        <v>10199</v>
      </c>
      <c r="F1588">
        <v>32</v>
      </c>
      <c r="G1588">
        <v>37</v>
      </c>
    </row>
    <row r="1589" spans="1:7" x14ac:dyDescent="0.25">
      <c r="A1589">
        <v>1587</v>
      </c>
      <c r="B1589">
        <v>2</v>
      </c>
      <c r="C1589">
        <v>200</v>
      </c>
      <c r="D1589" t="s">
        <v>10200</v>
      </c>
      <c r="F1589">
        <v>32</v>
      </c>
      <c r="G1589">
        <v>37</v>
      </c>
    </row>
    <row r="1590" spans="1:7" x14ac:dyDescent="0.25">
      <c r="A1590">
        <v>1588</v>
      </c>
      <c r="B1590">
        <v>52</v>
      </c>
      <c r="C1590">
        <v>200</v>
      </c>
      <c r="D1590" t="s">
        <v>10201</v>
      </c>
      <c r="F1590">
        <v>32</v>
      </c>
      <c r="G1590">
        <v>37</v>
      </c>
    </row>
    <row r="1591" spans="1:7" x14ac:dyDescent="0.25">
      <c r="A1591">
        <v>1589</v>
      </c>
      <c r="B1591">
        <v>6</v>
      </c>
      <c r="C1591">
        <v>200</v>
      </c>
      <c r="D1591" t="s">
        <v>10202</v>
      </c>
      <c r="F1591">
        <v>32</v>
      </c>
      <c r="G1591">
        <v>37</v>
      </c>
    </row>
    <row r="1592" spans="1:7" x14ac:dyDescent="0.25">
      <c r="A1592">
        <v>1590</v>
      </c>
      <c r="B1592">
        <v>69</v>
      </c>
      <c r="C1592">
        <v>200</v>
      </c>
      <c r="D1592" t="s">
        <v>10203</v>
      </c>
      <c r="F1592">
        <v>32</v>
      </c>
      <c r="G1592">
        <v>37</v>
      </c>
    </row>
    <row r="1593" spans="1:7" x14ac:dyDescent="0.25">
      <c r="A1593">
        <v>1591</v>
      </c>
      <c r="B1593">
        <v>14</v>
      </c>
      <c r="C1593">
        <v>200</v>
      </c>
      <c r="D1593" t="s">
        <v>10204</v>
      </c>
      <c r="F1593">
        <v>32</v>
      </c>
      <c r="G1593">
        <v>37</v>
      </c>
    </row>
    <row r="1594" spans="1:7" x14ac:dyDescent="0.25">
      <c r="A1594">
        <v>1592</v>
      </c>
      <c r="B1594">
        <v>14</v>
      </c>
      <c r="C1594">
        <v>200</v>
      </c>
      <c r="D1594" t="s">
        <v>10205</v>
      </c>
      <c r="F1594">
        <v>32</v>
      </c>
      <c r="G1594">
        <v>37</v>
      </c>
    </row>
    <row r="1595" spans="1:7" x14ac:dyDescent="0.25">
      <c r="A1595">
        <v>1593</v>
      </c>
      <c r="B1595">
        <v>23</v>
      </c>
      <c r="C1595">
        <v>200</v>
      </c>
      <c r="D1595" t="s">
        <v>10206</v>
      </c>
      <c r="F1595">
        <v>32</v>
      </c>
      <c r="G1595">
        <v>38</v>
      </c>
    </row>
    <row r="1596" spans="1:7" x14ac:dyDescent="0.25">
      <c r="A1596">
        <v>1594</v>
      </c>
      <c r="B1596">
        <v>54</v>
      </c>
      <c r="C1596">
        <v>200</v>
      </c>
      <c r="D1596" t="s">
        <v>10207</v>
      </c>
      <c r="F1596">
        <v>32</v>
      </c>
      <c r="G1596">
        <v>38</v>
      </c>
    </row>
    <row r="1597" spans="1:7" x14ac:dyDescent="0.25">
      <c r="A1597">
        <v>1595</v>
      </c>
      <c r="B1597">
        <v>79</v>
      </c>
      <c r="C1597">
        <v>200</v>
      </c>
      <c r="D1597" t="s">
        <v>10208</v>
      </c>
      <c r="F1597">
        <v>32</v>
      </c>
      <c r="G1597">
        <v>38</v>
      </c>
    </row>
    <row r="1598" spans="1:7" x14ac:dyDescent="0.25">
      <c r="A1598">
        <v>1596</v>
      </c>
      <c r="B1598">
        <v>79</v>
      </c>
      <c r="C1598">
        <v>200</v>
      </c>
      <c r="D1598" t="s">
        <v>10209</v>
      </c>
      <c r="F1598">
        <v>32</v>
      </c>
      <c r="G1598">
        <v>38</v>
      </c>
    </row>
    <row r="1599" spans="1:7" x14ac:dyDescent="0.25">
      <c r="A1599">
        <v>1597</v>
      </c>
      <c r="B1599">
        <v>78</v>
      </c>
      <c r="C1599">
        <v>200</v>
      </c>
      <c r="D1599" t="s">
        <v>10210</v>
      </c>
      <c r="F1599">
        <v>32</v>
      </c>
      <c r="G1599">
        <v>38</v>
      </c>
    </row>
    <row r="1600" spans="1:7" x14ac:dyDescent="0.25">
      <c r="A1600">
        <v>1598</v>
      </c>
      <c r="B1600">
        <v>69</v>
      </c>
      <c r="C1600">
        <v>200</v>
      </c>
      <c r="D1600" t="s">
        <v>10211</v>
      </c>
      <c r="E1600" t="s">
        <v>10211</v>
      </c>
      <c r="F1600">
        <v>32</v>
      </c>
      <c r="G1600">
        <v>37</v>
      </c>
    </row>
    <row r="1601" spans="1:7" x14ac:dyDescent="0.25">
      <c r="A1601">
        <v>1599</v>
      </c>
      <c r="B1601">
        <v>23</v>
      </c>
      <c r="C1601">
        <v>200</v>
      </c>
      <c r="D1601" t="s">
        <v>10212</v>
      </c>
      <c r="F1601">
        <v>32</v>
      </c>
      <c r="G1601">
        <v>37</v>
      </c>
    </row>
    <row r="1602" spans="1:7" x14ac:dyDescent="0.25">
      <c r="A1602">
        <v>1600</v>
      </c>
      <c r="B1602">
        <v>69</v>
      </c>
      <c r="C1602">
        <v>200</v>
      </c>
      <c r="D1602" t="s">
        <v>10213</v>
      </c>
      <c r="F1602">
        <v>32</v>
      </c>
      <c r="G1602">
        <v>37</v>
      </c>
    </row>
    <row r="1603" spans="1:7" x14ac:dyDescent="0.25">
      <c r="A1603">
        <v>1601</v>
      </c>
      <c r="B1603">
        <v>78</v>
      </c>
      <c r="C1603">
        <v>200</v>
      </c>
      <c r="D1603" t="s">
        <v>10214</v>
      </c>
      <c r="F1603">
        <v>32</v>
      </c>
      <c r="G1603">
        <v>37</v>
      </c>
    </row>
    <row r="1604" spans="1:7" x14ac:dyDescent="0.25">
      <c r="A1604">
        <v>1602</v>
      </c>
      <c r="B1604">
        <v>84</v>
      </c>
      <c r="C1604">
        <v>200</v>
      </c>
      <c r="D1604" t="s">
        <v>10215</v>
      </c>
      <c r="F1604">
        <v>32</v>
      </c>
      <c r="G1604">
        <v>37</v>
      </c>
    </row>
    <row r="1605" spans="1:7" x14ac:dyDescent="0.25">
      <c r="A1605">
        <v>1603</v>
      </c>
      <c r="B1605">
        <v>10</v>
      </c>
      <c r="C1605">
        <v>200</v>
      </c>
      <c r="D1605" t="s">
        <v>10216</v>
      </c>
      <c r="F1605">
        <v>32</v>
      </c>
      <c r="G1605">
        <v>38</v>
      </c>
    </row>
    <row r="1606" spans="1:7" x14ac:dyDescent="0.25">
      <c r="A1606">
        <v>1604</v>
      </c>
      <c r="B1606">
        <v>66</v>
      </c>
      <c r="C1606">
        <v>200</v>
      </c>
      <c r="D1606" t="s">
        <v>10217</v>
      </c>
      <c r="F1606">
        <v>32</v>
      </c>
      <c r="G1606">
        <v>38</v>
      </c>
    </row>
    <row r="1607" spans="1:7" x14ac:dyDescent="0.25">
      <c r="A1607">
        <v>1605</v>
      </c>
      <c r="B1607">
        <v>71</v>
      </c>
      <c r="C1607">
        <v>200</v>
      </c>
      <c r="D1607" t="s">
        <v>10218</v>
      </c>
      <c r="F1607">
        <v>32</v>
      </c>
      <c r="G1607">
        <v>37</v>
      </c>
    </row>
    <row r="1608" spans="1:7" x14ac:dyDescent="0.25">
      <c r="A1608">
        <v>1606</v>
      </c>
      <c r="B1608">
        <v>71</v>
      </c>
      <c r="C1608">
        <v>200</v>
      </c>
      <c r="D1608" t="s">
        <v>10219</v>
      </c>
      <c r="F1608">
        <v>32</v>
      </c>
      <c r="G1608">
        <v>37</v>
      </c>
    </row>
    <row r="1609" spans="1:7" x14ac:dyDescent="0.25">
      <c r="A1609">
        <v>1607</v>
      </c>
      <c r="B1609">
        <v>37</v>
      </c>
      <c r="C1609">
        <v>0</v>
      </c>
      <c r="D1609" t="s">
        <v>10220</v>
      </c>
      <c r="F1609">
        <v>32</v>
      </c>
      <c r="G1609">
        <v>37</v>
      </c>
    </row>
    <row r="1610" spans="1:7" x14ac:dyDescent="0.25">
      <c r="A1610">
        <v>1608</v>
      </c>
      <c r="B1610">
        <v>25</v>
      </c>
      <c r="C1610">
        <v>200</v>
      </c>
      <c r="D1610" t="s">
        <v>10221</v>
      </c>
      <c r="F1610">
        <v>32</v>
      </c>
      <c r="G1610">
        <v>37</v>
      </c>
    </row>
    <row r="1611" spans="1:7" x14ac:dyDescent="0.25">
      <c r="A1611">
        <v>1609</v>
      </c>
      <c r="B1611">
        <v>55</v>
      </c>
      <c r="C1611">
        <v>200</v>
      </c>
      <c r="D1611" t="s">
        <v>10222</v>
      </c>
      <c r="F1611">
        <v>32</v>
      </c>
      <c r="G1611">
        <v>37</v>
      </c>
    </row>
    <row r="1612" spans="1:7" x14ac:dyDescent="0.25">
      <c r="A1612">
        <v>1610</v>
      </c>
      <c r="B1612">
        <v>58</v>
      </c>
      <c r="C1612">
        <v>300</v>
      </c>
      <c r="D1612" t="s">
        <v>10223</v>
      </c>
      <c r="F1612">
        <v>32</v>
      </c>
      <c r="G1612">
        <v>37</v>
      </c>
    </row>
    <row r="1613" spans="1:7" x14ac:dyDescent="0.25">
      <c r="A1613">
        <v>1611</v>
      </c>
      <c r="B1613">
        <v>23</v>
      </c>
      <c r="C1613">
        <v>0</v>
      </c>
      <c r="D1613" t="s">
        <v>10224</v>
      </c>
      <c r="F1613">
        <v>32</v>
      </c>
      <c r="G1613">
        <v>37</v>
      </c>
    </row>
    <row r="1614" spans="1:7" x14ac:dyDescent="0.25">
      <c r="A1614">
        <v>1612</v>
      </c>
      <c r="B1614">
        <v>54</v>
      </c>
      <c r="C1614">
        <v>0</v>
      </c>
      <c r="D1614" t="s">
        <v>10225</v>
      </c>
      <c r="F1614">
        <v>32</v>
      </c>
      <c r="G1614">
        <v>38</v>
      </c>
    </row>
    <row r="1615" spans="1:7" x14ac:dyDescent="0.25">
      <c r="A1615">
        <v>1613</v>
      </c>
      <c r="B1615">
        <v>78</v>
      </c>
      <c r="C1615">
        <v>200</v>
      </c>
      <c r="D1615" t="s">
        <v>10226</v>
      </c>
      <c r="F1615">
        <v>32</v>
      </c>
      <c r="G1615">
        <v>37</v>
      </c>
    </row>
    <row r="1616" spans="1:7" x14ac:dyDescent="0.25">
      <c r="A1616">
        <v>1614</v>
      </c>
      <c r="B1616">
        <v>14</v>
      </c>
      <c r="C1616">
        <v>200</v>
      </c>
      <c r="D1616" t="s">
        <v>10227</v>
      </c>
      <c r="F1616">
        <v>32</v>
      </c>
      <c r="G1616">
        <v>37</v>
      </c>
    </row>
    <row r="1617" spans="1:7" x14ac:dyDescent="0.25">
      <c r="A1617">
        <v>1615</v>
      </c>
      <c r="B1617">
        <v>14</v>
      </c>
      <c r="C1617">
        <v>200</v>
      </c>
      <c r="D1617" t="s">
        <v>10228</v>
      </c>
      <c r="F1617">
        <v>32</v>
      </c>
      <c r="G1617">
        <v>37</v>
      </c>
    </row>
    <row r="1618" spans="1:7" x14ac:dyDescent="0.25">
      <c r="A1618">
        <v>1616</v>
      </c>
      <c r="B1618">
        <v>14</v>
      </c>
      <c r="C1618">
        <v>200</v>
      </c>
      <c r="D1618" t="s">
        <v>10229</v>
      </c>
      <c r="F1618">
        <v>32</v>
      </c>
      <c r="G1618">
        <v>37</v>
      </c>
    </row>
    <row r="1619" spans="1:7" x14ac:dyDescent="0.25">
      <c r="A1619">
        <v>1617</v>
      </c>
      <c r="B1619">
        <v>23</v>
      </c>
      <c r="C1619">
        <v>200</v>
      </c>
      <c r="D1619" t="s">
        <v>10230</v>
      </c>
      <c r="F1619">
        <v>32</v>
      </c>
      <c r="G1619">
        <v>37</v>
      </c>
    </row>
    <row r="1620" spans="1:7" x14ac:dyDescent="0.25">
      <c r="A1620">
        <v>1618</v>
      </c>
      <c r="B1620">
        <v>55</v>
      </c>
      <c r="C1620">
        <v>200</v>
      </c>
      <c r="D1620" t="s">
        <v>10231</v>
      </c>
      <c r="F1620">
        <v>32</v>
      </c>
      <c r="G1620">
        <v>37</v>
      </c>
    </row>
    <row r="1621" spans="1:7" x14ac:dyDescent="0.25">
      <c r="A1621">
        <v>1619</v>
      </c>
      <c r="B1621">
        <v>54</v>
      </c>
      <c r="C1621">
        <v>200</v>
      </c>
      <c r="D1621" t="s">
        <v>10232</v>
      </c>
      <c r="F1621">
        <v>32</v>
      </c>
      <c r="G1621">
        <v>37</v>
      </c>
    </row>
    <row r="1622" spans="1:7" x14ac:dyDescent="0.25">
      <c r="A1622">
        <v>1620</v>
      </c>
      <c r="B1622">
        <v>10</v>
      </c>
      <c r="C1622">
        <v>200</v>
      </c>
      <c r="D1622" t="s">
        <v>10233</v>
      </c>
      <c r="F1622">
        <v>32</v>
      </c>
      <c r="G1622">
        <v>37</v>
      </c>
    </row>
    <row r="1623" spans="1:7" x14ac:dyDescent="0.25">
      <c r="A1623">
        <v>1621</v>
      </c>
      <c r="B1623">
        <v>67</v>
      </c>
      <c r="C1623">
        <v>200</v>
      </c>
      <c r="D1623" t="s">
        <v>10234</v>
      </c>
      <c r="F1623">
        <v>32</v>
      </c>
      <c r="G1623">
        <v>37</v>
      </c>
    </row>
    <row r="1624" spans="1:7" x14ac:dyDescent="0.25">
      <c r="A1624">
        <v>1622</v>
      </c>
      <c r="B1624">
        <v>10</v>
      </c>
      <c r="C1624">
        <v>200</v>
      </c>
      <c r="D1624" t="s">
        <v>10235</v>
      </c>
      <c r="F1624">
        <v>32</v>
      </c>
      <c r="G1624">
        <v>37</v>
      </c>
    </row>
    <row r="1625" spans="1:7" x14ac:dyDescent="0.25">
      <c r="A1625">
        <v>1623</v>
      </c>
      <c r="B1625">
        <v>83</v>
      </c>
      <c r="C1625">
        <v>200</v>
      </c>
      <c r="D1625" t="s">
        <v>10236</v>
      </c>
      <c r="F1625">
        <v>32</v>
      </c>
      <c r="G1625">
        <v>37</v>
      </c>
    </row>
    <row r="1626" spans="1:7" x14ac:dyDescent="0.25">
      <c r="A1626">
        <v>1624</v>
      </c>
      <c r="B1626">
        <v>14</v>
      </c>
      <c r="C1626">
        <v>200</v>
      </c>
      <c r="D1626" t="s">
        <v>10237</v>
      </c>
      <c r="F1626">
        <v>32</v>
      </c>
      <c r="G1626">
        <v>37</v>
      </c>
    </row>
    <row r="1627" spans="1:7" x14ac:dyDescent="0.25">
      <c r="A1627">
        <v>1625</v>
      </c>
      <c r="B1627">
        <v>14</v>
      </c>
      <c r="C1627">
        <v>200</v>
      </c>
      <c r="D1627" t="s">
        <v>10238</v>
      </c>
      <c r="F1627">
        <v>32</v>
      </c>
      <c r="G1627">
        <v>37</v>
      </c>
    </row>
    <row r="1628" spans="1:7" x14ac:dyDescent="0.25">
      <c r="A1628">
        <v>1626</v>
      </c>
      <c r="B1628">
        <v>54</v>
      </c>
      <c r="C1628">
        <v>200</v>
      </c>
      <c r="D1628" t="s">
        <v>10239</v>
      </c>
      <c r="F1628">
        <v>32</v>
      </c>
      <c r="G1628">
        <v>37</v>
      </c>
    </row>
    <row r="1629" spans="1:7" x14ac:dyDescent="0.25">
      <c r="A1629">
        <v>1627</v>
      </c>
      <c r="B1629">
        <v>45</v>
      </c>
      <c r="C1629">
        <v>200</v>
      </c>
      <c r="D1629" t="s">
        <v>10240</v>
      </c>
      <c r="F1629">
        <v>32</v>
      </c>
      <c r="G1629">
        <v>37</v>
      </c>
    </row>
    <row r="1630" spans="1:7" x14ac:dyDescent="0.25">
      <c r="A1630">
        <v>1628</v>
      </c>
      <c r="B1630">
        <v>72</v>
      </c>
      <c r="C1630">
        <v>200</v>
      </c>
      <c r="D1630" t="s">
        <v>10241</v>
      </c>
      <c r="F1630">
        <v>32</v>
      </c>
      <c r="G1630">
        <v>37</v>
      </c>
    </row>
    <row r="1631" spans="1:7" x14ac:dyDescent="0.25">
      <c r="A1631">
        <v>1629</v>
      </c>
      <c r="B1631">
        <v>14</v>
      </c>
      <c r="C1631">
        <v>200</v>
      </c>
      <c r="D1631" t="s">
        <v>10242</v>
      </c>
      <c r="F1631">
        <v>32</v>
      </c>
      <c r="G1631">
        <v>37</v>
      </c>
    </row>
    <row r="1632" spans="1:7" x14ac:dyDescent="0.25">
      <c r="A1632">
        <v>1630</v>
      </c>
      <c r="B1632">
        <v>58</v>
      </c>
      <c r="C1632">
        <v>200</v>
      </c>
      <c r="D1632" t="s">
        <v>10243</v>
      </c>
      <c r="F1632">
        <v>32</v>
      </c>
      <c r="G1632">
        <v>37</v>
      </c>
    </row>
    <row r="1633" spans="1:7" x14ac:dyDescent="0.25">
      <c r="A1633">
        <v>1631</v>
      </c>
      <c r="B1633">
        <v>69</v>
      </c>
      <c r="C1633">
        <v>200</v>
      </c>
      <c r="D1633" t="s">
        <v>10244</v>
      </c>
      <c r="F1633">
        <v>32</v>
      </c>
      <c r="G1633">
        <v>37</v>
      </c>
    </row>
    <row r="1634" spans="1:7" x14ac:dyDescent="0.25">
      <c r="A1634">
        <v>1632</v>
      </c>
      <c r="B1634">
        <v>77</v>
      </c>
      <c r="C1634">
        <v>200</v>
      </c>
      <c r="D1634" t="s">
        <v>10245</v>
      </c>
      <c r="F1634">
        <v>32</v>
      </c>
      <c r="G1634">
        <v>37</v>
      </c>
    </row>
    <row r="1635" spans="1:7" x14ac:dyDescent="0.25">
      <c r="A1635">
        <v>1633</v>
      </c>
      <c r="B1635">
        <v>85</v>
      </c>
      <c r="C1635">
        <v>200</v>
      </c>
      <c r="D1635" t="s">
        <v>10246</v>
      </c>
      <c r="F1635">
        <v>32</v>
      </c>
      <c r="G1635">
        <v>37</v>
      </c>
    </row>
    <row r="1636" spans="1:7" x14ac:dyDescent="0.25">
      <c r="A1636">
        <v>1634</v>
      </c>
      <c r="B1636">
        <v>23</v>
      </c>
      <c r="C1636">
        <v>200</v>
      </c>
      <c r="D1636" t="s">
        <v>10247</v>
      </c>
      <c r="F1636">
        <v>32</v>
      </c>
      <c r="G1636">
        <v>37</v>
      </c>
    </row>
    <row r="1637" spans="1:7" x14ac:dyDescent="0.25">
      <c r="A1637">
        <v>1635</v>
      </c>
      <c r="B1637">
        <v>14</v>
      </c>
      <c r="C1637">
        <v>200</v>
      </c>
      <c r="D1637" t="s">
        <v>10248</v>
      </c>
      <c r="F1637">
        <v>32</v>
      </c>
      <c r="G1637">
        <v>37</v>
      </c>
    </row>
    <row r="1638" spans="1:7" x14ac:dyDescent="0.25">
      <c r="A1638">
        <v>1636</v>
      </c>
      <c r="B1638">
        <v>69</v>
      </c>
      <c r="C1638">
        <v>200</v>
      </c>
      <c r="D1638" t="s">
        <v>10249</v>
      </c>
      <c r="F1638">
        <v>32</v>
      </c>
      <c r="G1638">
        <v>37</v>
      </c>
    </row>
    <row r="1639" spans="1:7" x14ac:dyDescent="0.25">
      <c r="A1639">
        <v>1637</v>
      </c>
      <c r="B1639">
        <v>7</v>
      </c>
      <c r="C1639">
        <v>200</v>
      </c>
      <c r="D1639" t="s">
        <v>10250</v>
      </c>
      <c r="F1639">
        <v>32</v>
      </c>
      <c r="G1639">
        <v>37</v>
      </c>
    </row>
    <row r="1640" spans="1:7" x14ac:dyDescent="0.25">
      <c r="A1640">
        <v>1638</v>
      </c>
      <c r="B1640">
        <v>53</v>
      </c>
      <c r="C1640">
        <v>200</v>
      </c>
      <c r="D1640" t="s">
        <v>10251</v>
      </c>
      <c r="F1640">
        <v>32</v>
      </c>
      <c r="G1640">
        <v>37</v>
      </c>
    </row>
    <row r="1641" spans="1:7" x14ac:dyDescent="0.25">
      <c r="A1641">
        <v>1639</v>
      </c>
      <c r="B1641">
        <v>24</v>
      </c>
      <c r="C1641">
        <v>200</v>
      </c>
      <c r="D1641" t="s">
        <v>10252</v>
      </c>
      <c r="F1641">
        <v>32</v>
      </c>
      <c r="G1641">
        <v>37</v>
      </c>
    </row>
    <row r="1642" spans="1:7" x14ac:dyDescent="0.25">
      <c r="A1642">
        <v>1640</v>
      </c>
      <c r="B1642">
        <v>34</v>
      </c>
      <c r="C1642">
        <v>200</v>
      </c>
      <c r="D1642" t="s">
        <v>10253</v>
      </c>
      <c r="F1642">
        <v>32</v>
      </c>
      <c r="G1642">
        <v>37</v>
      </c>
    </row>
    <row r="1643" spans="1:7" x14ac:dyDescent="0.25">
      <c r="A1643">
        <v>1641</v>
      </c>
      <c r="B1643">
        <v>34</v>
      </c>
      <c r="C1643">
        <v>200</v>
      </c>
      <c r="D1643" t="s">
        <v>10254</v>
      </c>
      <c r="F1643">
        <v>32</v>
      </c>
      <c r="G1643">
        <v>37</v>
      </c>
    </row>
    <row r="1644" spans="1:7" x14ac:dyDescent="0.25">
      <c r="A1644">
        <v>1642</v>
      </c>
      <c r="B1644">
        <v>54</v>
      </c>
      <c r="C1644">
        <v>200</v>
      </c>
      <c r="D1644" t="s">
        <v>10255</v>
      </c>
      <c r="F1644">
        <v>32</v>
      </c>
      <c r="G1644">
        <v>38</v>
      </c>
    </row>
    <row r="1645" spans="1:7" x14ac:dyDescent="0.25">
      <c r="A1645">
        <v>1643</v>
      </c>
      <c r="B1645">
        <v>69</v>
      </c>
      <c r="C1645">
        <v>200</v>
      </c>
      <c r="D1645" t="s">
        <v>10256</v>
      </c>
      <c r="E1645" t="s">
        <v>10257</v>
      </c>
      <c r="F1645">
        <v>32</v>
      </c>
      <c r="G1645">
        <v>37</v>
      </c>
    </row>
    <row r="1646" spans="1:7" x14ac:dyDescent="0.25">
      <c r="A1646">
        <v>1644</v>
      </c>
      <c r="B1646">
        <v>23</v>
      </c>
      <c r="C1646">
        <v>200</v>
      </c>
      <c r="D1646" t="s">
        <v>10258</v>
      </c>
      <c r="F1646">
        <v>32</v>
      </c>
      <c r="G1646">
        <v>37</v>
      </c>
    </row>
    <row r="1647" spans="1:7" x14ac:dyDescent="0.25">
      <c r="A1647">
        <v>1645</v>
      </c>
      <c r="B1647">
        <v>14</v>
      </c>
      <c r="C1647">
        <v>200</v>
      </c>
      <c r="D1647" t="s">
        <v>10259</v>
      </c>
      <c r="F1647">
        <v>32</v>
      </c>
      <c r="G1647">
        <v>38</v>
      </c>
    </row>
    <row r="1648" spans="1:7" x14ac:dyDescent="0.25">
      <c r="A1648">
        <v>1646</v>
      </c>
      <c r="B1648">
        <v>4</v>
      </c>
      <c r="C1648">
        <v>200</v>
      </c>
      <c r="D1648" t="s">
        <v>10260</v>
      </c>
      <c r="F1648">
        <v>32</v>
      </c>
      <c r="G1648">
        <v>37</v>
      </c>
    </row>
    <row r="1649" spans="1:7" x14ac:dyDescent="0.25">
      <c r="A1649">
        <v>1647</v>
      </c>
      <c r="B1649">
        <v>14</v>
      </c>
      <c r="C1649">
        <v>200</v>
      </c>
      <c r="D1649" t="s">
        <v>10261</v>
      </c>
      <c r="F1649">
        <v>32</v>
      </c>
      <c r="G1649">
        <v>37</v>
      </c>
    </row>
    <row r="1650" spans="1:7" x14ac:dyDescent="0.25">
      <c r="A1650">
        <v>1648</v>
      </c>
      <c r="B1650">
        <v>61</v>
      </c>
      <c r="C1650">
        <v>200</v>
      </c>
      <c r="D1650" t="s">
        <v>10262</v>
      </c>
      <c r="F1650">
        <v>32</v>
      </c>
      <c r="G1650">
        <v>37</v>
      </c>
    </row>
    <row r="1651" spans="1:7" x14ac:dyDescent="0.25">
      <c r="A1651">
        <v>1649</v>
      </c>
      <c r="B1651">
        <v>54</v>
      </c>
      <c r="C1651">
        <v>200</v>
      </c>
      <c r="D1651" t="s">
        <v>10263</v>
      </c>
      <c r="F1651">
        <v>32</v>
      </c>
      <c r="G1651">
        <v>37</v>
      </c>
    </row>
    <row r="1652" spans="1:7" x14ac:dyDescent="0.25">
      <c r="A1652">
        <v>1650</v>
      </c>
      <c r="B1652">
        <v>58</v>
      </c>
      <c r="C1652">
        <v>200</v>
      </c>
      <c r="D1652" t="s">
        <v>10264</v>
      </c>
      <c r="F1652">
        <v>32</v>
      </c>
      <c r="G1652">
        <v>37</v>
      </c>
    </row>
    <row r="1653" spans="1:7" x14ac:dyDescent="0.25">
      <c r="A1653">
        <v>1651</v>
      </c>
      <c r="B1653">
        <v>84</v>
      </c>
      <c r="C1653">
        <v>200</v>
      </c>
      <c r="D1653" t="s">
        <v>10265</v>
      </c>
      <c r="E1653" t="s">
        <v>10265</v>
      </c>
      <c r="F1653">
        <v>32</v>
      </c>
      <c r="G1653">
        <v>38</v>
      </c>
    </row>
    <row r="1654" spans="1:7" x14ac:dyDescent="0.25">
      <c r="A1654">
        <v>1652</v>
      </c>
      <c r="B1654">
        <v>58</v>
      </c>
      <c r="C1654">
        <v>200</v>
      </c>
      <c r="D1654" t="s">
        <v>10266</v>
      </c>
      <c r="F1654">
        <v>32</v>
      </c>
      <c r="G1654">
        <v>37</v>
      </c>
    </row>
    <row r="1655" spans="1:7" x14ac:dyDescent="0.25">
      <c r="A1655">
        <v>1653</v>
      </c>
      <c r="B1655">
        <v>10</v>
      </c>
      <c r="C1655">
        <v>200</v>
      </c>
      <c r="D1655" t="s">
        <v>10267</v>
      </c>
      <c r="F1655">
        <v>32</v>
      </c>
      <c r="G1655">
        <v>37</v>
      </c>
    </row>
    <row r="1656" spans="1:7" x14ac:dyDescent="0.25">
      <c r="A1656">
        <v>1654</v>
      </c>
      <c r="B1656">
        <v>84</v>
      </c>
      <c r="C1656">
        <v>200</v>
      </c>
      <c r="D1656" t="s">
        <v>10268</v>
      </c>
      <c r="F1656">
        <v>32</v>
      </c>
      <c r="G1656">
        <v>37</v>
      </c>
    </row>
    <row r="1657" spans="1:7" x14ac:dyDescent="0.25">
      <c r="A1657">
        <v>1655</v>
      </c>
      <c r="B1657">
        <v>14</v>
      </c>
      <c r="C1657">
        <v>200</v>
      </c>
      <c r="D1657" t="s">
        <v>10269</v>
      </c>
      <c r="F1657">
        <v>32</v>
      </c>
      <c r="G1657">
        <v>37</v>
      </c>
    </row>
    <row r="1658" spans="1:7" x14ac:dyDescent="0.25">
      <c r="A1658">
        <v>1656</v>
      </c>
      <c r="B1658">
        <v>19</v>
      </c>
      <c r="C1658">
        <v>200</v>
      </c>
      <c r="D1658" t="s">
        <v>10270</v>
      </c>
      <c r="F1658">
        <v>32</v>
      </c>
      <c r="G1658">
        <v>37</v>
      </c>
    </row>
    <row r="1659" spans="1:7" x14ac:dyDescent="0.25">
      <c r="A1659">
        <v>1657</v>
      </c>
      <c r="B1659">
        <v>10</v>
      </c>
      <c r="C1659">
        <v>200</v>
      </c>
      <c r="D1659" t="s">
        <v>10271</v>
      </c>
      <c r="F1659">
        <v>32</v>
      </c>
      <c r="G1659">
        <v>37</v>
      </c>
    </row>
    <row r="1660" spans="1:7" x14ac:dyDescent="0.25">
      <c r="A1660">
        <v>1658</v>
      </c>
      <c r="B1660">
        <v>45</v>
      </c>
      <c r="C1660">
        <v>200</v>
      </c>
      <c r="D1660" t="s">
        <v>10272</v>
      </c>
      <c r="F1660">
        <v>32</v>
      </c>
      <c r="G1660">
        <v>37</v>
      </c>
    </row>
    <row r="1661" spans="1:7" x14ac:dyDescent="0.25">
      <c r="A1661">
        <v>1659</v>
      </c>
      <c r="B1661">
        <v>54</v>
      </c>
      <c r="C1661">
        <v>200</v>
      </c>
      <c r="D1661" t="s">
        <v>10273</v>
      </c>
      <c r="F1661">
        <v>32</v>
      </c>
      <c r="G1661">
        <v>37</v>
      </c>
    </row>
    <row r="1662" spans="1:7" x14ac:dyDescent="0.25">
      <c r="A1662">
        <v>1660</v>
      </c>
      <c r="B1662">
        <v>78</v>
      </c>
      <c r="C1662">
        <v>200</v>
      </c>
      <c r="D1662" t="s">
        <v>10274</v>
      </c>
      <c r="F1662">
        <v>32</v>
      </c>
      <c r="G1662">
        <v>37</v>
      </c>
    </row>
    <row r="1663" spans="1:7" x14ac:dyDescent="0.25">
      <c r="A1663">
        <v>1661</v>
      </c>
      <c r="B1663">
        <v>78</v>
      </c>
      <c r="C1663">
        <v>200</v>
      </c>
      <c r="D1663" t="s">
        <v>10275</v>
      </c>
      <c r="F1663">
        <v>32</v>
      </c>
      <c r="G1663">
        <v>37</v>
      </c>
    </row>
    <row r="1664" spans="1:7" x14ac:dyDescent="0.25">
      <c r="A1664">
        <v>1662</v>
      </c>
      <c r="B1664">
        <v>79</v>
      </c>
      <c r="C1664">
        <v>200</v>
      </c>
      <c r="D1664" t="s">
        <v>10276</v>
      </c>
      <c r="F1664">
        <v>32</v>
      </c>
      <c r="G1664">
        <v>37</v>
      </c>
    </row>
    <row r="1665" spans="1:7" x14ac:dyDescent="0.25">
      <c r="A1665">
        <v>1663</v>
      </c>
      <c r="B1665">
        <v>13</v>
      </c>
      <c r="C1665">
        <v>200</v>
      </c>
      <c r="D1665" t="s">
        <v>10277</v>
      </c>
      <c r="F1665">
        <v>32</v>
      </c>
      <c r="G1665">
        <v>37</v>
      </c>
    </row>
    <row r="1666" spans="1:7" x14ac:dyDescent="0.25">
      <c r="A1666">
        <v>1664</v>
      </c>
      <c r="B1666">
        <v>79</v>
      </c>
      <c r="C1666">
        <v>200</v>
      </c>
      <c r="D1666" t="s">
        <v>10278</v>
      </c>
      <c r="F1666">
        <v>32</v>
      </c>
      <c r="G1666">
        <v>37</v>
      </c>
    </row>
    <row r="1667" spans="1:7" x14ac:dyDescent="0.25">
      <c r="A1667">
        <v>1665</v>
      </c>
      <c r="B1667">
        <v>23</v>
      </c>
      <c r="C1667">
        <v>200</v>
      </c>
      <c r="D1667" t="s">
        <v>10279</v>
      </c>
      <c r="F1667">
        <v>32</v>
      </c>
      <c r="G1667">
        <v>37</v>
      </c>
    </row>
    <row r="1668" spans="1:7" x14ac:dyDescent="0.25">
      <c r="A1668">
        <v>1666</v>
      </c>
      <c r="B1668">
        <v>24</v>
      </c>
      <c r="C1668">
        <v>0</v>
      </c>
      <c r="D1668" t="s">
        <v>10280</v>
      </c>
      <c r="F1668">
        <v>32</v>
      </c>
      <c r="G1668">
        <v>38</v>
      </c>
    </row>
    <row r="1669" spans="1:7" x14ac:dyDescent="0.25">
      <c r="A1669">
        <v>1667</v>
      </c>
      <c r="B1669">
        <v>23</v>
      </c>
      <c r="C1669">
        <v>0</v>
      </c>
      <c r="D1669" t="s">
        <v>10281</v>
      </c>
      <c r="F1669">
        <v>32</v>
      </c>
      <c r="G1669">
        <v>38</v>
      </c>
    </row>
    <row r="1670" spans="1:7" x14ac:dyDescent="0.25">
      <c r="A1670">
        <v>1668</v>
      </c>
      <c r="B1670">
        <v>54</v>
      </c>
      <c r="C1670">
        <v>200</v>
      </c>
      <c r="D1670" t="s">
        <v>10282</v>
      </c>
      <c r="F1670">
        <v>32</v>
      </c>
      <c r="G1670">
        <v>38</v>
      </c>
    </row>
    <row r="1671" spans="1:7" x14ac:dyDescent="0.25">
      <c r="A1671">
        <v>1669</v>
      </c>
      <c r="B1671">
        <v>84</v>
      </c>
      <c r="C1671">
        <v>200</v>
      </c>
      <c r="D1671" t="s">
        <v>10283</v>
      </c>
      <c r="F1671">
        <v>32</v>
      </c>
      <c r="G1671">
        <v>37</v>
      </c>
    </row>
    <row r="1672" spans="1:7" x14ac:dyDescent="0.25">
      <c r="A1672">
        <v>1670</v>
      </c>
      <c r="B1672">
        <v>2</v>
      </c>
      <c r="C1672">
        <v>200</v>
      </c>
      <c r="D1672" t="s">
        <v>10284</v>
      </c>
      <c r="F1672">
        <v>32</v>
      </c>
      <c r="G1672">
        <v>37</v>
      </c>
    </row>
    <row r="1673" spans="1:7" x14ac:dyDescent="0.25">
      <c r="A1673">
        <v>1671</v>
      </c>
      <c r="B1673">
        <v>14</v>
      </c>
      <c r="C1673">
        <v>200</v>
      </c>
      <c r="D1673" t="s">
        <v>10285</v>
      </c>
      <c r="F1673">
        <v>32</v>
      </c>
      <c r="G1673">
        <v>37</v>
      </c>
    </row>
    <row r="1674" spans="1:7" x14ac:dyDescent="0.25">
      <c r="A1674">
        <v>1672</v>
      </c>
      <c r="B1674">
        <v>54</v>
      </c>
      <c r="C1674">
        <v>200</v>
      </c>
      <c r="D1674" t="s">
        <v>10286</v>
      </c>
      <c r="F1674">
        <v>32</v>
      </c>
      <c r="G1674">
        <v>37</v>
      </c>
    </row>
    <row r="1675" spans="1:7" x14ac:dyDescent="0.25">
      <c r="A1675">
        <v>1673</v>
      </c>
      <c r="B1675">
        <v>10</v>
      </c>
      <c r="C1675">
        <v>200</v>
      </c>
      <c r="D1675" t="s">
        <v>10287</v>
      </c>
      <c r="E1675" t="s">
        <v>10287</v>
      </c>
      <c r="F1675">
        <v>32</v>
      </c>
      <c r="G1675">
        <v>37</v>
      </c>
    </row>
    <row r="1676" spans="1:7" x14ac:dyDescent="0.25">
      <c r="A1676">
        <v>1674</v>
      </c>
      <c r="B1676">
        <v>66</v>
      </c>
      <c r="C1676">
        <v>200</v>
      </c>
      <c r="D1676" t="s">
        <v>10288</v>
      </c>
      <c r="F1676">
        <v>32</v>
      </c>
      <c r="G1676">
        <v>37</v>
      </c>
    </row>
    <row r="1677" spans="1:7" x14ac:dyDescent="0.25">
      <c r="A1677">
        <v>1675</v>
      </c>
      <c r="B1677">
        <v>79</v>
      </c>
      <c r="C1677">
        <v>200</v>
      </c>
      <c r="D1677" t="s">
        <v>10289</v>
      </c>
      <c r="F1677">
        <v>32</v>
      </c>
      <c r="G1677">
        <v>37</v>
      </c>
    </row>
    <row r="1678" spans="1:7" x14ac:dyDescent="0.25">
      <c r="A1678">
        <v>1676</v>
      </c>
      <c r="B1678">
        <v>45</v>
      </c>
      <c r="C1678">
        <v>200</v>
      </c>
      <c r="D1678" t="s">
        <v>10290</v>
      </c>
      <c r="F1678">
        <v>32</v>
      </c>
      <c r="G1678">
        <v>38</v>
      </c>
    </row>
    <row r="1679" spans="1:7" x14ac:dyDescent="0.25">
      <c r="A1679">
        <v>1677</v>
      </c>
      <c r="B1679">
        <v>10</v>
      </c>
      <c r="C1679">
        <v>200</v>
      </c>
      <c r="D1679" t="s">
        <v>10291</v>
      </c>
      <c r="F1679">
        <v>32</v>
      </c>
      <c r="G1679">
        <v>37</v>
      </c>
    </row>
    <row r="1680" spans="1:7" x14ac:dyDescent="0.25">
      <c r="A1680">
        <v>1678</v>
      </c>
      <c r="B1680">
        <v>25</v>
      </c>
      <c r="C1680">
        <v>200</v>
      </c>
      <c r="D1680" t="s">
        <v>10292</v>
      </c>
      <c r="F1680">
        <v>32</v>
      </c>
      <c r="G1680">
        <v>37</v>
      </c>
    </row>
    <row r="1681" spans="1:7" x14ac:dyDescent="0.25">
      <c r="A1681">
        <v>1679</v>
      </c>
      <c r="B1681">
        <v>12</v>
      </c>
      <c r="C1681">
        <v>200</v>
      </c>
      <c r="D1681" t="s">
        <v>10293</v>
      </c>
      <c r="F1681">
        <v>32</v>
      </c>
      <c r="G1681">
        <v>37</v>
      </c>
    </row>
    <row r="1682" spans="1:7" x14ac:dyDescent="0.25">
      <c r="A1682">
        <v>1680</v>
      </c>
      <c r="B1682">
        <v>45</v>
      </c>
      <c r="C1682">
        <v>200</v>
      </c>
      <c r="D1682" t="s">
        <v>10294</v>
      </c>
      <c r="F1682">
        <v>32</v>
      </c>
      <c r="G1682">
        <v>38</v>
      </c>
    </row>
    <row r="1683" spans="1:7" x14ac:dyDescent="0.25">
      <c r="A1683">
        <v>1681</v>
      </c>
      <c r="B1683">
        <v>19</v>
      </c>
      <c r="C1683">
        <v>200</v>
      </c>
      <c r="D1683" t="s">
        <v>10295</v>
      </c>
      <c r="F1683">
        <v>32</v>
      </c>
      <c r="G1683">
        <v>37</v>
      </c>
    </row>
    <row r="1684" spans="1:7" x14ac:dyDescent="0.25">
      <c r="A1684">
        <v>1682</v>
      </c>
      <c r="B1684">
        <v>23</v>
      </c>
      <c r="C1684">
        <v>200</v>
      </c>
      <c r="D1684" t="s">
        <v>10296</v>
      </c>
      <c r="F1684">
        <v>32</v>
      </c>
      <c r="G1684">
        <v>37</v>
      </c>
    </row>
    <row r="1685" spans="1:7" x14ac:dyDescent="0.25">
      <c r="A1685">
        <v>1683</v>
      </c>
      <c r="B1685">
        <v>10</v>
      </c>
      <c r="C1685">
        <v>200</v>
      </c>
      <c r="D1685" t="s">
        <v>10297</v>
      </c>
      <c r="F1685">
        <v>32</v>
      </c>
      <c r="G1685">
        <v>38</v>
      </c>
    </row>
    <row r="1686" spans="1:7" x14ac:dyDescent="0.25">
      <c r="A1686">
        <v>1684</v>
      </c>
      <c r="B1686">
        <v>69</v>
      </c>
      <c r="C1686">
        <v>200</v>
      </c>
      <c r="D1686" t="s">
        <v>10298</v>
      </c>
      <c r="F1686">
        <v>32</v>
      </c>
      <c r="G1686">
        <v>37</v>
      </c>
    </row>
    <row r="1687" spans="1:7" x14ac:dyDescent="0.25">
      <c r="A1687">
        <v>1685</v>
      </c>
      <c r="B1687">
        <v>34</v>
      </c>
      <c r="C1687">
        <v>200</v>
      </c>
      <c r="D1687" t="s">
        <v>10299</v>
      </c>
      <c r="F1687">
        <v>32</v>
      </c>
      <c r="G1687">
        <v>37</v>
      </c>
    </row>
    <row r="1688" spans="1:7" x14ac:dyDescent="0.25">
      <c r="A1688">
        <v>1686</v>
      </c>
      <c r="B1688">
        <v>10</v>
      </c>
      <c r="C1688">
        <v>300</v>
      </c>
      <c r="D1688" t="s">
        <v>10300</v>
      </c>
      <c r="F1688">
        <v>32</v>
      </c>
      <c r="G1688">
        <v>37</v>
      </c>
    </row>
    <row r="1689" spans="1:7" x14ac:dyDescent="0.25">
      <c r="A1689">
        <v>1687</v>
      </c>
      <c r="B1689">
        <v>10</v>
      </c>
      <c r="C1689">
        <v>200</v>
      </c>
      <c r="D1689" t="s">
        <v>10301</v>
      </c>
      <c r="F1689">
        <v>32</v>
      </c>
      <c r="G1689">
        <v>38</v>
      </c>
    </row>
    <row r="1690" spans="1:7" x14ac:dyDescent="0.25">
      <c r="A1690">
        <v>1688</v>
      </c>
      <c r="B1690">
        <v>10</v>
      </c>
      <c r="C1690">
        <v>200</v>
      </c>
      <c r="D1690" t="s">
        <v>10302</v>
      </c>
      <c r="F1690">
        <v>32</v>
      </c>
      <c r="G1690">
        <v>38</v>
      </c>
    </row>
    <row r="1691" spans="1:7" x14ac:dyDescent="0.25">
      <c r="A1691">
        <v>1689</v>
      </c>
      <c r="B1691">
        <v>69</v>
      </c>
      <c r="C1691">
        <v>200</v>
      </c>
      <c r="D1691" t="s">
        <v>10303</v>
      </c>
      <c r="F1691">
        <v>32</v>
      </c>
      <c r="G1691">
        <v>37</v>
      </c>
    </row>
    <row r="1692" spans="1:7" x14ac:dyDescent="0.25">
      <c r="A1692">
        <v>1690</v>
      </c>
      <c r="B1692">
        <v>79</v>
      </c>
      <c r="C1692">
        <v>200</v>
      </c>
      <c r="D1692" t="s">
        <v>10304</v>
      </c>
      <c r="F1692">
        <v>32</v>
      </c>
      <c r="G1692">
        <v>37</v>
      </c>
    </row>
    <row r="1693" spans="1:7" x14ac:dyDescent="0.25">
      <c r="A1693">
        <v>1691</v>
      </c>
      <c r="B1693">
        <v>10</v>
      </c>
      <c r="C1693">
        <v>200</v>
      </c>
      <c r="D1693" t="s">
        <v>10305</v>
      </c>
      <c r="F1693">
        <v>32</v>
      </c>
      <c r="G1693">
        <v>37</v>
      </c>
    </row>
    <row r="1694" spans="1:7" x14ac:dyDescent="0.25">
      <c r="A1694">
        <v>1692</v>
      </c>
      <c r="B1694">
        <v>24</v>
      </c>
      <c r="C1694">
        <v>200</v>
      </c>
      <c r="D1694" t="s">
        <v>10306</v>
      </c>
      <c r="F1694">
        <v>32</v>
      </c>
      <c r="G1694">
        <v>37</v>
      </c>
    </row>
    <row r="1695" spans="1:7" x14ac:dyDescent="0.25">
      <c r="A1695">
        <v>1693</v>
      </c>
      <c r="B1695">
        <v>14</v>
      </c>
      <c r="C1695">
        <v>200</v>
      </c>
      <c r="D1695" t="s">
        <v>10307</v>
      </c>
      <c r="F1695">
        <v>32</v>
      </c>
      <c r="G1695">
        <v>37</v>
      </c>
    </row>
    <row r="1696" spans="1:7" x14ac:dyDescent="0.25">
      <c r="A1696">
        <v>1694</v>
      </c>
      <c r="B1696">
        <v>69</v>
      </c>
      <c r="C1696">
        <v>200</v>
      </c>
      <c r="D1696" t="s">
        <v>10308</v>
      </c>
      <c r="F1696">
        <v>32</v>
      </c>
      <c r="G1696">
        <v>38</v>
      </c>
    </row>
    <row r="1697" spans="1:7" x14ac:dyDescent="0.25">
      <c r="A1697">
        <v>1695</v>
      </c>
      <c r="B1697">
        <v>23</v>
      </c>
      <c r="C1697">
        <v>200</v>
      </c>
      <c r="D1697" t="s">
        <v>10309</v>
      </c>
      <c r="F1697">
        <v>32</v>
      </c>
      <c r="G1697">
        <v>37</v>
      </c>
    </row>
    <row r="1698" spans="1:7" x14ac:dyDescent="0.25">
      <c r="A1698">
        <v>1696</v>
      </c>
      <c r="B1698">
        <v>45</v>
      </c>
      <c r="C1698">
        <v>200</v>
      </c>
      <c r="D1698" t="s">
        <v>10310</v>
      </c>
      <c r="F1698">
        <v>32</v>
      </c>
      <c r="G1698">
        <v>38</v>
      </c>
    </row>
    <row r="1699" spans="1:7" x14ac:dyDescent="0.25">
      <c r="A1699">
        <v>1697</v>
      </c>
      <c r="B1699">
        <v>55</v>
      </c>
      <c r="C1699">
        <v>200</v>
      </c>
      <c r="D1699" t="s">
        <v>10311</v>
      </c>
      <c r="F1699">
        <v>32</v>
      </c>
      <c r="G1699">
        <v>38</v>
      </c>
    </row>
    <row r="1700" spans="1:7" x14ac:dyDescent="0.25">
      <c r="A1700">
        <v>1698</v>
      </c>
      <c r="B1700">
        <v>12</v>
      </c>
      <c r="C1700">
        <v>200</v>
      </c>
      <c r="D1700" t="s">
        <v>10312</v>
      </c>
      <c r="F1700">
        <v>32</v>
      </c>
      <c r="G1700">
        <v>37</v>
      </c>
    </row>
    <row r="1701" spans="1:7" x14ac:dyDescent="0.25">
      <c r="A1701">
        <v>1699</v>
      </c>
      <c r="B1701">
        <v>10</v>
      </c>
      <c r="C1701">
        <v>200</v>
      </c>
      <c r="D1701" t="s">
        <v>10313</v>
      </c>
      <c r="F1701">
        <v>32</v>
      </c>
      <c r="G1701">
        <v>37</v>
      </c>
    </row>
    <row r="1702" spans="1:7" x14ac:dyDescent="0.25">
      <c r="A1702">
        <v>1700</v>
      </c>
      <c r="B1702">
        <v>14</v>
      </c>
      <c r="C1702">
        <v>200</v>
      </c>
      <c r="D1702" t="s">
        <v>10314</v>
      </c>
      <c r="F1702">
        <v>32</v>
      </c>
      <c r="G1702">
        <v>37</v>
      </c>
    </row>
    <row r="1703" spans="1:7" x14ac:dyDescent="0.25">
      <c r="A1703">
        <v>1701</v>
      </c>
      <c r="B1703">
        <v>58</v>
      </c>
      <c r="C1703">
        <v>200</v>
      </c>
      <c r="D1703" t="s">
        <v>10315</v>
      </c>
      <c r="F1703">
        <v>32</v>
      </c>
      <c r="G1703">
        <v>37</v>
      </c>
    </row>
    <row r="1704" spans="1:7" x14ac:dyDescent="0.25">
      <c r="A1704">
        <v>1702</v>
      </c>
      <c r="B1704">
        <v>14</v>
      </c>
      <c r="C1704">
        <v>200</v>
      </c>
      <c r="D1704" t="s">
        <v>10316</v>
      </c>
      <c r="F1704">
        <v>32</v>
      </c>
      <c r="G1704">
        <v>37</v>
      </c>
    </row>
    <row r="1705" spans="1:7" x14ac:dyDescent="0.25">
      <c r="A1705">
        <v>1703</v>
      </c>
      <c r="B1705">
        <v>25</v>
      </c>
      <c r="C1705">
        <v>200</v>
      </c>
      <c r="D1705" t="s">
        <v>10317</v>
      </c>
      <c r="F1705">
        <v>32</v>
      </c>
      <c r="G1705">
        <v>37</v>
      </c>
    </row>
    <row r="1706" spans="1:7" x14ac:dyDescent="0.25">
      <c r="A1706">
        <v>1704</v>
      </c>
      <c r="B1706">
        <v>69</v>
      </c>
      <c r="C1706">
        <v>200</v>
      </c>
      <c r="D1706" t="s">
        <v>10318</v>
      </c>
      <c r="F1706">
        <v>32</v>
      </c>
      <c r="G1706">
        <v>37</v>
      </c>
    </row>
    <row r="1707" spans="1:7" x14ac:dyDescent="0.25">
      <c r="A1707">
        <v>1705</v>
      </c>
      <c r="B1707">
        <v>65</v>
      </c>
      <c r="C1707">
        <v>200</v>
      </c>
      <c r="D1707" t="s">
        <v>10319</v>
      </c>
      <c r="F1707">
        <v>32</v>
      </c>
      <c r="G1707">
        <v>37</v>
      </c>
    </row>
    <row r="1708" spans="1:7" x14ac:dyDescent="0.25">
      <c r="A1708">
        <v>1706</v>
      </c>
      <c r="B1708">
        <v>14</v>
      </c>
      <c r="C1708">
        <v>200</v>
      </c>
      <c r="D1708" t="s">
        <v>9713</v>
      </c>
      <c r="F1708">
        <v>32</v>
      </c>
      <c r="G1708">
        <v>38</v>
      </c>
    </row>
    <row r="1709" spans="1:7" x14ac:dyDescent="0.25">
      <c r="A1709">
        <v>1707</v>
      </c>
      <c r="B1709">
        <v>23</v>
      </c>
      <c r="C1709">
        <v>200</v>
      </c>
      <c r="D1709" t="s">
        <v>10320</v>
      </c>
      <c r="F1709">
        <v>32</v>
      </c>
      <c r="G1709">
        <v>38</v>
      </c>
    </row>
    <row r="1710" spans="1:7" x14ac:dyDescent="0.25">
      <c r="A1710">
        <v>1708</v>
      </c>
      <c r="B1710">
        <v>79</v>
      </c>
      <c r="C1710">
        <v>200</v>
      </c>
      <c r="D1710" t="s">
        <v>10321</v>
      </c>
      <c r="F1710">
        <v>32</v>
      </c>
      <c r="G1710">
        <v>37</v>
      </c>
    </row>
    <row r="1711" spans="1:7" x14ac:dyDescent="0.25">
      <c r="A1711">
        <v>1709</v>
      </c>
      <c r="B1711">
        <v>25</v>
      </c>
      <c r="C1711">
        <v>200</v>
      </c>
      <c r="D1711" t="s">
        <v>10322</v>
      </c>
      <c r="F1711">
        <v>32</v>
      </c>
      <c r="G1711">
        <v>37</v>
      </c>
    </row>
    <row r="1712" spans="1:7" x14ac:dyDescent="0.25">
      <c r="A1712">
        <v>1710</v>
      </c>
      <c r="B1712">
        <v>10</v>
      </c>
      <c r="C1712">
        <v>200</v>
      </c>
      <c r="D1712" t="s">
        <v>10323</v>
      </c>
      <c r="F1712">
        <v>32</v>
      </c>
      <c r="G1712">
        <v>37</v>
      </c>
    </row>
    <row r="1713" spans="1:7" x14ac:dyDescent="0.25">
      <c r="A1713">
        <v>1711</v>
      </c>
      <c r="B1713">
        <v>10</v>
      </c>
      <c r="C1713">
        <v>200</v>
      </c>
      <c r="D1713" t="s">
        <v>10324</v>
      </c>
      <c r="F1713">
        <v>32</v>
      </c>
      <c r="G1713">
        <v>38</v>
      </c>
    </row>
    <row r="1714" spans="1:7" x14ac:dyDescent="0.25">
      <c r="A1714">
        <v>1712</v>
      </c>
      <c r="B1714">
        <v>23</v>
      </c>
      <c r="C1714">
        <v>200</v>
      </c>
      <c r="D1714" t="s">
        <v>10325</v>
      </c>
      <c r="F1714">
        <v>32</v>
      </c>
      <c r="G1714">
        <v>37</v>
      </c>
    </row>
    <row r="1715" spans="1:7" x14ac:dyDescent="0.25">
      <c r="A1715">
        <v>1713</v>
      </c>
      <c r="B1715">
        <v>8</v>
      </c>
      <c r="C1715">
        <v>200</v>
      </c>
      <c r="D1715" t="s">
        <v>10326</v>
      </c>
      <c r="F1715">
        <v>32</v>
      </c>
      <c r="G1715">
        <v>37</v>
      </c>
    </row>
    <row r="1716" spans="1:7" x14ac:dyDescent="0.25">
      <c r="A1716">
        <v>1714</v>
      </c>
      <c r="B1716">
        <v>4</v>
      </c>
      <c r="C1716">
        <v>200</v>
      </c>
      <c r="D1716" t="s">
        <v>10327</v>
      </c>
      <c r="F1716">
        <v>32</v>
      </c>
      <c r="G1716">
        <v>37</v>
      </c>
    </row>
    <row r="1717" spans="1:7" x14ac:dyDescent="0.25">
      <c r="A1717">
        <v>1715</v>
      </c>
      <c r="B1717">
        <v>10</v>
      </c>
      <c r="C1717">
        <v>200</v>
      </c>
      <c r="D1717" t="s">
        <v>10328</v>
      </c>
      <c r="F1717">
        <v>32</v>
      </c>
      <c r="G1717">
        <v>37</v>
      </c>
    </row>
    <row r="1718" spans="1:7" x14ac:dyDescent="0.25">
      <c r="A1718">
        <v>1716</v>
      </c>
      <c r="B1718">
        <v>14</v>
      </c>
      <c r="C1718">
        <v>200</v>
      </c>
      <c r="D1718" t="s">
        <v>10107</v>
      </c>
      <c r="F1718">
        <v>32</v>
      </c>
      <c r="G1718">
        <v>37</v>
      </c>
    </row>
    <row r="1719" spans="1:7" x14ac:dyDescent="0.25">
      <c r="A1719">
        <v>1717</v>
      </c>
      <c r="B1719">
        <v>25</v>
      </c>
      <c r="C1719">
        <v>200</v>
      </c>
      <c r="D1719" t="s">
        <v>10329</v>
      </c>
      <c r="F1719">
        <v>32</v>
      </c>
      <c r="G1719">
        <v>37</v>
      </c>
    </row>
    <row r="1720" spans="1:7" x14ac:dyDescent="0.25">
      <c r="A1720">
        <v>1718</v>
      </c>
      <c r="B1720">
        <v>54</v>
      </c>
      <c r="C1720">
        <v>200</v>
      </c>
      <c r="D1720" t="s">
        <v>10330</v>
      </c>
      <c r="F1720">
        <v>32</v>
      </c>
      <c r="G1720">
        <v>37</v>
      </c>
    </row>
    <row r="1721" spans="1:7" x14ac:dyDescent="0.25">
      <c r="A1721">
        <v>1719</v>
      </c>
      <c r="B1721">
        <v>2</v>
      </c>
      <c r="C1721">
        <v>200</v>
      </c>
      <c r="D1721" t="s">
        <v>10331</v>
      </c>
      <c r="F1721">
        <v>32</v>
      </c>
      <c r="G1721">
        <v>37</v>
      </c>
    </row>
    <row r="1722" spans="1:7" x14ac:dyDescent="0.25">
      <c r="A1722">
        <v>1720</v>
      </c>
      <c r="B1722">
        <v>10</v>
      </c>
      <c r="C1722">
        <v>200</v>
      </c>
      <c r="D1722" t="s">
        <v>10332</v>
      </c>
      <c r="F1722">
        <v>32</v>
      </c>
      <c r="G1722">
        <v>37</v>
      </c>
    </row>
    <row r="1723" spans="1:7" x14ac:dyDescent="0.25">
      <c r="A1723">
        <v>1721</v>
      </c>
      <c r="B1723">
        <v>42</v>
      </c>
      <c r="C1723">
        <v>200</v>
      </c>
      <c r="D1723" t="s">
        <v>10333</v>
      </c>
      <c r="F1723">
        <v>32</v>
      </c>
      <c r="G1723">
        <v>37</v>
      </c>
    </row>
    <row r="1724" spans="1:7" x14ac:dyDescent="0.25">
      <c r="A1724">
        <v>1722</v>
      </c>
      <c r="B1724">
        <v>79</v>
      </c>
      <c r="C1724">
        <v>200</v>
      </c>
      <c r="D1724" t="s">
        <v>10334</v>
      </c>
      <c r="F1724">
        <v>32</v>
      </c>
      <c r="G1724">
        <v>37</v>
      </c>
    </row>
    <row r="1725" spans="1:7" x14ac:dyDescent="0.25">
      <c r="A1725">
        <v>1723</v>
      </c>
      <c r="B1725">
        <v>10</v>
      </c>
      <c r="C1725">
        <v>200</v>
      </c>
      <c r="D1725" t="s">
        <v>10335</v>
      </c>
      <c r="F1725">
        <v>32</v>
      </c>
      <c r="G1725">
        <v>38</v>
      </c>
    </row>
    <row r="1726" spans="1:7" x14ac:dyDescent="0.25">
      <c r="A1726">
        <v>1724</v>
      </c>
      <c r="B1726">
        <v>54</v>
      </c>
      <c r="C1726">
        <v>200</v>
      </c>
      <c r="D1726" t="s">
        <v>10336</v>
      </c>
      <c r="F1726">
        <v>32</v>
      </c>
      <c r="G1726">
        <v>38</v>
      </c>
    </row>
    <row r="1727" spans="1:7" x14ac:dyDescent="0.25">
      <c r="A1727">
        <v>1725</v>
      </c>
      <c r="B1727">
        <v>78</v>
      </c>
      <c r="C1727">
        <v>300</v>
      </c>
      <c r="D1727" t="s">
        <v>10337</v>
      </c>
      <c r="F1727">
        <v>32</v>
      </c>
      <c r="G1727">
        <v>38</v>
      </c>
    </row>
    <row r="1728" spans="1:7" x14ac:dyDescent="0.25">
      <c r="A1728">
        <v>1726</v>
      </c>
      <c r="B1728">
        <v>10</v>
      </c>
      <c r="C1728">
        <v>200</v>
      </c>
      <c r="D1728" t="s">
        <v>10338</v>
      </c>
      <c r="F1728">
        <v>32</v>
      </c>
      <c r="G1728">
        <v>38</v>
      </c>
    </row>
    <row r="1729" spans="1:7" x14ac:dyDescent="0.25">
      <c r="A1729">
        <v>1727</v>
      </c>
      <c r="B1729">
        <v>2</v>
      </c>
      <c r="C1729">
        <v>200</v>
      </c>
      <c r="D1729" t="s">
        <v>10339</v>
      </c>
      <c r="F1729">
        <v>32</v>
      </c>
      <c r="G1729">
        <v>37</v>
      </c>
    </row>
    <row r="1730" spans="1:7" x14ac:dyDescent="0.25">
      <c r="A1730">
        <v>1728</v>
      </c>
      <c r="B1730">
        <v>79</v>
      </c>
      <c r="C1730">
        <v>200</v>
      </c>
      <c r="D1730" t="s">
        <v>10340</v>
      </c>
      <c r="F1730">
        <v>32</v>
      </c>
      <c r="G1730">
        <v>37</v>
      </c>
    </row>
    <row r="1731" spans="1:7" x14ac:dyDescent="0.25">
      <c r="A1731">
        <v>1729</v>
      </c>
      <c r="B1731">
        <v>10</v>
      </c>
      <c r="C1731">
        <v>200</v>
      </c>
      <c r="D1731" t="s">
        <v>10341</v>
      </c>
      <c r="F1731">
        <v>32</v>
      </c>
      <c r="G1731">
        <v>37</v>
      </c>
    </row>
    <row r="1732" spans="1:7" x14ac:dyDescent="0.25">
      <c r="A1732">
        <v>1730</v>
      </c>
      <c r="B1732">
        <v>53</v>
      </c>
      <c r="C1732">
        <v>200</v>
      </c>
      <c r="D1732" t="s">
        <v>10342</v>
      </c>
      <c r="F1732">
        <v>32</v>
      </c>
      <c r="G1732">
        <v>38</v>
      </c>
    </row>
    <row r="1733" spans="1:7" x14ac:dyDescent="0.25">
      <c r="A1733">
        <v>1731</v>
      </c>
      <c r="B1733">
        <v>23</v>
      </c>
      <c r="C1733">
        <v>200</v>
      </c>
      <c r="D1733" t="s">
        <v>10343</v>
      </c>
      <c r="E1733" t="s">
        <v>10343</v>
      </c>
      <c r="F1733">
        <v>32</v>
      </c>
      <c r="G1733">
        <v>37</v>
      </c>
    </row>
    <row r="1734" spans="1:7" x14ac:dyDescent="0.25">
      <c r="A1734">
        <v>1732</v>
      </c>
      <c r="B1734">
        <v>10</v>
      </c>
      <c r="C1734">
        <v>200</v>
      </c>
      <c r="D1734" t="s">
        <v>10344</v>
      </c>
      <c r="F1734">
        <v>32</v>
      </c>
      <c r="G1734">
        <v>37</v>
      </c>
    </row>
    <row r="1735" spans="1:7" x14ac:dyDescent="0.25">
      <c r="A1735">
        <v>1733</v>
      </c>
      <c r="B1735">
        <v>10</v>
      </c>
      <c r="C1735">
        <v>200</v>
      </c>
      <c r="D1735" t="s">
        <v>10345</v>
      </c>
      <c r="F1735">
        <v>32</v>
      </c>
      <c r="G1735">
        <v>38</v>
      </c>
    </row>
    <row r="1736" spans="1:7" x14ac:dyDescent="0.25">
      <c r="A1736">
        <v>1734</v>
      </c>
      <c r="B1736">
        <v>23</v>
      </c>
      <c r="C1736">
        <v>200</v>
      </c>
      <c r="D1736" t="s">
        <v>10346</v>
      </c>
      <c r="F1736">
        <v>32</v>
      </c>
      <c r="G1736">
        <v>37</v>
      </c>
    </row>
    <row r="1737" spans="1:7" x14ac:dyDescent="0.25">
      <c r="A1737">
        <v>1735</v>
      </c>
      <c r="B1737">
        <v>10</v>
      </c>
      <c r="C1737">
        <v>200</v>
      </c>
      <c r="D1737" t="s">
        <v>10347</v>
      </c>
      <c r="F1737">
        <v>32</v>
      </c>
      <c r="G1737">
        <v>37</v>
      </c>
    </row>
    <row r="1738" spans="1:7" x14ac:dyDescent="0.25">
      <c r="A1738">
        <v>1736</v>
      </c>
      <c r="B1738">
        <v>20</v>
      </c>
      <c r="C1738">
        <v>200</v>
      </c>
      <c r="D1738" t="s">
        <v>10348</v>
      </c>
      <c r="F1738">
        <v>32</v>
      </c>
      <c r="G1738">
        <v>38</v>
      </c>
    </row>
    <row r="1739" spans="1:7" x14ac:dyDescent="0.25">
      <c r="A1739">
        <v>1737</v>
      </c>
      <c r="B1739">
        <v>42</v>
      </c>
      <c r="C1739">
        <v>200</v>
      </c>
      <c r="D1739" t="s">
        <v>10349</v>
      </c>
      <c r="F1739">
        <v>32</v>
      </c>
      <c r="G1739">
        <v>37</v>
      </c>
    </row>
    <row r="1740" spans="1:7" x14ac:dyDescent="0.25">
      <c r="A1740">
        <v>1738</v>
      </c>
      <c r="B1740">
        <v>8</v>
      </c>
      <c r="C1740">
        <v>200</v>
      </c>
      <c r="D1740" t="s">
        <v>10350</v>
      </c>
      <c r="F1740">
        <v>32</v>
      </c>
      <c r="G1740">
        <v>37</v>
      </c>
    </row>
    <row r="1741" spans="1:7" x14ac:dyDescent="0.25">
      <c r="A1741">
        <v>1739</v>
      </c>
      <c r="B1741">
        <v>52</v>
      </c>
      <c r="C1741">
        <v>200</v>
      </c>
      <c r="D1741" t="s">
        <v>10351</v>
      </c>
      <c r="F1741">
        <v>32</v>
      </c>
      <c r="G1741">
        <v>38</v>
      </c>
    </row>
    <row r="1742" spans="1:7" x14ac:dyDescent="0.25">
      <c r="A1742">
        <v>1740</v>
      </c>
      <c r="B1742">
        <v>23</v>
      </c>
      <c r="C1742">
        <v>200</v>
      </c>
      <c r="D1742" t="s">
        <v>10352</v>
      </c>
      <c r="E1742" t="s">
        <v>10353</v>
      </c>
      <c r="F1742">
        <v>32</v>
      </c>
      <c r="G1742">
        <v>38</v>
      </c>
    </row>
    <row r="1743" spans="1:7" x14ac:dyDescent="0.25">
      <c r="A1743">
        <v>1741</v>
      </c>
      <c r="B1743">
        <v>45</v>
      </c>
      <c r="C1743">
        <v>200</v>
      </c>
      <c r="D1743" t="s">
        <v>10354</v>
      </c>
      <c r="E1743" t="s">
        <v>10354</v>
      </c>
      <c r="F1743">
        <v>32</v>
      </c>
      <c r="G1743">
        <v>38</v>
      </c>
    </row>
    <row r="1744" spans="1:7" x14ac:dyDescent="0.25">
      <c r="A1744">
        <v>1742</v>
      </c>
      <c r="B1744">
        <v>24</v>
      </c>
      <c r="C1744">
        <v>200</v>
      </c>
      <c r="D1744" t="s">
        <v>10355</v>
      </c>
      <c r="F1744">
        <v>32</v>
      </c>
      <c r="G1744">
        <v>38</v>
      </c>
    </row>
    <row r="1745" spans="1:7" x14ac:dyDescent="0.25">
      <c r="A1745">
        <v>1743</v>
      </c>
      <c r="B1745">
        <v>54</v>
      </c>
      <c r="C1745">
        <v>200</v>
      </c>
      <c r="D1745" t="s">
        <v>10356</v>
      </c>
      <c r="F1745">
        <v>32</v>
      </c>
      <c r="G1745">
        <v>38</v>
      </c>
    </row>
    <row r="1746" spans="1:7" x14ac:dyDescent="0.25">
      <c r="A1746">
        <v>1744</v>
      </c>
      <c r="B1746">
        <v>14</v>
      </c>
      <c r="C1746">
        <v>200</v>
      </c>
      <c r="D1746" t="s">
        <v>10357</v>
      </c>
      <c r="E1746" t="s">
        <v>10357</v>
      </c>
      <c r="F1746">
        <v>32</v>
      </c>
      <c r="G1746">
        <v>37</v>
      </c>
    </row>
    <row r="1747" spans="1:7" x14ac:dyDescent="0.25">
      <c r="A1747">
        <v>1745</v>
      </c>
      <c r="B1747">
        <v>69</v>
      </c>
      <c r="C1747">
        <v>200</v>
      </c>
      <c r="D1747" t="s">
        <v>10358</v>
      </c>
      <c r="E1747" t="s">
        <v>10358</v>
      </c>
      <c r="F1747">
        <v>32</v>
      </c>
      <c r="G1747">
        <v>37</v>
      </c>
    </row>
    <row r="1748" spans="1:7" x14ac:dyDescent="0.25">
      <c r="A1748">
        <v>1746</v>
      </c>
      <c r="B1748">
        <v>77</v>
      </c>
      <c r="C1748">
        <v>300</v>
      </c>
      <c r="D1748" t="s">
        <v>10359</v>
      </c>
      <c r="E1748" t="s">
        <v>10359</v>
      </c>
      <c r="F1748">
        <v>31</v>
      </c>
      <c r="G1748">
        <v>38</v>
      </c>
    </row>
    <row r="1749" spans="1:7" x14ac:dyDescent="0.25">
      <c r="A1749">
        <v>1747</v>
      </c>
      <c r="B1749">
        <v>4</v>
      </c>
      <c r="C1749">
        <v>0</v>
      </c>
      <c r="D1749" t="s">
        <v>10360</v>
      </c>
      <c r="E1749" t="s">
        <v>10360</v>
      </c>
      <c r="F1749">
        <v>32</v>
      </c>
      <c r="G1749">
        <v>37</v>
      </c>
    </row>
    <row r="1750" spans="1:7" x14ac:dyDescent="0.25">
      <c r="A1750">
        <v>1748</v>
      </c>
      <c r="B1750">
        <v>71</v>
      </c>
      <c r="C1750">
        <v>0</v>
      </c>
      <c r="D1750" t="s">
        <v>10361</v>
      </c>
      <c r="E1750" t="s">
        <v>10361</v>
      </c>
      <c r="F1750">
        <v>31</v>
      </c>
      <c r="G1750">
        <v>37</v>
      </c>
    </row>
    <row r="1751" spans="1:7" x14ac:dyDescent="0.25">
      <c r="A1751">
        <v>1749</v>
      </c>
      <c r="B1751">
        <v>14</v>
      </c>
      <c r="C1751">
        <v>0</v>
      </c>
      <c r="D1751" t="s">
        <v>10362</v>
      </c>
      <c r="E1751" t="s">
        <v>10362</v>
      </c>
      <c r="F1751">
        <v>31</v>
      </c>
      <c r="G1751">
        <v>37</v>
      </c>
    </row>
    <row r="1752" spans="1:7" x14ac:dyDescent="0.25">
      <c r="A1752">
        <v>1750</v>
      </c>
      <c r="B1752">
        <v>77</v>
      </c>
      <c r="C1752">
        <v>0</v>
      </c>
      <c r="D1752" t="s">
        <v>10363</v>
      </c>
      <c r="E1752" t="s">
        <v>10363</v>
      </c>
      <c r="F1752">
        <v>31</v>
      </c>
      <c r="G1752">
        <v>38</v>
      </c>
    </row>
    <row r="1753" spans="1:7" x14ac:dyDescent="0.25">
      <c r="A1753">
        <v>1751</v>
      </c>
      <c r="B1753">
        <v>71</v>
      </c>
      <c r="C1753">
        <v>0</v>
      </c>
      <c r="D1753" t="s">
        <v>10364</v>
      </c>
      <c r="E1753" t="s">
        <v>10364</v>
      </c>
      <c r="F1753">
        <v>32</v>
      </c>
      <c r="G1753">
        <v>38</v>
      </c>
    </row>
    <row r="1754" spans="1:7" x14ac:dyDescent="0.25">
      <c r="A1754">
        <v>1752</v>
      </c>
      <c r="B1754">
        <v>42</v>
      </c>
      <c r="C1754">
        <v>0</v>
      </c>
      <c r="D1754" t="s">
        <v>10365</v>
      </c>
      <c r="E1754" t="s">
        <v>10365</v>
      </c>
      <c r="F1754">
        <v>32</v>
      </c>
      <c r="G1754">
        <v>37</v>
      </c>
    </row>
    <row r="1755" spans="1:7" x14ac:dyDescent="0.25">
      <c r="A1755">
        <v>1753</v>
      </c>
      <c r="B1755">
        <v>10</v>
      </c>
      <c r="C1755">
        <v>0</v>
      </c>
      <c r="D1755" t="s">
        <v>10366</v>
      </c>
      <c r="E1755" t="s">
        <v>10366</v>
      </c>
      <c r="F1755">
        <v>32</v>
      </c>
      <c r="G1755">
        <v>37</v>
      </c>
    </row>
    <row r="1756" spans="1:7" x14ac:dyDescent="0.25">
      <c r="A1756">
        <v>1754</v>
      </c>
      <c r="B1756">
        <v>28</v>
      </c>
      <c r="C1756">
        <v>0</v>
      </c>
      <c r="D1756" t="s">
        <v>10367</v>
      </c>
      <c r="E1756" t="s">
        <v>10367</v>
      </c>
      <c r="F1756">
        <v>32</v>
      </c>
      <c r="G1756">
        <v>37</v>
      </c>
    </row>
    <row r="1757" spans="1:7" x14ac:dyDescent="0.25">
      <c r="A1757">
        <v>1755</v>
      </c>
      <c r="B1757">
        <v>59</v>
      </c>
      <c r="C1757">
        <v>0</v>
      </c>
      <c r="D1757" t="s">
        <v>10368</v>
      </c>
      <c r="E1757" t="s">
        <v>10368</v>
      </c>
      <c r="F1757">
        <v>32</v>
      </c>
      <c r="G1757">
        <v>37</v>
      </c>
    </row>
    <row r="1758" spans="1:7" x14ac:dyDescent="0.25">
      <c r="A1758">
        <v>1756</v>
      </c>
      <c r="B1758">
        <v>14</v>
      </c>
      <c r="C1758">
        <v>0</v>
      </c>
      <c r="D1758" t="s">
        <v>10369</v>
      </c>
      <c r="E1758" t="s">
        <v>10369</v>
      </c>
      <c r="F1758">
        <v>31</v>
      </c>
      <c r="G1758">
        <v>37</v>
      </c>
    </row>
    <row r="1759" spans="1:7" x14ac:dyDescent="0.25">
      <c r="A1759">
        <v>1757</v>
      </c>
      <c r="B1759">
        <v>15</v>
      </c>
      <c r="C1759">
        <v>0</v>
      </c>
      <c r="D1759" t="s">
        <v>10370</v>
      </c>
      <c r="E1759" t="s">
        <v>10370</v>
      </c>
      <c r="F1759">
        <v>31</v>
      </c>
      <c r="G1759">
        <v>38</v>
      </c>
    </row>
    <row r="1760" spans="1:7" x14ac:dyDescent="0.25">
      <c r="A1760">
        <v>1758</v>
      </c>
      <c r="B1760">
        <v>23</v>
      </c>
      <c r="C1760">
        <v>0</v>
      </c>
      <c r="D1760" t="s">
        <v>10371</v>
      </c>
      <c r="E1760" t="s">
        <v>10371</v>
      </c>
      <c r="F1760">
        <v>31</v>
      </c>
      <c r="G1760">
        <v>37</v>
      </c>
    </row>
    <row r="1761" spans="1:7" x14ac:dyDescent="0.25">
      <c r="A1761">
        <v>1759</v>
      </c>
      <c r="B1761">
        <v>7</v>
      </c>
      <c r="C1761">
        <v>0</v>
      </c>
      <c r="D1761" t="s">
        <v>10372</v>
      </c>
      <c r="E1761" t="s">
        <v>10372</v>
      </c>
      <c r="F1761">
        <v>32</v>
      </c>
      <c r="G1761">
        <v>37</v>
      </c>
    </row>
    <row r="1762" spans="1:7" x14ac:dyDescent="0.25">
      <c r="A1762">
        <v>1760</v>
      </c>
      <c r="B1762">
        <v>77</v>
      </c>
      <c r="C1762">
        <v>0</v>
      </c>
      <c r="D1762" t="s">
        <v>10373</v>
      </c>
      <c r="E1762" t="s">
        <v>10373</v>
      </c>
      <c r="F1762">
        <v>31</v>
      </c>
      <c r="G1762">
        <v>38</v>
      </c>
    </row>
    <row r="1763" spans="1:7" x14ac:dyDescent="0.25">
      <c r="A1763">
        <v>1761</v>
      </c>
      <c r="B1763">
        <v>55</v>
      </c>
      <c r="C1763">
        <v>0</v>
      </c>
      <c r="D1763" t="s">
        <v>10374</v>
      </c>
      <c r="E1763" t="s">
        <v>10374</v>
      </c>
      <c r="F1763">
        <v>32</v>
      </c>
      <c r="G1763">
        <v>38</v>
      </c>
    </row>
    <row r="1764" spans="1:7" x14ac:dyDescent="0.25">
      <c r="A1764">
        <v>1762</v>
      </c>
      <c r="B1764">
        <v>77</v>
      </c>
      <c r="C1764">
        <v>0</v>
      </c>
      <c r="D1764" t="s">
        <v>10375</v>
      </c>
      <c r="E1764" t="s">
        <v>10375</v>
      </c>
      <c r="F1764">
        <v>31</v>
      </c>
      <c r="G1764">
        <v>38</v>
      </c>
    </row>
    <row r="1765" spans="1:7" x14ac:dyDescent="0.25">
      <c r="A1765">
        <v>1763</v>
      </c>
      <c r="B1765">
        <v>69</v>
      </c>
      <c r="C1765">
        <v>0</v>
      </c>
      <c r="D1765" t="s">
        <v>10376</v>
      </c>
      <c r="E1765" t="s">
        <v>10376</v>
      </c>
      <c r="F1765">
        <v>32</v>
      </c>
      <c r="G1765">
        <v>37</v>
      </c>
    </row>
    <row r="1766" spans="1:7" x14ac:dyDescent="0.25">
      <c r="A1766">
        <v>1764</v>
      </c>
      <c r="B1766">
        <v>77</v>
      </c>
      <c r="C1766">
        <v>200</v>
      </c>
      <c r="D1766" t="s">
        <v>10377</v>
      </c>
      <c r="E1766" t="s">
        <v>10377</v>
      </c>
      <c r="F1766">
        <v>32</v>
      </c>
      <c r="G1766">
        <v>38</v>
      </c>
    </row>
    <row r="1767" spans="1:7" x14ac:dyDescent="0.25">
      <c r="A1767">
        <v>1765</v>
      </c>
      <c r="B1767">
        <v>4</v>
      </c>
      <c r="C1767">
        <v>200</v>
      </c>
      <c r="D1767" t="s">
        <v>10378</v>
      </c>
      <c r="E1767" t="s">
        <v>10379</v>
      </c>
      <c r="F1767">
        <v>32</v>
      </c>
      <c r="G1767">
        <v>37</v>
      </c>
    </row>
    <row r="1768" spans="1:7" x14ac:dyDescent="0.25">
      <c r="A1768">
        <v>1766</v>
      </c>
      <c r="B1768">
        <v>14</v>
      </c>
      <c r="C1768">
        <v>200</v>
      </c>
      <c r="D1768" t="s">
        <v>10379</v>
      </c>
      <c r="E1768" t="s">
        <v>10379</v>
      </c>
      <c r="F1768">
        <v>32</v>
      </c>
      <c r="G1768">
        <v>37</v>
      </c>
    </row>
    <row r="1769" spans="1:7" x14ac:dyDescent="0.25">
      <c r="A1769">
        <v>1767</v>
      </c>
      <c r="B1769">
        <v>84</v>
      </c>
      <c r="C1769">
        <v>200</v>
      </c>
      <c r="D1769" t="s">
        <v>10380</v>
      </c>
      <c r="E1769" t="s">
        <v>3321</v>
      </c>
      <c r="F1769">
        <v>32</v>
      </c>
      <c r="G1769">
        <v>38</v>
      </c>
    </row>
    <row r="1770" spans="1:7" x14ac:dyDescent="0.25">
      <c r="A1770">
        <v>1768</v>
      </c>
      <c r="B1770">
        <v>69</v>
      </c>
      <c r="C1770">
        <v>0</v>
      </c>
      <c r="D1770" t="s">
        <v>10381</v>
      </c>
      <c r="E1770" t="s">
        <v>10381</v>
      </c>
      <c r="F1770">
        <v>32</v>
      </c>
      <c r="G1770">
        <v>37</v>
      </c>
    </row>
    <row r="1771" spans="1:7" x14ac:dyDescent="0.25">
      <c r="A1771">
        <v>1769</v>
      </c>
      <c r="B1771">
        <v>77</v>
      </c>
      <c r="C1771">
        <v>0</v>
      </c>
      <c r="D1771" t="s">
        <v>10382</v>
      </c>
      <c r="E1771" t="s">
        <v>10383</v>
      </c>
      <c r="F1771">
        <v>31</v>
      </c>
      <c r="G1771">
        <v>38</v>
      </c>
    </row>
    <row r="1772" spans="1:7" x14ac:dyDescent="0.25">
      <c r="A1772">
        <v>1770</v>
      </c>
      <c r="B1772">
        <v>69</v>
      </c>
      <c r="C1772">
        <v>200</v>
      </c>
      <c r="D1772" t="s">
        <v>10384</v>
      </c>
      <c r="E1772" t="s">
        <v>10384</v>
      </c>
      <c r="F1772">
        <v>32</v>
      </c>
      <c r="G1772">
        <v>38</v>
      </c>
    </row>
    <row r="1773" spans="1:7" x14ac:dyDescent="0.25">
      <c r="A1773">
        <v>1771</v>
      </c>
      <c r="B1773">
        <v>69</v>
      </c>
      <c r="C1773">
        <v>200</v>
      </c>
      <c r="D1773" t="s">
        <v>10385</v>
      </c>
      <c r="E1773" t="s">
        <v>10385</v>
      </c>
      <c r="F1773">
        <v>32</v>
      </c>
      <c r="G1773">
        <v>31</v>
      </c>
    </row>
    <row r="1774" spans="1:7" x14ac:dyDescent="0.25">
      <c r="A1774">
        <v>1772</v>
      </c>
      <c r="B1774">
        <v>69</v>
      </c>
      <c r="C1774">
        <v>200</v>
      </c>
      <c r="D1774" t="s">
        <v>10386</v>
      </c>
      <c r="E1774" t="s">
        <v>10386</v>
      </c>
      <c r="F1774">
        <v>32</v>
      </c>
      <c r="G1774">
        <v>37</v>
      </c>
    </row>
    <row r="1775" spans="1:7" x14ac:dyDescent="0.25">
      <c r="A1775">
        <v>1773</v>
      </c>
      <c r="B1775">
        <v>58</v>
      </c>
      <c r="C1775">
        <v>0</v>
      </c>
      <c r="D1775" t="s">
        <v>10387</v>
      </c>
      <c r="E1775" t="s">
        <v>10387</v>
      </c>
      <c r="F1775">
        <v>32</v>
      </c>
      <c r="G1775">
        <v>38</v>
      </c>
    </row>
    <row r="1776" spans="1:7" x14ac:dyDescent="0.25">
      <c r="A1776">
        <v>1774</v>
      </c>
      <c r="B1776">
        <v>71</v>
      </c>
      <c r="C1776">
        <v>200</v>
      </c>
      <c r="D1776" t="s">
        <v>10388</v>
      </c>
      <c r="E1776" t="s">
        <v>10388</v>
      </c>
      <c r="F1776">
        <v>32</v>
      </c>
      <c r="G1776">
        <v>38</v>
      </c>
    </row>
    <row r="1777" spans="1:7" x14ac:dyDescent="0.25">
      <c r="A1777">
        <v>1775</v>
      </c>
      <c r="B1777">
        <v>14</v>
      </c>
      <c r="C1777">
        <v>200</v>
      </c>
      <c r="D1777" t="s">
        <v>10389</v>
      </c>
      <c r="E1777" t="s">
        <v>10389</v>
      </c>
      <c r="F1777">
        <v>32</v>
      </c>
      <c r="G1777">
        <v>31</v>
      </c>
    </row>
    <row r="1778" spans="1:7" x14ac:dyDescent="0.25">
      <c r="A1778">
        <v>1776</v>
      </c>
      <c r="B1778">
        <v>77</v>
      </c>
      <c r="C1778">
        <v>200</v>
      </c>
      <c r="D1778" t="s">
        <v>10390</v>
      </c>
      <c r="E1778" t="s">
        <v>10390</v>
      </c>
      <c r="F1778">
        <v>31</v>
      </c>
      <c r="G1778">
        <v>38</v>
      </c>
    </row>
    <row r="1779" spans="1:7" x14ac:dyDescent="0.25">
      <c r="A1779">
        <v>1777</v>
      </c>
      <c r="B1779">
        <v>45</v>
      </c>
      <c r="C1779">
        <v>200</v>
      </c>
      <c r="D1779" t="s">
        <v>10391</v>
      </c>
      <c r="E1779" t="s">
        <v>10391</v>
      </c>
      <c r="F1779">
        <v>32</v>
      </c>
      <c r="G1779">
        <v>38</v>
      </c>
    </row>
    <row r="1780" spans="1:7" x14ac:dyDescent="0.25">
      <c r="A1780">
        <v>1778</v>
      </c>
      <c r="B1780">
        <v>69</v>
      </c>
      <c r="C1780">
        <v>200</v>
      </c>
      <c r="D1780" t="s">
        <v>10392</v>
      </c>
      <c r="E1780" t="s">
        <v>10392</v>
      </c>
      <c r="F1780">
        <v>32</v>
      </c>
      <c r="G1780">
        <v>31</v>
      </c>
    </row>
    <row r="1781" spans="1:7" x14ac:dyDescent="0.25">
      <c r="A1781">
        <v>1779</v>
      </c>
      <c r="B1781">
        <v>77</v>
      </c>
      <c r="C1781">
        <v>200</v>
      </c>
      <c r="D1781" t="s">
        <v>10393</v>
      </c>
      <c r="E1781" t="s">
        <v>10394</v>
      </c>
      <c r="F1781">
        <v>31</v>
      </c>
      <c r="G1781">
        <v>38</v>
      </c>
    </row>
    <row r="1782" spans="1:7" x14ac:dyDescent="0.25">
      <c r="A1782">
        <v>1780</v>
      </c>
      <c r="B1782">
        <v>77</v>
      </c>
      <c r="C1782">
        <v>200</v>
      </c>
      <c r="D1782" t="s">
        <v>10395</v>
      </c>
      <c r="E1782" t="s">
        <v>10396</v>
      </c>
      <c r="F1782">
        <v>31</v>
      </c>
      <c r="G1782">
        <v>38</v>
      </c>
    </row>
    <row r="1783" spans="1:7" x14ac:dyDescent="0.25">
      <c r="A1783">
        <v>1781</v>
      </c>
      <c r="B1783">
        <v>77</v>
      </c>
      <c r="C1783">
        <v>200</v>
      </c>
      <c r="D1783" t="s">
        <v>10397</v>
      </c>
      <c r="E1783" t="s">
        <v>10398</v>
      </c>
      <c r="F1783">
        <v>31</v>
      </c>
      <c r="G1783">
        <v>37</v>
      </c>
    </row>
    <row r="1784" spans="1:7" x14ac:dyDescent="0.25">
      <c r="A1784">
        <v>1782</v>
      </c>
      <c r="B1784">
        <v>7</v>
      </c>
      <c r="C1784">
        <v>200</v>
      </c>
      <c r="D1784" t="s">
        <v>10399</v>
      </c>
      <c r="E1784" t="s">
        <v>10399</v>
      </c>
      <c r="F1784">
        <v>32</v>
      </c>
      <c r="G1784">
        <v>37</v>
      </c>
    </row>
    <row r="1785" spans="1:7" x14ac:dyDescent="0.25">
      <c r="A1785">
        <v>1783</v>
      </c>
      <c r="B1785">
        <v>14</v>
      </c>
      <c r="C1785">
        <v>200</v>
      </c>
      <c r="D1785" t="s">
        <v>10400</v>
      </c>
      <c r="E1785" t="s">
        <v>10400</v>
      </c>
      <c r="F1785">
        <v>32</v>
      </c>
      <c r="G1785">
        <v>37</v>
      </c>
    </row>
    <row r="1786" spans="1:7" x14ac:dyDescent="0.25">
      <c r="A1786">
        <v>1784</v>
      </c>
      <c r="B1786">
        <v>52</v>
      </c>
      <c r="C1786">
        <v>200</v>
      </c>
      <c r="D1786" t="s">
        <v>10401</v>
      </c>
      <c r="E1786" t="s">
        <v>10401</v>
      </c>
      <c r="F1786">
        <v>32</v>
      </c>
      <c r="G1786">
        <v>38</v>
      </c>
    </row>
    <row r="1787" spans="1:7" x14ac:dyDescent="0.25">
      <c r="A1787">
        <v>1785</v>
      </c>
      <c r="B1787">
        <v>24</v>
      </c>
      <c r="C1787">
        <v>200</v>
      </c>
      <c r="D1787" t="s">
        <v>10402</v>
      </c>
      <c r="E1787" t="s">
        <v>10402</v>
      </c>
      <c r="F1787">
        <v>32</v>
      </c>
      <c r="G1787">
        <v>38</v>
      </c>
    </row>
    <row r="1788" spans="1:7" x14ac:dyDescent="0.25">
      <c r="A1788">
        <v>1786</v>
      </c>
      <c r="B1788">
        <v>25</v>
      </c>
      <c r="C1788">
        <v>200</v>
      </c>
      <c r="D1788" t="s">
        <v>10403</v>
      </c>
      <c r="E1788" t="s">
        <v>10403</v>
      </c>
      <c r="F1788">
        <v>32</v>
      </c>
      <c r="G1788">
        <v>38</v>
      </c>
    </row>
    <row r="1789" spans="1:7" x14ac:dyDescent="0.25">
      <c r="A1789">
        <v>1787</v>
      </c>
      <c r="B1789">
        <v>33</v>
      </c>
      <c r="C1789">
        <v>200</v>
      </c>
      <c r="D1789" t="s">
        <v>10404</v>
      </c>
      <c r="E1789" t="s">
        <v>10404</v>
      </c>
      <c r="F1789">
        <v>32</v>
      </c>
      <c r="G1789">
        <v>38</v>
      </c>
    </row>
    <row r="1790" spans="1:7" x14ac:dyDescent="0.25">
      <c r="A1790">
        <v>1788</v>
      </c>
      <c r="B1790">
        <v>25</v>
      </c>
      <c r="C1790">
        <v>200</v>
      </c>
      <c r="D1790" t="s">
        <v>10405</v>
      </c>
      <c r="E1790" t="s">
        <v>10406</v>
      </c>
      <c r="F1790">
        <v>32</v>
      </c>
      <c r="G1790">
        <v>37</v>
      </c>
    </row>
    <row r="1791" spans="1:7" x14ac:dyDescent="0.25">
      <c r="A1791">
        <v>1789</v>
      </c>
      <c r="B1791">
        <v>77</v>
      </c>
      <c r="C1791">
        <v>200</v>
      </c>
      <c r="D1791" t="s">
        <v>9267</v>
      </c>
      <c r="E1791" t="s">
        <v>9267</v>
      </c>
      <c r="F1791">
        <v>31</v>
      </c>
      <c r="G1791">
        <v>38</v>
      </c>
    </row>
    <row r="1792" spans="1:7" x14ac:dyDescent="0.25">
      <c r="A1792">
        <v>1790</v>
      </c>
      <c r="B1792">
        <v>77</v>
      </c>
      <c r="C1792">
        <v>200</v>
      </c>
      <c r="D1792" t="s">
        <v>10407</v>
      </c>
      <c r="E1792" t="s">
        <v>10408</v>
      </c>
      <c r="F1792">
        <v>31</v>
      </c>
      <c r="G1792">
        <v>38</v>
      </c>
    </row>
    <row r="1793" spans="1:7" x14ac:dyDescent="0.25">
      <c r="A1793">
        <v>1791</v>
      </c>
      <c r="B1793">
        <v>54</v>
      </c>
      <c r="C1793">
        <v>200</v>
      </c>
      <c r="D1793" t="s">
        <v>10409</v>
      </c>
      <c r="E1793" t="s">
        <v>10409</v>
      </c>
      <c r="F1793">
        <v>32</v>
      </c>
      <c r="G1793">
        <v>38</v>
      </c>
    </row>
    <row r="1794" spans="1:7" x14ac:dyDescent="0.25">
      <c r="A1794">
        <v>1792</v>
      </c>
      <c r="B1794">
        <v>54</v>
      </c>
      <c r="C1794">
        <v>200</v>
      </c>
      <c r="D1794" t="s">
        <v>10410</v>
      </c>
      <c r="E1794" t="s">
        <v>10410</v>
      </c>
      <c r="F1794">
        <v>32</v>
      </c>
      <c r="G1794">
        <v>38</v>
      </c>
    </row>
    <row r="1795" spans="1:7" x14ac:dyDescent="0.25">
      <c r="A1795">
        <v>1793</v>
      </c>
      <c r="B1795">
        <v>77</v>
      </c>
      <c r="C1795">
        <v>200</v>
      </c>
      <c r="D1795" t="s">
        <v>10411</v>
      </c>
      <c r="E1795" t="s">
        <v>10411</v>
      </c>
      <c r="F1795">
        <v>31</v>
      </c>
      <c r="G1795">
        <v>38</v>
      </c>
    </row>
    <row r="1796" spans="1:7" x14ac:dyDescent="0.25">
      <c r="A1796">
        <v>1794</v>
      </c>
      <c r="B1796">
        <v>69</v>
      </c>
      <c r="C1796">
        <v>200</v>
      </c>
      <c r="D1796" t="s">
        <v>10412</v>
      </c>
      <c r="E1796" t="s">
        <v>10412</v>
      </c>
      <c r="F1796">
        <v>32</v>
      </c>
      <c r="G1796">
        <v>38</v>
      </c>
    </row>
    <row r="1797" spans="1:7" x14ac:dyDescent="0.25">
      <c r="A1797">
        <v>1795</v>
      </c>
      <c r="B1797">
        <v>54</v>
      </c>
      <c r="C1797">
        <v>200</v>
      </c>
      <c r="D1797" t="s">
        <v>10413</v>
      </c>
      <c r="E1797" t="s">
        <v>10413</v>
      </c>
      <c r="F1797">
        <v>32</v>
      </c>
      <c r="G1797">
        <v>38</v>
      </c>
    </row>
    <row r="1798" spans="1:7" x14ac:dyDescent="0.25">
      <c r="A1798">
        <v>1796</v>
      </c>
      <c r="B1798">
        <v>84</v>
      </c>
      <c r="C1798">
        <v>200</v>
      </c>
      <c r="D1798" t="s">
        <v>10414</v>
      </c>
      <c r="E1798" t="s">
        <v>10414</v>
      </c>
      <c r="F1798">
        <v>32</v>
      </c>
      <c r="G1798">
        <v>38</v>
      </c>
    </row>
    <row r="1799" spans="1:7" x14ac:dyDescent="0.25">
      <c r="A1799">
        <v>1797</v>
      </c>
      <c r="B1799">
        <v>45</v>
      </c>
      <c r="C1799">
        <v>200</v>
      </c>
      <c r="D1799" t="s">
        <v>10415</v>
      </c>
      <c r="E1799" t="s">
        <v>10415</v>
      </c>
      <c r="F1799">
        <v>32</v>
      </c>
      <c r="G1799">
        <v>38</v>
      </c>
    </row>
    <row r="1800" spans="1:7" x14ac:dyDescent="0.25">
      <c r="A1800">
        <v>1798</v>
      </c>
      <c r="B1800">
        <v>23</v>
      </c>
      <c r="C1800">
        <v>200</v>
      </c>
      <c r="D1800" t="s">
        <v>10416</v>
      </c>
      <c r="E1800" t="s">
        <v>10416</v>
      </c>
      <c r="F1800">
        <v>32</v>
      </c>
      <c r="G1800">
        <v>38</v>
      </c>
    </row>
    <row r="1801" spans="1:7" x14ac:dyDescent="0.25">
      <c r="A1801">
        <v>1799</v>
      </c>
      <c r="B1801">
        <v>14</v>
      </c>
      <c r="C1801">
        <v>200</v>
      </c>
      <c r="D1801" t="s">
        <v>10417</v>
      </c>
      <c r="E1801" t="s">
        <v>10417</v>
      </c>
      <c r="F1801">
        <v>32</v>
      </c>
      <c r="G1801">
        <v>38</v>
      </c>
    </row>
    <row r="1802" spans="1:7" x14ac:dyDescent="0.25">
      <c r="A1802">
        <v>1800</v>
      </c>
      <c r="B1802">
        <v>77</v>
      </c>
      <c r="C1802">
        <v>200</v>
      </c>
      <c r="D1802" t="s">
        <v>10418</v>
      </c>
      <c r="E1802" t="s">
        <v>10418</v>
      </c>
      <c r="F1802">
        <v>31</v>
      </c>
      <c r="G1802">
        <v>38</v>
      </c>
    </row>
    <row r="1803" spans="1:7" x14ac:dyDescent="0.25">
      <c r="A1803">
        <v>1801</v>
      </c>
      <c r="B1803">
        <v>58</v>
      </c>
      <c r="C1803">
        <v>200</v>
      </c>
      <c r="D1803" t="s">
        <v>10419</v>
      </c>
      <c r="E1803" t="s">
        <v>10419</v>
      </c>
      <c r="F1803">
        <v>32</v>
      </c>
      <c r="G1803">
        <v>38</v>
      </c>
    </row>
    <row r="1804" spans="1:7" x14ac:dyDescent="0.25">
      <c r="A1804">
        <v>1802</v>
      </c>
      <c r="B1804">
        <v>77</v>
      </c>
      <c r="C1804">
        <v>200</v>
      </c>
      <c r="D1804" t="s">
        <v>10382</v>
      </c>
      <c r="E1804" t="s">
        <v>10420</v>
      </c>
      <c r="F1804">
        <v>31</v>
      </c>
      <c r="G1804">
        <v>38</v>
      </c>
    </row>
    <row r="1805" spans="1:7" x14ac:dyDescent="0.25">
      <c r="A1805">
        <v>1803</v>
      </c>
      <c r="B1805">
        <v>77</v>
      </c>
      <c r="C1805">
        <v>200</v>
      </c>
      <c r="D1805" t="s">
        <v>10421</v>
      </c>
      <c r="E1805" t="s">
        <v>10421</v>
      </c>
      <c r="F1805">
        <v>31</v>
      </c>
      <c r="G1805">
        <v>38</v>
      </c>
    </row>
    <row r="1806" spans="1:7" x14ac:dyDescent="0.25">
      <c r="A1806">
        <v>1804</v>
      </c>
      <c r="B1806">
        <v>69</v>
      </c>
      <c r="C1806">
        <v>200</v>
      </c>
      <c r="D1806" t="s">
        <v>10422</v>
      </c>
      <c r="E1806" t="s">
        <v>10422</v>
      </c>
      <c r="F1806">
        <v>32</v>
      </c>
      <c r="G1806">
        <v>38</v>
      </c>
    </row>
    <row r="1807" spans="1:7" x14ac:dyDescent="0.25">
      <c r="A1807">
        <v>1805</v>
      </c>
      <c r="B1807">
        <v>25</v>
      </c>
      <c r="C1807">
        <v>200</v>
      </c>
      <c r="D1807" t="s">
        <v>10423</v>
      </c>
      <c r="E1807" t="s">
        <v>10424</v>
      </c>
      <c r="F1807">
        <v>32</v>
      </c>
      <c r="G1807">
        <v>37</v>
      </c>
    </row>
    <row r="1808" spans="1:7" x14ac:dyDescent="0.25">
      <c r="A1808">
        <v>1806</v>
      </c>
      <c r="B1808">
        <v>14</v>
      </c>
      <c r="C1808">
        <v>200</v>
      </c>
      <c r="D1808" t="s">
        <v>10425</v>
      </c>
      <c r="E1808" t="s">
        <v>10425</v>
      </c>
      <c r="F1808">
        <v>32</v>
      </c>
      <c r="G1808">
        <v>38</v>
      </c>
    </row>
    <row r="1809" spans="1:7" x14ac:dyDescent="0.25">
      <c r="A1809">
        <v>1807</v>
      </c>
      <c r="B1809">
        <v>54</v>
      </c>
      <c r="C1809">
        <v>200</v>
      </c>
      <c r="D1809" t="s">
        <v>10426</v>
      </c>
      <c r="E1809" t="s">
        <v>10426</v>
      </c>
      <c r="F1809">
        <v>32</v>
      </c>
      <c r="G1809">
        <v>38</v>
      </c>
    </row>
    <row r="1810" spans="1:7" x14ac:dyDescent="0.25">
      <c r="A1810">
        <v>1808</v>
      </c>
      <c r="B1810">
        <v>69</v>
      </c>
      <c r="C1810">
        <v>200</v>
      </c>
      <c r="D1810" t="s">
        <v>10427</v>
      </c>
      <c r="E1810" t="s">
        <v>10427</v>
      </c>
      <c r="F1810">
        <v>32</v>
      </c>
      <c r="G1810">
        <v>38</v>
      </c>
    </row>
    <row r="1811" spans="1:7" x14ac:dyDescent="0.25">
      <c r="A1811">
        <v>1809</v>
      </c>
      <c r="B1811">
        <v>4</v>
      </c>
      <c r="C1811">
        <v>200</v>
      </c>
      <c r="D1811" t="s">
        <v>10428</v>
      </c>
      <c r="E1811" t="s">
        <v>10428</v>
      </c>
      <c r="F1811">
        <v>32</v>
      </c>
      <c r="G1811">
        <v>37</v>
      </c>
    </row>
    <row r="1812" spans="1:7" x14ac:dyDescent="0.25">
      <c r="A1812">
        <v>1810</v>
      </c>
      <c r="B1812">
        <v>54</v>
      </c>
      <c r="C1812">
        <v>200</v>
      </c>
      <c r="D1812" t="s">
        <v>10429</v>
      </c>
      <c r="E1812" t="s">
        <v>10429</v>
      </c>
      <c r="F1812">
        <v>32</v>
      </c>
      <c r="G1812">
        <v>38</v>
      </c>
    </row>
    <row r="1813" spans="1:7" x14ac:dyDescent="0.25">
      <c r="A1813">
        <v>1811</v>
      </c>
      <c r="B1813">
        <v>14</v>
      </c>
      <c r="C1813">
        <v>200</v>
      </c>
      <c r="D1813" t="s">
        <v>10430</v>
      </c>
      <c r="E1813" t="s">
        <v>10430</v>
      </c>
      <c r="F1813">
        <v>32</v>
      </c>
      <c r="G1813">
        <v>38</v>
      </c>
    </row>
    <row r="1814" spans="1:7" x14ac:dyDescent="0.25">
      <c r="A1814">
        <v>1812</v>
      </c>
      <c r="B1814">
        <v>16</v>
      </c>
      <c r="C1814">
        <v>200</v>
      </c>
      <c r="D1814" t="s">
        <v>10431</v>
      </c>
      <c r="E1814" t="s">
        <v>10431</v>
      </c>
      <c r="F1814">
        <v>32</v>
      </c>
      <c r="G1814">
        <v>38</v>
      </c>
    </row>
    <row r="1815" spans="1:7" x14ac:dyDescent="0.25">
      <c r="A1815">
        <v>1813</v>
      </c>
      <c r="B1815">
        <v>77</v>
      </c>
      <c r="C1815">
        <v>200</v>
      </c>
      <c r="D1815" t="s">
        <v>10432</v>
      </c>
      <c r="E1815" t="s">
        <v>10433</v>
      </c>
      <c r="F1815">
        <v>31</v>
      </c>
      <c r="G1815">
        <v>38</v>
      </c>
    </row>
    <row r="1816" spans="1:7" x14ac:dyDescent="0.25">
      <c r="A1816">
        <v>1814</v>
      </c>
      <c r="B1816">
        <v>78</v>
      </c>
      <c r="C1816">
        <v>200</v>
      </c>
      <c r="D1816" t="s">
        <v>10434</v>
      </c>
      <c r="E1816" t="s">
        <v>10434</v>
      </c>
      <c r="F1816">
        <v>32</v>
      </c>
      <c r="G1816">
        <v>37</v>
      </c>
    </row>
    <row r="1817" spans="1:7" x14ac:dyDescent="0.25">
      <c r="A1817">
        <v>1815</v>
      </c>
      <c r="B1817">
        <v>77</v>
      </c>
      <c r="C1817">
        <v>200</v>
      </c>
      <c r="D1817" t="s">
        <v>10435</v>
      </c>
      <c r="E1817" t="s">
        <v>10435</v>
      </c>
      <c r="F1817">
        <v>31</v>
      </c>
      <c r="G1817">
        <v>38</v>
      </c>
    </row>
    <row r="1818" spans="1:7" x14ac:dyDescent="0.25">
      <c r="A1818">
        <v>1816</v>
      </c>
      <c r="B1818">
        <v>14</v>
      </c>
      <c r="C1818">
        <v>200</v>
      </c>
      <c r="D1818" t="s">
        <v>10436</v>
      </c>
      <c r="E1818" t="s">
        <v>10437</v>
      </c>
      <c r="F1818">
        <v>31</v>
      </c>
      <c r="G1818">
        <v>38</v>
      </c>
    </row>
    <row r="1819" spans="1:7" x14ac:dyDescent="0.25">
      <c r="A1819">
        <v>1817</v>
      </c>
      <c r="B1819">
        <v>65</v>
      </c>
      <c r="C1819">
        <v>200</v>
      </c>
      <c r="D1819" t="s">
        <v>10438</v>
      </c>
      <c r="E1819" t="s">
        <v>10438</v>
      </c>
      <c r="F1819">
        <v>32</v>
      </c>
      <c r="G1819">
        <v>38</v>
      </c>
    </row>
    <row r="1820" spans="1:7" x14ac:dyDescent="0.25">
      <c r="A1820">
        <v>1818</v>
      </c>
      <c r="B1820">
        <v>69</v>
      </c>
      <c r="C1820">
        <v>200</v>
      </c>
      <c r="D1820" t="s">
        <v>10439</v>
      </c>
      <c r="E1820" t="s">
        <v>10439</v>
      </c>
      <c r="F1820">
        <v>32</v>
      </c>
      <c r="G1820">
        <v>38</v>
      </c>
    </row>
    <row r="1821" spans="1:7" x14ac:dyDescent="0.25">
      <c r="A1821">
        <v>1819</v>
      </c>
      <c r="B1821">
        <v>4</v>
      </c>
      <c r="C1821">
        <v>200</v>
      </c>
      <c r="D1821" t="s">
        <v>10440</v>
      </c>
      <c r="E1821" t="s">
        <v>10440</v>
      </c>
      <c r="F1821">
        <v>32</v>
      </c>
      <c r="G1821">
        <v>37</v>
      </c>
    </row>
    <row r="1822" spans="1:7" x14ac:dyDescent="0.25">
      <c r="A1822">
        <v>1820</v>
      </c>
      <c r="B1822">
        <v>3</v>
      </c>
      <c r="C1822">
        <v>200</v>
      </c>
      <c r="D1822" t="s">
        <v>10441</v>
      </c>
      <c r="E1822" t="s">
        <v>10441</v>
      </c>
      <c r="F1822">
        <v>32</v>
      </c>
      <c r="G1822">
        <v>38</v>
      </c>
    </row>
    <row r="1823" spans="1:7" x14ac:dyDescent="0.25">
      <c r="A1823">
        <v>1821</v>
      </c>
      <c r="B1823">
        <v>14</v>
      </c>
      <c r="C1823">
        <v>200</v>
      </c>
      <c r="D1823" t="s">
        <v>10442</v>
      </c>
      <c r="E1823" t="s">
        <v>10442</v>
      </c>
      <c r="F1823">
        <v>32</v>
      </c>
      <c r="G1823">
        <v>38</v>
      </c>
    </row>
    <row r="1824" spans="1:7" x14ac:dyDescent="0.25">
      <c r="A1824">
        <v>1822</v>
      </c>
      <c r="B1824">
        <v>43</v>
      </c>
      <c r="C1824">
        <v>200</v>
      </c>
      <c r="D1824" t="s">
        <v>10443</v>
      </c>
      <c r="E1824" t="s">
        <v>10443</v>
      </c>
      <c r="F1824">
        <v>32</v>
      </c>
      <c r="G1824">
        <v>37</v>
      </c>
    </row>
    <row r="1825" spans="1:7" x14ac:dyDescent="0.25">
      <c r="A1825">
        <v>1823</v>
      </c>
      <c r="B1825">
        <v>57</v>
      </c>
      <c r="C1825">
        <v>200</v>
      </c>
      <c r="D1825" t="s">
        <v>10444</v>
      </c>
      <c r="E1825" t="s">
        <v>10444</v>
      </c>
      <c r="F1825">
        <v>32</v>
      </c>
      <c r="G1825">
        <v>38</v>
      </c>
    </row>
    <row r="1826" spans="1:7" x14ac:dyDescent="0.25">
      <c r="A1826">
        <v>1824</v>
      </c>
      <c r="B1826">
        <v>15</v>
      </c>
      <c r="C1826">
        <v>200</v>
      </c>
      <c r="D1826" t="s">
        <v>10445</v>
      </c>
      <c r="E1826" t="s">
        <v>10445</v>
      </c>
      <c r="F1826">
        <v>32</v>
      </c>
      <c r="G1826">
        <v>38</v>
      </c>
    </row>
    <row r="1827" spans="1:7" x14ac:dyDescent="0.25">
      <c r="A1827">
        <v>1825</v>
      </c>
      <c r="B1827">
        <v>39</v>
      </c>
      <c r="C1827">
        <v>200</v>
      </c>
      <c r="D1827" t="s">
        <v>10446</v>
      </c>
      <c r="E1827" t="s">
        <v>10446</v>
      </c>
      <c r="F1827">
        <v>32</v>
      </c>
      <c r="G1827">
        <v>38</v>
      </c>
    </row>
    <row r="1828" spans="1:7" x14ac:dyDescent="0.25">
      <c r="A1828">
        <v>1826</v>
      </c>
      <c r="B1828">
        <v>11</v>
      </c>
      <c r="C1828">
        <v>200</v>
      </c>
      <c r="D1828" t="s">
        <v>10447</v>
      </c>
      <c r="E1828" t="s">
        <v>10447</v>
      </c>
      <c r="F1828">
        <v>32</v>
      </c>
      <c r="G1828">
        <v>37</v>
      </c>
    </row>
    <row r="1829" spans="1:7" x14ac:dyDescent="0.25">
      <c r="A1829">
        <v>1827</v>
      </c>
      <c r="B1829">
        <v>15</v>
      </c>
      <c r="C1829">
        <v>200</v>
      </c>
      <c r="D1829" t="s">
        <v>10448</v>
      </c>
      <c r="E1829" t="s">
        <v>10448</v>
      </c>
      <c r="F1829">
        <v>32</v>
      </c>
      <c r="G1829">
        <v>38</v>
      </c>
    </row>
    <row r="1830" spans="1:7" x14ac:dyDescent="0.25">
      <c r="A1830">
        <v>1828</v>
      </c>
      <c r="B1830">
        <v>15</v>
      </c>
      <c r="C1830">
        <v>200</v>
      </c>
      <c r="D1830" t="s">
        <v>10449</v>
      </c>
      <c r="E1830" t="s">
        <v>10449</v>
      </c>
      <c r="F1830">
        <v>32</v>
      </c>
      <c r="G1830">
        <v>38</v>
      </c>
    </row>
    <row r="1831" spans="1:7" x14ac:dyDescent="0.25">
      <c r="A1831">
        <v>1829</v>
      </c>
      <c r="B1831">
        <v>25</v>
      </c>
      <c r="C1831">
        <v>200</v>
      </c>
      <c r="D1831" t="s">
        <v>10450</v>
      </c>
      <c r="E1831" t="s">
        <v>10450</v>
      </c>
      <c r="F1831">
        <v>32</v>
      </c>
      <c r="G1831">
        <v>37</v>
      </c>
    </row>
    <row r="1832" spans="1:7" x14ac:dyDescent="0.25">
      <c r="A1832">
        <v>1830</v>
      </c>
      <c r="B1832">
        <v>77</v>
      </c>
      <c r="C1832">
        <v>200</v>
      </c>
      <c r="D1832" t="s">
        <v>10451</v>
      </c>
      <c r="E1832" t="s">
        <v>10451</v>
      </c>
      <c r="F1832">
        <v>31</v>
      </c>
      <c r="G1832">
        <v>38</v>
      </c>
    </row>
    <row r="1833" spans="1:7" x14ac:dyDescent="0.25">
      <c r="A1833">
        <v>1831</v>
      </c>
      <c r="B1833">
        <v>24</v>
      </c>
      <c r="C1833">
        <v>200</v>
      </c>
      <c r="D1833" t="s">
        <v>10452</v>
      </c>
      <c r="E1833" t="s">
        <v>10452</v>
      </c>
      <c r="F1833">
        <v>32</v>
      </c>
      <c r="G1833">
        <v>38</v>
      </c>
    </row>
    <row r="1834" spans="1:7" x14ac:dyDescent="0.25">
      <c r="A1834">
        <v>1832</v>
      </c>
      <c r="B1834">
        <v>77</v>
      </c>
      <c r="C1834">
        <v>200</v>
      </c>
      <c r="D1834" t="s">
        <v>10453</v>
      </c>
      <c r="E1834" t="s">
        <v>10453</v>
      </c>
      <c r="F1834">
        <v>31</v>
      </c>
      <c r="G1834">
        <v>38</v>
      </c>
    </row>
    <row r="1835" spans="1:7" x14ac:dyDescent="0.25">
      <c r="A1835">
        <v>1833</v>
      </c>
      <c r="B1835">
        <v>69</v>
      </c>
      <c r="C1835">
        <v>200</v>
      </c>
      <c r="D1835" t="s">
        <v>10454</v>
      </c>
      <c r="E1835" t="s">
        <v>10454</v>
      </c>
      <c r="F1835">
        <v>32</v>
      </c>
      <c r="G1835">
        <v>38</v>
      </c>
    </row>
    <row r="1836" spans="1:7" x14ac:dyDescent="0.25">
      <c r="A1836">
        <v>1834</v>
      </c>
      <c r="B1836">
        <v>7</v>
      </c>
      <c r="C1836">
        <v>200</v>
      </c>
      <c r="D1836" t="s">
        <v>10455</v>
      </c>
      <c r="E1836" t="s">
        <v>10455</v>
      </c>
      <c r="F1836">
        <v>32</v>
      </c>
      <c r="G1836">
        <v>38</v>
      </c>
    </row>
    <row r="1837" spans="1:7" x14ac:dyDescent="0.25">
      <c r="A1837">
        <v>1835</v>
      </c>
      <c r="B1837">
        <v>15</v>
      </c>
      <c r="C1837">
        <v>200</v>
      </c>
      <c r="D1837" t="s">
        <v>10456</v>
      </c>
      <c r="E1837" t="s">
        <v>10456</v>
      </c>
      <c r="F1837">
        <v>32</v>
      </c>
      <c r="G1837">
        <v>38</v>
      </c>
    </row>
    <row r="1838" spans="1:7" x14ac:dyDescent="0.25">
      <c r="A1838">
        <v>1836</v>
      </c>
      <c r="B1838">
        <v>77</v>
      </c>
      <c r="C1838">
        <v>200</v>
      </c>
      <c r="D1838" t="s">
        <v>10457</v>
      </c>
      <c r="E1838" t="s">
        <v>10457</v>
      </c>
      <c r="F1838">
        <v>31</v>
      </c>
      <c r="G1838">
        <v>38</v>
      </c>
    </row>
    <row r="1839" spans="1:7" x14ac:dyDescent="0.25">
      <c r="A1839">
        <v>1837</v>
      </c>
      <c r="B1839">
        <v>77</v>
      </c>
      <c r="C1839">
        <v>200</v>
      </c>
      <c r="D1839" t="s">
        <v>10458</v>
      </c>
      <c r="E1839" t="s">
        <v>10459</v>
      </c>
      <c r="F1839">
        <v>31</v>
      </c>
      <c r="G1839">
        <v>38</v>
      </c>
    </row>
    <row r="1840" spans="1:7" x14ac:dyDescent="0.25">
      <c r="A1840">
        <v>1838</v>
      </c>
      <c r="B1840">
        <v>25</v>
      </c>
      <c r="C1840">
        <v>200</v>
      </c>
      <c r="D1840" t="s">
        <v>10460</v>
      </c>
      <c r="E1840" t="s">
        <v>10461</v>
      </c>
      <c r="F1840">
        <v>32</v>
      </c>
      <c r="G1840">
        <v>37</v>
      </c>
    </row>
    <row r="1841" spans="1:7" x14ac:dyDescent="0.25">
      <c r="A1841">
        <v>1839</v>
      </c>
      <c r="B1841">
        <v>10</v>
      </c>
      <c r="C1841">
        <v>200</v>
      </c>
      <c r="D1841" t="s">
        <v>10462</v>
      </c>
      <c r="E1841" t="s">
        <v>10462</v>
      </c>
      <c r="F1841">
        <v>32</v>
      </c>
      <c r="G1841">
        <v>37</v>
      </c>
    </row>
    <row r="1842" spans="1:7" x14ac:dyDescent="0.25">
      <c r="A1842">
        <v>1840</v>
      </c>
      <c r="B1842">
        <v>77</v>
      </c>
      <c r="C1842">
        <v>200</v>
      </c>
      <c r="D1842" t="s">
        <v>10463</v>
      </c>
      <c r="E1842" t="s">
        <v>10463</v>
      </c>
      <c r="F1842">
        <v>31</v>
      </c>
      <c r="G1842">
        <v>38</v>
      </c>
    </row>
    <row r="1843" spans="1:7" x14ac:dyDescent="0.25">
      <c r="A1843">
        <v>1841</v>
      </c>
      <c r="B1843">
        <v>25</v>
      </c>
      <c r="C1843">
        <v>200</v>
      </c>
      <c r="D1843" t="s">
        <v>10464</v>
      </c>
      <c r="E1843" t="s">
        <v>10464</v>
      </c>
      <c r="F1843">
        <v>32</v>
      </c>
      <c r="G1843">
        <v>37</v>
      </c>
    </row>
    <row r="1844" spans="1:7" x14ac:dyDescent="0.25">
      <c r="A1844">
        <v>1842</v>
      </c>
      <c r="B1844">
        <v>69</v>
      </c>
      <c r="C1844">
        <v>200</v>
      </c>
      <c r="D1844" t="s">
        <v>10465</v>
      </c>
      <c r="E1844" t="s">
        <v>10465</v>
      </c>
      <c r="F1844">
        <v>32</v>
      </c>
      <c r="G1844">
        <v>37</v>
      </c>
    </row>
    <row r="1845" spans="1:7" x14ac:dyDescent="0.25">
      <c r="A1845">
        <v>1843</v>
      </c>
      <c r="B1845">
        <v>77</v>
      </c>
      <c r="C1845">
        <v>200</v>
      </c>
      <c r="D1845" t="s">
        <v>10466</v>
      </c>
      <c r="E1845" t="s">
        <v>10466</v>
      </c>
      <c r="F1845">
        <v>31</v>
      </c>
      <c r="G1845">
        <v>37</v>
      </c>
    </row>
    <row r="1846" spans="1:7" x14ac:dyDescent="0.25">
      <c r="A1846">
        <v>1844</v>
      </c>
      <c r="B1846">
        <v>77</v>
      </c>
      <c r="C1846">
        <v>200</v>
      </c>
      <c r="D1846" t="s">
        <v>10467</v>
      </c>
      <c r="E1846" t="s">
        <v>10468</v>
      </c>
      <c r="F1846">
        <v>31</v>
      </c>
      <c r="G1846">
        <v>38</v>
      </c>
    </row>
    <row r="1847" spans="1:7" x14ac:dyDescent="0.25">
      <c r="A1847">
        <v>1845</v>
      </c>
      <c r="B1847">
        <v>23</v>
      </c>
      <c r="C1847">
        <v>200</v>
      </c>
      <c r="D1847" t="s">
        <v>10469</v>
      </c>
      <c r="E1847" t="s">
        <v>10469</v>
      </c>
      <c r="F1847">
        <v>32</v>
      </c>
      <c r="G1847">
        <v>38</v>
      </c>
    </row>
    <row r="1848" spans="1:7" x14ac:dyDescent="0.25">
      <c r="A1848">
        <v>1846</v>
      </c>
      <c r="B1848">
        <v>14</v>
      </c>
      <c r="C1848">
        <v>200</v>
      </c>
      <c r="D1848" t="s">
        <v>10470</v>
      </c>
      <c r="E1848" t="s">
        <v>10471</v>
      </c>
      <c r="F1848">
        <v>32</v>
      </c>
      <c r="G1848">
        <v>38</v>
      </c>
    </row>
    <row r="1849" spans="1:7" x14ac:dyDescent="0.25">
      <c r="A1849">
        <v>1847</v>
      </c>
      <c r="B1849">
        <v>2</v>
      </c>
      <c r="C1849">
        <v>200</v>
      </c>
      <c r="D1849" t="s">
        <v>10472</v>
      </c>
      <c r="E1849" t="s">
        <v>10472</v>
      </c>
      <c r="F1849">
        <v>32</v>
      </c>
      <c r="G1849">
        <v>38</v>
      </c>
    </row>
    <row r="1850" spans="1:7" x14ac:dyDescent="0.25">
      <c r="A1850">
        <v>1848</v>
      </c>
      <c r="B1850">
        <v>23</v>
      </c>
      <c r="C1850">
        <v>200</v>
      </c>
      <c r="D1850" t="s">
        <v>10473</v>
      </c>
      <c r="E1850" t="s">
        <v>10473</v>
      </c>
      <c r="F1850">
        <v>32</v>
      </c>
      <c r="G1850">
        <v>37</v>
      </c>
    </row>
    <row r="1851" spans="1:7" x14ac:dyDescent="0.25">
      <c r="A1851">
        <v>1849</v>
      </c>
      <c r="B1851">
        <v>25</v>
      </c>
      <c r="C1851">
        <v>200</v>
      </c>
      <c r="D1851" t="s">
        <v>10474</v>
      </c>
      <c r="E1851" t="s">
        <v>10474</v>
      </c>
      <c r="F1851">
        <v>32</v>
      </c>
      <c r="G1851">
        <v>37</v>
      </c>
    </row>
    <row r="1852" spans="1:7" x14ac:dyDescent="0.25">
      <c r="A1852">
        <v>1850</v>
      </c>
      <c r="B1852">
        <v>77</v>
      </c>
      <c r="C1852">
        <v>200</v>
      </c>
      <c r="D1852" t="s">
        <v>10475</v>
      </c>
      <c r="E1852" t="s">
        <v>10476</v>
      </c>
      <c r="F1852">
        <v>31</v>
      </c>
      <c r="G1852">
        <v>38</v>
      </c>
    </row>
    <row r="1853" spans="1:7" x14ac:dyDescent="0.25">
      <c r="A1853">
        <v>1851</v>
      </c>
      <c r="B1853">
        <v>77</v>
      </c>
      <c r="C1853">
        <v>200</v>
      </c>
      <c r="D1853" t="s">
        <v>10477</v>
      </c>
      <c r="E1853" t="s">
        <v>10477</v>
      </c>
      <c r="F1853">
        <v>31</v>
      </c>
      <c r="G1853">
        <v>38</v>
      </c>
    </row>
    <row r="1854" spans="1:7" x14ac:dyDescent="0.25">
      <c r="A1854">
        <v>1852</v>
      </c>
      <c r="B1854">
        <v>77</v>
      </c>
      <c r="C1854">
        <v>200</v>
      </c>
      <c r="D1854" t="s">
        <v>10478</v>
      </c>
      <c r="E1854" t="s">
        <v>10478</v>
      </c>
      <c r="F1854">
        <v>31</v>
      </c>
      <c r="G1854">
        <v>38</v>
      </c>
    </row>
    <row r="1855" spans="1:7" x14ac:dyDescent="0.25">
      <c r="A1855">
        <v>1853</v>
      </c>
      <c r="B1855">
        <v>77</v>
      </c>
      <c r="C1855">
        <v>200</v>
      </c>
      <c r="D1855" t="s">
        <v>10479</v>
      </c>
      <c r="E1855" t="s">
        <v>10479</v>
      </c>
      <c r="F1855">
        <v>31</v>
      </c>
      <c r="G1855">
        <v>38</v>
      </c>
    </row>
    <row r="1856" spans="1:7" x14ac:dyDescent="0.25">
      <c r="A1856">
        <v>1854</v>
      </c>
      <c r="B1856">
        <v>19</v>
      </c>
      <c r="C1856">
        <v>200</v>
      </c>
      <c r="D1856" t="s">
        <v>10480</v>
      </c>
      <c r="E1856" t="s">
        <v>10480</v>
      </c>
      <c r="F1856">
        <v>32</v>
      </c>
      <c r="G1856">
        <v>38</v>
      </c>
    </row>
    <row r="1857" spans="1:7" x14ac:dyDescent="0.25">
      <c r="A1857">
        <v>1855</v>
      </c>
      <c r="B1857">
        <v>77</v>
      </c>
      <c r="C1857">
        <v>200</v>
      </c>
      <c r="D1857" t="s">
        <v>10481</v>
      </c>
      <c r="E1857" t="s">
        <v>10481</v>
      </c>
      <c r="F1857">
        <v>31</v>
      </c>
      <c r="G1857">
        <v>38</v>
      </c>
    </row>
    <row r="1858" spans="1:7" x14ac:dyDescent="0.25">
      <c r="A1858">
        <v>1856</v>
      </c>
      <c r="B1858">
        <v>8</v>
      </c>
      <c r="C1858">
        <v>200</v>
      </c>
      <c r="D1858" t="s">
        <v>10482</v>
      </c>
      <c r="E1858" t="s">
        <v>10482</v>
      </c>
      <c r="F1858">
        <v>32</v>
      </c>
      <c r="G1858">
        <v>38</v>
      </c>
    </row>
    <row r="1859" spans="1:7" x14ac:dyDescent="0.25">
      <c r="A1859">
        <v>1857</v>
      </c>
      <c r="B1859">
        <v>71</v>
      </c>
      <c r="C1859">
        <v>200</v>
      </c>
      <c r="D1859" t="s">
        <v>10483</v>
      </c>
      <c r="E1859" t="s">
        <v>10483</v>
      </c>
      <c r="F1859">
        <v>32</v>
      </c>
      <c r="G1859">
        <v>37</v>
      </c>
    </row>
    <row r="1860" spans="1:7" x14ac:dyDescent="0.25">
      <c r="A1860">
        <v>1858</v>
      </c>
      <c r="B1860">
        <v>32</v>
      </c>
      <c r="C1860">
        <v>200</v>
      </c>
      <c r="D1860" t="s">
        <v>10484</v>
      </c>
      <c r="E1860" t="s">
        <v>10484</v>
      </c>
      <c r="F1860">
        <v>32</v>
      </c>
      <c r="G1860">
        <v>37</v>
      </c>
    </row>
    <row r="1861" spans="1:7" x14ac:dyDescent="0.25">
      <c r="A1861">
        <v>1859</v>
      </c>
      <c r="B1861">
        <v>77</v>
      </c>
      <c r="C1861">
        <v>200</v>
      </c>
      <c r="D1861" t="s">
        <v>10485</v>
      </c>
      <c r="E1861" t="s">
        <v>10486</v>
      </c>
      <c r="F1861">
        <v>31</v>
      </c>
      <c r="G1861">
        <v>38</v>
      </c>
    </row>
    <row r="1862" spans="1:7" x14ac:dyDescent="0.25">
      <c r="A1862">
        <v>1860</v>
      </c>
      <c r="B1862">
        <v>77</v>
      </c>
      <c r="C1862">
        <v>200</v>
      </c>
      <c r="D1862" t="s">
        <v>10487</v>
      </c>
      <c r="E1862" t="s">
        <v>10487</v>
      </c>
      <c r="F1862">
        <v>31</v>
      </c>
      <c r="G1862">
        <v>38</v>
      </c>
    </row>
    <row r="1863" spans="1:7" x14ac:dyDescent="0.25">
      <c r="A1863">
        <v>1861</v>
      </c>
      <c r="B1863">
        <v>15</v>
      </c>
      <c r="C1863">
        <v>200</v>
      </c>
      <c r="D1863" t="s">
        <v>10488</v>
      </c>
      <c r="E1863" t="s">
        <v>10488</v>
      </c>
      <c r="F1863">
        <v>32</v>
      </c>
      <c r="G1863">
        <v>38</v>
      </c>
    </row>
    <row r="1864" spans="1:7" x14ac:dyDescent="0.25">
      <c r="A1864">
        <v>1862</v>
      </c>
      <c r="B1864">
        <v>45</v>
      </c>
      <c r="C1864">
        <v>200</v>
      </c>
      <c r="D1864" t="s">
        <v>10489</v>
      </c>
      <c r="E1864" t="s">
        <v>10489</v>
      </c>
      <c r="F1864">
        <v>32</v>
      </c>
      <c r="G1864">
        <v>38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10"/>
  <sheetViews>
    <sheetView workbookViewId="0">
      <selection activeCell="A11" sqref="A11"/>
    </sheetView>
  </sheetViews>
  <sheetFormatPr baseColWidth="10" defaultRowHeight="15" x14ac:dyDescent="0.25"/>
  <sheetData>
    <row r="1" spans="1:1" x14ac:dyDescent="0.25">
      <c r="A1" t="s">
        <v>10510</v>
      </c>
    </row>
    <row r="3" spans="1:1" x14ac:dyDescent="0.25">
      <c r="A3" t="s">
        <v>10511</v>
      </c>
    </row>
    <row r="4" spans="1:1" x14ac:dyDescent="0.25">
      <c r="A4" t="s">
        <v>10512</v>
      </c>
    </row>
    <row r="5" spans="1:1" x14ac:dyDescent="0.25">
      <c r="A5" t="s">
        <v>10513</v>
      </c>
    </row>
    <row r="10" spans="1:1" x14ac:dyDescent="0.25">
      <c r="A10" t="s">
        <v>10514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V887"/>
  <sheetViews>
    <sheetView showGridLines="0" workbookViewId="0">
      <pane ySplit="8" topLeftCell="A450" activePane="bottomLeft" state="frozen"/>
      <selection pane="bottomLeft" activeCell="C453" sqref="C453"/>
    </sheetView>
  </sheetViews>
  <sheetFormatPr baseColWidth="10" defaultRowHeight="15" x14ac:dyDescent="0.25"/>
  <cols>
    <col min="1" max="1" width="10.85546875" style="16" customWidth="1"/>
    <col min="2" max="2" width="11.28515625" style="16" customWidth="1"/>
    <col min="3" max="3" width="43.28515625" style="16" customWidth="1"/>
    <col min="4" max="4" width="13.5703125" style="17" hidden="1" customWidth="1"/>
    <col min="5" max="5" width="13" style="16" customWidth="1"/>
    <col min="6" max="6" width="9.140625" style="16" customWidth="1"/>
    <col min="7" max="7" width="9.42578125" style="16" customWidth="1"/>
    <col min="8" max="8" width="9.140625" style="16" customWidth="1"/>
    <col min="9" max="9" width="6" style="16" customWidth="1"/>
    <col min="10" max="10" width="3.5703125" style="16" customWidth="1"/>
    <col min="11" max="11" width="3.42578125" style="16" customWidth="1"/>
    <col min="12" max="12" width="2.85546875" style="16" customWidth="1"/>
    <col min="13" max="13" width="3.42578125" style="16" customWidth="1"/>
    <col min="14" max="14" width="2.85546875" style="16" customWidth="1"/>
    <col min="15" max="15" width="3.85546875" style="16" customWidth="1"/>
    <col min="16" max="16" width="9.7109375" style="16" customWidth="1"/>
    <col min="17" max="17" width="26.28515625" style="16" customWidth="1"/>
    <col min="18" max="18" width="5.42578125" style="18" customWidth="1"/>
    <col min="19" max="19" width="8.28515625" style="16" customWidth="1"/>
    <col min="20" max="20" width="11.42578125" style="16"/>
    <col min="21" max="21" width="14.85546875" style="16" hidden="1" customWidth="1"/>
    <col min="22" max="22" width="40.7109375" style="16" hidden="1" customWidth="1"/>
    <col min="23" max="256" width="11.42578125" style="16"/>
    <col min="257" max="257" width="10.85546875" style="16" customWidth="1"/>
    <col min="258" max="258" width="11.28515625" style="16" customWidth="1"/>
    <col min="259" max="259" width="43.28515625" style="16" customWidth="1"/>
    <col min="260" max="260" width="0" style="16" hidden="1" customWidth="1"/>
    <col min="261" max="261" width="13" style="16" customWidth="1"/>
    <col min="262" max="262" width="9.140625" style="16" customWidth="1"/>
    <col min="263" max="263" width="9.42578125" style="16" customWidth="1"/>
    <col min="264" max="264" width="9.140625" style="16" customWidth="1"/>
    <col min="265" max="265" width="6" style="16" customWidth="1"/>
    <col min="266" max="266" width="3.5703125" style="16" customWidth="1"/>
    <col min="267" max="267" width="3.42578125" style="16" customWidth="1"/>
    <col min="268" max="268" width="2.85546875" style="16" customWidth="1"/>
    <col min="269" max="269" width="3.42578125" style="16" customWidth="1"/>
    <col min="270" max="270" width="2.85546875" style="16" customWidth="1"/>
    <col min="271" max="271" width="3.85546875" style="16" customWidth="1"/>
    <col min="272" max="272" width="9.7109375" style="16" customWidth="1"/>
    <col min="273" max="273" width="26.28515625" style="16" customWidth="1"/>
    <col min="274" max="274" width="5.42578125" style="16" customWidth="1"/>
    <col min="275" max="275" width="8.28515625" style="16" customWidth="1"/>
    <col min="276" max="276" width="11.42578125" style="16"/>
    <col min="277" max="278" width="0" style="16" hidden="1" customWidth="1"/>
    <col min="279" max="512" width="11.42578125" style="16"/>
    <col min="513" max="513" width="10.85546875" style="16" customWidth="1"/>
    <col min="514" max="514" width="11.28515625" style="16" customWidth="1"/>
    <col min="515" max="515" width="43.28515625" style="16" customWidth="1"/>
    <col min="516" max="516" width="0" style="16" hidden="1" customWidth="1"/>
    <col min="517" max="517" width="13" style="16" customWidth="1"/>
    <col min="518" max="518" width="9.140625" style="16" customWidth="1"/>
    <col min="519" max="519" width="9.42578125" style="16" customWidth="1"/>
    <col min="520" max="520" width="9.140625" style="16" customWidth="1"/>
    <col min="521" max="521" width="6" style="16" customWidth="1"/>
    <col min="522" max="522" width="3.5703125" style="16" customWidth="1"/>
    <col min="523" max="523" width="3.42578125" style="16" customWidth="1"/>
    <col min="524" max="524" width="2.85546875" style="16" customWidth="1"/>
    <col min="525" max="525" width="3.42578125" style="16" customWidth="1"/>
    <col min="526" max="526" width="2.85546875" style="16" customWidth="1"/>
    <col min="527" max="527" width="3.85546875" style="16" customWidth="1"/>
    <col min="528" max="528" width="9.7109375" style="16" customWidth="1"/>
    <col min="529" max="529" width="26.28515625" style="16" customWidth="1"/>
    <col min="530" max="530" width="5.42578125" style="16" customWidth="1"/>
    <col min="531" max="531" width="8.28515625" style="16" customWidth="1"/>
    <col min="532" max="532" width="11.42578125" style="16"/>
    <col min="533" max="534" width="0" style="16" hidden="1" customWidth="1"/>
    <col min="535" max="768" width="11.42578125" style="16"/>
    <col min="769" max="769" width="10.85546875" style="16" customWidth="1"/>
    <col min="770" max="770" width="11.28515625" style="16" customWidth="1"/>
    <col min="771" max="771" width="43.28515625" style="16" customWidth="1"/>
    <col min="772" max="772" width="0" style="16" hidden="1" customWidth="1"/>
    <col min="773" max="773" width="13" style="16" customWidth="1"/>
    <col min="774" max="774" width="9.140625" style="16" customWidth="1"/>
    <col min="775" max="775" width="9.42578125" style="16" customWidth="1"/>
    <col min="776" max="776" width="9.140625" style="16" customWidth="1"/>
    <col min="777" max="777" width="6" style="16" customWidth="1"/>
    <col min="778" max="778" width="3.5703125" style="16" customWidth="1"/>
    <col min="779" max="779" width="3.42578125" style="16" customWidth="1"/>
    <col min="780" max="780" width="2.85546875" style="16" customWidth="1"/>
    <col min="781" max="781" width="3.42578125" style="16" customWidth="1"/>
    <col min="782" max="782" width="2.85546875" style="16" customWidth="1"/>
    <col min="783" max="783" width="3.85546875" style="16" customWidth="1"/>
    <col min="784" max="784" width="9.7109375" style="16" customWidth="1"/>
    <col min="785" max="785" width="26.28515625" style="16" customWidth="1"/>
    <col min="786" max="786" width="5.42578125" style="16" customWidth="1"/>
    <col min="787" max="787" width="8.28515625" style="16" customWidth="1"/>
    <col min="788" max="788" width="11.42578125" style="16"/>
    <col min="789" max="790" width="0" style="16" hidden="1" customWidth="1"/>
    <col min="791" max="1024" width="11.42578125" style="16"/>
    <col min="1025" max="1025" width="10.85546875" style="16" customWidth="1"/>
    <col min="1026" max="1026" width="11.28515625" style="16" customWidth="1"/>
    <col min="1027" max="1027" width="43.28515625" style="16" customWidth="1"/>
    <col min="1028" max="1028" width="0" style="16" hidden="1" customWidth="1"/>
    <col min="1029" max="1029" width="13" style="16" customWidth="1"/>
    <col min="1030" max="1030" width="9.140625" style="16" customWidth="1"/>
    <col min="1031" max="1031" width="9.42578125" style="16" customWidth="1"/>
    <col min="1032" max="1032" width="9.140625" style="16" customWidth="1"/>
    <col min="1033" max="1033" width="6" style="16" customWidth="1"/>
    <col min="1034" max="1034" width="3.5703125" style="16" customWidth="1"/>
    <col min="1035" max="1035" width="3.42578125" style="16" customWidth="1"/>
    <col min="1036" max="1036" width="2.85546875" style="16" customWidth="1"/>
    <col min="1037" max="1037" width="3.42578125" style="16" customWidth="1"/>
    <col min="1038" max="1038" width="2.85546875" style="16" customWidth="1"/>
    <col min="1039" max="1039" width="3.85546875" style="16" customWidth="1"/>
    <col min="1040" max="1040" width="9.7109375" style="16" customWidth="1"/>
    <col min="1041" max="1041" width="26.28515625" style="16" customWidth="1"/>
    <col min="1042" max="1042" width="5.42578125" style="16" customWidth="1"/>
    <col min="1043" max="1043" width="8.28515625" style="16" customWidth="1"/>
    <col min="1044" max="1044" width="11.42578125" style="16"/>
    <col min="1045" max="1046" width="0" style="16" hidden="1" customWidth="1"/>
    <col min="1047" max="1280" width="11.42578125" style="16"/>
    <col min="1281" max="1281" width="10.85546875" style="16" customWidth="1"/>
    <col min="1282" max="1282" width="11.28515625" style="16" customWidth="1"/>
    <col min="1283" max="1283" width="43.28515625" style="16" customWidth="1"/>
    <col min="1284" max="1284" width="0" style="16" hidden="1" customWidth="1"/>
    <col min="1285" max="1285" width="13" style="16" customWidth="1"/>
    <col min="1286" max="1286" width="9.140625" style="16" customWidth="1"/>
    <col min="1287" max="1287" width="9.42578125" style="16" customWidth="1"/>
    <col min="1288" max="1288" width="9.140625" style="16" customWidth="1"/>
    <col min="1289" max="1289" width="6" style="16" customWidth="1"/>
    <col min="1290" max="1290" width="3.5703125" style="16" customWidth="1"/>
    <col min="1291" max="1291" width="3.42578125" style="16" customWidth="1"/>
    <col min="1292" max="1292" width="2.85546875" style="16" customWidth="1"/>
    <col min="1293" max="1293" width="3.42578125" style="16" customWidth="1"/>
    <col min="1294" max="1294" width="2.85546875" style="16" customWidth="1"/>
    <col min="1295" max="1295" width="3.85546875" style="16" customWidth="1"/>
    <col min="1296" max="1296" width="9.7109375" style="16" customWidth="1"/>
    <col min="1297" max="1297" width="26.28515625" style="16" customWidth="1"/>
    <col min="1298" max="1298" width="5.42578125" style="16" customWidth="1"/>
    <col min="1299" max="1299" width="8.28515625" style="16" customWidth="1"/>
    <col min="1300" max="1300" width="11.42578125" style="16"/>
    <col min="1301" max="1302" width="0" style="16" hidden="1" customWidth="1"/>
    <col min="1303" max="1536" width="11.42578125" style="16"/>
    <col min="1537" max="1537" width="10.85546875" style="16" customWidth="1"/>
    <col min="1538" max="1538" width="11.28515625" style="16" customWidth="1"/>
    <col min="1539" max="1539" width="43.28515625" style="16" customWidth="1"/>
    <col min="1540" max="1540" width="0" style="16" hidden="1" customWidth="1"/>
    <col min="1541" max="1541" width="13" style="16" customWidth="1"/>
    <col min="1542" max="1542" width="9.140625" style="16" customWidth="1"/>
    <col min="1543" max="1543" width="9.42578125" style="16" customWidth="1"/>
    <col min="1544" max="1544" width="9.140625" style="16" customWidth="1"/>
    <col min="1545" max="1545" width="6" style="16" customWidth="1"/>
    <col min="1546" max="1546" width="3.5703125" style="16" customWidth="1"/>
    <col min="1547" max="1547" width="3.42578125" style="16" customWidth="1"/>
    <col min="1548" max="1548" width="2.85546875" style="16" customWidth="1"/>
    <col min="1549" max="1549" width="3.42578125" style="16" customWidth="1"/>
    <col min="1550" max="1550" width="2.85546875" style="16" customWidth="1"/>
    <col min="1551" max="1551" width="3.85546875" style="16" customWidth="1"/>
    <col min="1552" max="1552" width="9.7109375" style="16" customWidth="1"/>
    <col min="1553" max="1553" width="26.28515625" style="16" customWidth="1"/>
    <col min="1554" max="1554" width="5.42578125" style="16" customWidth="1"/>
    <col min="1555" max="1555" width="8.28515625" style="16" customWidth="1"/>
    <col min="1556" max="1556" width="11.42578125" style="16"/>
    <col min="1557" max="1558" width="0" style="16" hidden="1" customWidth="1"/>
    <col min="1559" max="1792" width="11.42578125" style="16"/>
    <col min="1793" max="1793" width="10.85546875" style="16" customWidth="1"/>
    <col min="1794" max="1794" width="11.28515625" style="16" customWidth="1"/>
    <col min="1795" max="1795" width="43.28515625" style="16" customWidth="1"/>
    <col min="1796" max="1796" width="0" style="16" hidden="1" customWidth="1"/>
    <col min="1797" max="1797" width="13" style="16" customWidth="1"/>
    <col min="1798" max="1798" width="9.140625" style="16" customWidth="1"/>
    <col min="1799" max="1799" width="9.42578125" style="16" customWidth="1"/>
    <col min="1800" max="1800" width="9.140625" style="16" customWidth="1"/>
    <col min="1801" max="1801" width="6" style="16" customWidth="1"/>
    <col min="1802" max="1802" width="3.5703125" style="16" customWidth="1"/>
    <col min="1803" max="1803" width="3.42578125" style="16" customWidth="1"/>
    <col min="1804" max="1804" width="2.85546875" style="16" customWidth="1"/>
    <col min="1805" max="1805" width="3.42578125" style="16" customWidth="1"/>
    <col min="1806" max="1806" width="2.85546875" style="16" customWidth="1"/>
    <col min="1807" max="1807" width="3.85546875" style="16" customWidth="1"/>
    <col min="1808" max="1808" width="9.7109375" style="16" customWidth="1"/>
    <col min="1809" max="1809" width="26.28515625" style="16" customWidth="1"/>
    <col min="1810" max="1810" width="5.42578125" style="16" customWidth="1"/>
    <col min="1811" max="1811" width="8.28515625" style="16" customWidth="1"/>
    <col min="1812" max="1812" width="11.42578125" style="16"/>
    <col min="1813" max="1814" width="0" style="16" hidden="1" customWidth="1"/>
    <col min="1815" max="2048" width="11.42578125" style="16"/>
    <col min="2049" max="2049" width="10.85546875" style="16" customWidth="1"/>
    <col min="2050" max="2050" width="11.28515625" style="16" customWidth="1"/>
    <col min="2051" max="2051" width="43.28515625" style="16" customWidth="1"/>
    <col min="2052" max="2052" width="0" style="16" hidden="1" customWidth="1"/>
    <col min="2053" max="2053" width="13" style="16" customWidth="1"/>
    <col min="2054" max="2054" width="9.140625" style="16" customWidth="1"/>
    <col min="2055" max="2055" width="9.42578125" style="16" customWidth="1"/>
    <col min="2056" max="2056" width="9.140625" style="16" customWidth="1"/>
    <col min="2057" max="2057" width="6" style="16" customWidth="1"/>
    <col min="2058" max="2058" width="3.5703125" style="16" customWidth="1"/>
    <col min="2059" max="2059" width="3.42578125" style="16" customWidth="1"/>
    <col min="2060" max="2060" width="2.85546875" style="16" customWidth="1"/>
    <col min="2061" max="2061" width="3.42578125" style="16" customWidth="1"/>
    <col min="2062" max="2062" width="2.85546875" style="16" customWidth="1"/>
    <col min="2063" max="2063" width="3.85546875" style="16" customWidth="1"/>
    <col min="2064" max="2064" width="9.7109375" style="16" customWidth="1"/>
    <col min="2065" max="2065" width="26.28515625" style="16" customWidth="1"/>
    <col min="2066" max="2066" width="5.42578125" style="16" customWidth="1"/>
    <col min="2067" max="2067" width="8.28515625" style="16" customWidth="1"/>
    <col min="2068" max="2068" width="11.42578125" style="16"/>
    <col min="2069" max="2070" width="0" style="16" hidden="1" customWidth="1"/>
    <col min="2071" max="2304" width="11.42578125" style="16"/>
    <col min="2305" max="2305" width="10.85546875" style="16" customWidth="1"/>
    <col min="2306" max="2306" width="11.28515625" style="16" customWidth="1"/>
    <col min="2307" max="2307" width="43.28515625" style="16" customWidth="1"/>
    <col min="2308" max="2308" width="0" style="16" hidden="1" customWidth="1"/>
    <col min="2309" max="2309" width="13" style="16" customWidth="1"/>
    <col min="2310" max="2310" width="9.140625" style="16" customWidth="1"/>
    <col min="2311" max="2311" width="9.42578125" style="16" customWidth="1"/>
    <col min="2312" max="2312" width="9.140625" style="16" customWidth="1"/>
    <col min="2313" max="2313" width="6" style="16" customWidth="1"/>
    <col min="2314" max="2314" width="3.5703125" style="16" customWidth="1"/>
    <col min="2315" max="2315" width="3.42578125" style="16" customWidth="1"/>
    <col min="2316" max="2316" width="2.85546875" style="16" customWidth="1"/>
    <col min="2317" max="2317" width="3.42578125" style="16" customWidth="1"/>
    <col min="2318" max="2318" width="2.85546875" style="16" customWidth="1"/>
    <col min="2319" max="2319" width="3.85546875" style="16" customWidth="1"/>
    <col min="2320" max="2320" width="9.7109375" style="16" customWidth="1"/>
    <col min="2321" max="2321" width="26.28515625" style="16" customWidth="1"/>
    <col min="2322" max="2322" width="5.42578125" style="16" customWidth="1"/>
    <col min="2323" max="2323" width="8.28515625" style="16" customWidth="1"/>
    <col min="2324" max="2324" width="11.42578125" style="16"/>
    <col min="2325" max="2326" width="0" style="16" hidden="1" customWidth="1"/>
    <col min="2327" max="2560" width="11.42578125" style="16"/>
    <col min="2561" max="2561" width="10.85546875" style="16" customWidth="1"/>
    <col min="2562" max="2562" width="11.28515625" style="16" customWidth="1"/>
    <col min="2563" max="2563" width="43.28515625" style="16" customWidth="1"/>
    <col min="2564" max="2564" width="0" style="16" hidden="1" customWidth="1"/>
    <col min="2565" max="2565" width="13" style="16" customWidth="1"/>
    <col min="2566" max="2566" width="9.140625" style="16" customWidth="1"/>
    <col min="2567" max="2567" width="9.42578125" style="16" customWidth="1"/>
    <col min="2568" max="2568" width="9.140625" style="16" customWidth="1"/>
    <col min="2569" max="2569" width="6" style="16" customWidth="1"/>
    <col min="2570" max="2570" width="3.5703125" style="16" customWidth="1"/>
    <col min="2571" max="2571" width="3.42578125" style="16" customWidth="1"/>
    <col min="2572" max="2572" width="2.85546875" style="16" customWidth="1"/>
    <col min="2573" max="2573" width="3.42578125" style="16" customWidth="1"/>
    <col min="2574" max="2574" width="2.85546875" style="16" customWidth="1"/>
    <col min="2575" max="2575" width="3.85546875" style="16" customWidth="1"/>
    <col min="2576" max="2576" width="9.7109375" style="16" customWidth="1"/>
    <col min="2577" max="2577" width="26.28515625" style="16" customWidth="1"/>
    <col min="2578" max="2578" width="5.42578125" style="16" customWidth="1"/>
    <col min="2579" max="2579" width="8.28515625" style="16" customWidth="1"/>
    <col min="2580" max="2580" width="11.42578125" style="16"/>
    <col min="2581" max="2582" width="0" style="16" hidden="1" customWidth="1"/>
    <col min="2583" max="2816" width="11.42578125" style="16"/>
    <col min="2817" max="2817" width="10.85546875" style="16" customWidth="1"/>
    <col min="2818" max="2818" width="11.28515625" style="16" customWidth="1"/>
    <col min="2819" max="2819" width="43.28515625" style="16" customWidth="1"/>
    <col min="2820" max="2820" width="0" style="16" hidden="1" customWidth="1"/>
    <col min="2821" max="2821" width="13" style="16" customWidth="1"/>
    <col min="2822" max="2822" width="9.140625" style="16" customWidth="1"/>
    <col min="2823" max="2823" width="9.42578125" style="16" customWidth="1"/>
    <col min="2824" max="2824" width="9.140625" style="16" customWidth="1"/>
    <col min="2825" max="2825" width="6" style="16" customWidth="1"/>
    <col min="2826" max="2826" width="3.5703125" style="16" customWidth="1"/>
    <col min="2827" max="2827" width="3.42578125" style="16" customWidth="1"/>
    <col min="2828" max="2828" width="2.85546875" style="16" customWidth="1"/>
    <col min="2829" max="2829" width="3.42578125" style="16" customWidth="1"/>
    <col min="2830" max="2830" width="2.85546875" style="16" customWidth="1"/>
    <col min="2831" max="2831" width="3.85546875" style="16" customWidth="1"/>
    <col min="2832" max="2832" width="9.7109375" style="16" customWidth="1"/>
    <col min="2833" max="2833" width="26.28515625" style="16" customWidth="1"/>
    <col min="2834" max="2834" width="5.42578125" style="16" customWidth="1"/>
    <col min="2835" max="2835" width="8.28515625" style="16" customWidth="1"/>
    <col min="2836" max="2836" width="11.42578125" style="16"/>
    <col min="2837" max="2838" width="0" style="16" hidden="1" customWidth="1"/>
    <col min="2839" max="3072" width="11.42578125" style="16"/>
    <col min="3073" max="3073" width="10.85546875" style="16" customWidth="1"/>
    <col min="3074" max="3074" width="11.28515625" style="16" customWidth="1"/>
    <col min="3075" max="3075" width="43.28515625" style="16" customWidth="1"/>
    <col min="3076" max="3076" width="0" style="16" hidden="1" customWidth="1"/>
    <col min="3077" max="3077" width="13" style="16" customWidth="1"/>
    <col min="3078" max="3078" width="9.140625" style="16" customWidth="1"/>
    <col min="3079" max="3079" width="9.42578125" style="16" customWidth="1"/>
    <col min="3080" max="3080" width="9.140625" style="16" customWidth="1"/>
    <col min="3081" max="3081" width="6" style="16" customWidth="1"/>
    <col min="3082" max="3082" width="3.5703125" style="16" customWidth="1"/>
    <col min="3083" max="3083" width="3.42578125" style="16" customWidth="1"/>
    <col min="3084" max="3084" width="2.85546875" style="16" customWidth="1"/>
    <col min="3085" max="3085" width="3.42578125" style="16" customWidth="1"/>
    <col min="3086" max="3086" width="2.85546875" style="16" customWidth="1"/>
    <col min="3087" max="3087" width="3.85546875" style="16" customWidth="1"/>
    <col min="3088" max="3088" width="9.7109375" style="16" customWidth="1"/>
    <col min="3089" max="3089" width="26.28515625" style="16" customWidth="1"/>
    <col min="3090" max="3090" width="5.42578125" style="16" customWidth="1"/>
    <col min="3091" max="3091" width="8.28515625" style="16" customWidth="1"/>
    <col min="3092" max="3092" width="11.42578125" style="16"/>
    <col min="3093" max="3094" width="0" style="16" hidden="1" customWidth="1"/>
    <col min="3095" max="3328" width="11.42578125" style="16"/>
    <col min="3329" max="3329" width="10.85546875" style="16" customWidth="1"/>
    <col min="3330" max="3330" width="11.28515625" style="16" customWidth="1"/>
    <col min="3331" max="3331" width="43.28515625" style="16" customWidth="1"/>
    <col min="3332" max="3332" width="0" style="16" hidden="1" customWidth="1"/>
    <col min="3333" max="3333" width="13" style="16" customWidth="1"/>
    <col min="3334" max="3334" width="9.140625" style="16" customWidth="1"/>
    <col min="3335" max="3335" width="9.42578125" style="16" customWidth="1"/>
    <col min="3336" max="3336" width="9.140625" style="16" customWidth="1"/>
    <col min="3337" max="3337" width="6" style="16" customWidth="1"/>
    <col min="3338" max="3338" width="3.5703125" style="16" customWidth="1"/>
    <col min="3339" max="3339" width="3.42578125" style="16" customWidth="1"/>
    <col min="3340" max="3340" width="2.85546875" style="16" customWidth="1"/>
    <col min="3341" max="3341" width="3.42578125" style="16" customWidth="1"/>
    <col min="3342" max="3342" width="2.85546875" style="16" customWidth="1"/>
    <col min="3343" max="3343" width="3.85546875" style="16" customWidth="1"/>
    <col min="3344" max="3344" width="9.7109375" style="16" customWidth="1"/>
    <col min="3345" max="3345" width="26.28515625" style="16" customWidth="1"/>
    <col min="3346" max="3346" width="5.42578125" style="16" customWidth="1"/>
    <col min="3347" max="3347" width="8.28515625" style="16" customWidth="1"/>
    <col min="3348" max="3348" width="11.42578125" style="16"/>
    <col min="3349" max="3350" width="0" style="16" hidden="1" customWidth="1"/>
    <col min="3351" max="3584" width="11.42578125" style="16"/>
    <col min="3585" max="3585" width="10.85546875" style="16" customWidth="1"/>
    <col min="3586" max="3586" width="11.28515625" style="16" customWidth="1"/>
    <col min="3587" max="3587" width="43.28515625" style="16" customWidth="1"/>
    <col min="3588" max="3588" width="0" style="16" hidden="1" customWidth="1"/>
    <col min="3589" max="3589" width="13" style="16" customWidth="1"/>
    <col min="3590" max="3590" width="9.140625" style="16" customWidth="1"/>
    <col min="3591" max="3591" width="9.42578125" style="16" customWidth="1"/>
    <col min="3592" max="3592" width="9.140625" style="16" customWidth="1"/>
    <col min="3593" max="3593" width="6" style="16" customWidth="1"/>
    <col min="3594" max="3594" width="3.5703125" style="16" customWidth="1"/>
    <col min="3595" max="3595" width="3.42578125" style="16" customWidth="1"/>
    <col min="3596" max="3596" width="2.85546875" style="16" customWidth="1"/>
    <col min="3597" max="3597" width="3.42578125" style="16" customWidth="1"/>
    <col min="3598" max="3598" width="2.85546875" style="16" customWidth="1"/>
    <col min="3599" max="3599" width="3.85546875" style="16" customWidth="1"/>
    <col min="3600" max="3600" width="9.7109375" style="16" customWidth="1"/>
    <col min="3601" max="3601" width="26.28515625" style="16" customWidth="1"/>
    <col min="3602" max="3602" width="5.42578125" style="16" customWidth="1"/>
    <col min="3603" max="3603" width="8.28515625" style="16" customWidth="1"/>
    <col min="3604" max="3604" width="11.42578125" style="16"/>
    <col min="3605" max="3606" width="0" style="16" hidden="1" customWidth="1"/>
    <col min="3607" max="3840" width="11.42578125" style="16"/>
    <col min="3841" max="3841" width="10.85546875" style="16" customWidth="1"/>
    <col min="3842" max="3842" width="11.28515625" style="16" customWidth="1"/>
    <col min="3843" max="3843" width="43.28515625" style="16" customWidth="1"/>
    <col min="3844" max="3844" width="0" style="16" hidden="1" customWidth="1"/>
    <col min="3845" max="3845" width="13" style="16" customWidth="1"/>
    <col min="3846" max="3846" width="9.140625" style="16" customWidth="1"/>
    <col min="3847" max="3847" width="9.42578125" style="16" customWidth="1"/>
    <col min="3848" max="3848" width="9.140625" style="16" customWidth="1"/>
    <col min="3849" max="3849" width="6" style="16" customWidth="1"/>
    <col min="3850" max="3850" width="3.5703125" style="16" customWidth="1"/>
    <col min="3851" max="3851" width="3.42578125" style="16" customWidth="1"/>
    <col min="3852" max="3852" width="2.85546875" style="16" customWidth="1"/>
    <col min="3853" max="3853" width="3.42578125" style="16" customWidth="1"/>
    <col min="3854" max="3854" width="2.85546875" style="16" customWidth="1"/>
    <col min="3855" max="3855" width="3.85546875" style="16" customWidth="1"/>
    <col min="3856" max="3856" width="9.7109375" style="16" customWidth="1"/>
    <col min="3857" max="3857" width="26.28515625" style="16" customWidth="1"/>
    <col min="3858" max="3858" width="5.42578125" style="16" customWidth="1"/>
    <col min="3859" max="3859" width="8.28515625" style="16" customWidth="1"/>
    <col min="3860" max="3860" width="11.42578125" style="16"/>
    <col min="3861" max="3862" width="0" style="16" hidden="1" customWidth="1"/>
    <col min="3863" max="4096" width="11.42578125" style="16"/>
    <col min="4097" max="4097" width="10.85546875" style="16" customWidth="1"/>
    <col min="4098" max="4098" width="11.28515625" style="16" customWidth="1"/>
    <col min="4099" max="4099" width="43.28515625" style="16" customWidth="1"/>
    <col min="4100" max="4100" width="0" style="16" hidden="1" customWidth="1"/>
    <col min="4101" max="4101" width="13" style="16" customWidth="1"/>
    <col min="4102" max="4102" width="9.140625" style="16" customWidth="1"/>
    <col min="4103" max="4103" width="9.42578125" style="16" customWidth="1"/>
    <col min="4104" max="4104" width="9.140625" style="16" customWidth="1"/>
    <col min="4105" max="4105" width="6" style="16" customWidth="1"/>
    <col min="4106" max="4106" width="3.5703125" style="16" customWidth="1"/>
    <col min="4107" max="4107" width="3.42578125" style="16" customWidth="1"/>
    <col min="4108" max="4108" width="2.85546875" style="16" customWidth="1"/>
    <col min="4109" max="4109" width="3.42578125" style="16" customWidth="1"/>
    <col min="4110" max="4110" width="2.85546875" style="16" customWidth="1"/>
    <col min="4111" max="4111" width="3.85546875" style="16" customWidth="1"/>
    <col min="4112" max="4112" width="9.7109375" style="16" customWidth="1"/>
    <col min="4113" max="4113" width="26.28515625" style="16" customWidth="1"/>
    <col min="4114" max="4114" width="5.42578125" style="16" customWidth="1"/>
    <col min="4115" max="4115" width="8.28515625" style="16" customWidth="1"/>
    <col min="4116" max="4116" width="11.42578125" style="16"/>
    <col min="4117" max="4118" width="0" style="16" hidden="1" customWidth="1"/>
    <col min="4119" max="4352" width="11.42578125" style="16"/>
    <col min="4353" max="4353" width="10.85546875" style="16" customWidth="1"/>
    <col min="4354" max="4354" width="11.28515625" style="16" customWidth="1"/>
    <col min="4355" max="4355" width="43.28515625" style="16" customWidth="1"/>
    <col min="4356" max="4356" width="0" style="16" hidden="1" customWidth="1"/>
    <col min="4357" max="4357" width="13" style="16" customWidth="1"/>
    <col min="4358" max="4358" width="9.140625" style="16" customWidth="1"/>
    <col min="4359" max="4359" width="9.42578125" style="16" customWidth="1"/>
    <col min="4360" max="4360" width="9.140625" style="16" customWidth="1"/>
    <col min="4361" max="4361" width="6" style="16" customWidth="1"/>
    <col min="4362" max="4362" width="3.5703125" style="16" customWidth="1"/>
    <col min="4363" max="4363" width="3.42578125" style="16" customWidth="1"/>
    <col min="4364" max="4364" width="2.85546875" style="16" customWidth="1"/>
    <col min="4365" max="4365" width="3.42578125" style="16" customWidth="1"/>
    <col min="4366" max="4366" width="2.85546875" style="16" customWidth="1"/>
    <col min="4367" max="4367" width="3.85546875" style="16" customWidth="1"/>
    <col min="4368" max="4368" width="9.7109375" style="16" customWidth="1"/>
    <col min="4369" max="4369" width="26.28515625" style="16" customWidth="1"/>
    <col min="4370" max="4370" width="5.42578125" style="16" customWidth="1"/>
    <col min="4371" max="4371" width="8.28515625" style="16" customWidth="1"/>
    <col min="4372" max="4372" width="11.42578125" style="16"/>
    <col min="4373" max="4374" width="0" style="16" hidden="1" customWidth="1"/>
    <col min="4375" max="4608" width="11.42578125" style="16"/>
    <col min="4609" max="4609" width="10.85546875" style="16" customWidth="1"/>
    <col min="4610" max="4610" width="11.28515625" style="16" customWidth="1"/>
    <col min="4611" max="4611" width="43.28515625" style="16" customWidth="1"/>
    <col min="4612" max="4612" width="0" style="16" hidden="1" customWidth="1"/>
    <col min="4613" max="4613" width="13" style="16" customWidth="1"/>
    <col min="4614" max="4614" width="9.140625" style="16" customWidth="1"/>
    <col min="4615" max="4615" width="9.42578125" style="16" customWidth="1"/>
    <col min="4616" max="4616" width="9.140625" style="16" customWidth="1"/>
    <col min="4617" max="4617" width="6" style="16" customWidth="1"/>
    <col min="4618" max="4618" width="3.5703125" style="16" customWidth="1"/>
    <col min="4619" max="4619" width="3.42578125" style="16" customWidth="1"/>
    <col min="4620" max="4620" width="2.85546875" style="16" customWidth="1"/>
    <col min="4621" max="4621" width="3.42578125" style="16" customWidth="1"/>
    <col min="4622" max="4622" width="2.85546875" style="16" customWidth="1"/>
    <col min="4623" max="4623" width="3.85546875" style="16" customWidth="1"/>
    <col min="4624" max="4624" width="9.7109375" style="16" customWidth="1"/>
    <col min="4625" max="4625" width="26.28515625" style="16" customWidth="1"/>
    <col min="4626" max="4626" width="5.42578125" style="16" customWidth="1"/>
    <col min="4627" max="4627" width="8.28515625" style="16" customWidth="1"/>
    <col min="4628" max="4628" width="11.42578125" style="16"/>
    <col min="4629" max="4630" width="0" style="16" hidden="1" customWidth="1"/>
    <col min="4631" max="4864" width="11.42578125" style="16"/>
    <col min="4865" max="4865" width="10.85546875" style="16" customWidth="1"/>
    <col min="4866" max="4866" width="11.28515625" style="16" customWidth="1"/>
    <col min="4867" max="4867" width="43.28515625" style="16" customWidth="1"/>
    <col min="4868" max="4868" width="0" style="16" hidden="1" customWidth="1"/>
    <col min="4869" max="4869" width="13" style="16" customWidth="1"/>
    <col min="4870" max="4870" width="9.140625" style="16" customWidth="1"/>
    <col min="4871" max="4871" width="9.42578125" style="16" customWidth="1"/>
    <col min="4872" max="4872" width="9.140625" style="16" customWidth="1"/>
    <col min="4873" max="4873" width="6" style="16" customWidth="1"/>
    <col min="4874" max="4874" width="3.5703125" style="16" customWidth="1"/>
    <col min="4875" max="4875" width="3.42578125" style="16" customWidth="1"/>
    <col min="4876" max="4876" width="2.85546875" style="16" customWidth="1"/>
    <col min="4877" max="4877" width="3.42578125" style="16" customWidth="1"/>
    <col min="4878" max="4878" width="2.85546875" style="16" customWidth="1"/>
    <col min="4879" max="4879" width="3.85546875" style="16" customWidth="1"/>
    <col min="4880" max="4880" width="9.7109375" style="16" customWidth="1"/>
    <col min="4881" max="4881" width="26.28515625" style="16" customWidth="1"/>
    <col min="4882" max="4882" width="5.42578125" style="16" customWidth="1"/>
    <col min="4883" max="4883" width="8.28515625" style="16" customWidth="1"/>
    <col min="4884" max="4884" width="11.42578125" style="16"/>
    <col min="4885" max="4886" width="0" style="16" hidden="1" customWidth="1"/>
    <col min="4887" max="5120" width="11.42578125" style="16"/>
    <col min="5121" max="5121" width="10.85546875" style="16" customWidth="1"/>
    <col min="5122" max="5122" width="11.28515625" style="16" customWidth="1"/>
    <col min="5123" max="5123" width="43.28515625" style="16" customWidth="1"/>
    <col min="5124" max="5124" width="0" style="16" hidden="1" customWidth="1"/>
    <col min="5125" max="5125" width="13" style="16" customWidth="1"/>
    <col min="5126" max="5126" width="9.140625" style="16" customWidth="1"/>
    <col min="5127" max="5127" width="9.42578125" style="16" customWidth="1"/>
    <col min="5128" max="5128" width="9.140625" style="16" customWidth="1"/>
    <col min="5129" max="5129" width="6" style="16" customWidth="1"/>
    <col min="5130" max="5130" width="3.5703125" style="16" customWidth="1"/>
    <col min="5131" max="5131" width="3.42578125" style="16" customWidth="1"/>
    <col min="5132" max="5132" width="2.85546875" style="16" customWidth="1"/>
    <col min="5133" max="5133" width="3.42578125" style="16" customWidth="1"/>
    <col min="5134" max="5134" width="2.85546875" style="16" customWidth="1"/>
    <col min="5135" max="5135" width="3.85546875" style="16" customWidth="1"/>
    <col min="5136" max="5136" width="9.7109375" style="16" customWidth="1"/>
    <col min="5137" max="5137" width="26.28515625" style="16" customWidth="1"/>
    <col min="5138" max="5138" width="5.42578125" style="16" customWidth="1"/>
    <col min="5139" max="5139" width="8.28515625" style="16" customWidth="1"/>
    <col min="5140" max="5140" width="11.42578125" style="16"/>
    <col min="5141" max="5142" width="0" style="16" hidden="1" customWidth="1"/>
    <col min="5143" max="5376" width="11.42578125" style="16"/>
    <col min="5377" max="5377" width="10.85546875" style="16" customWidth="1"/>
    <col min="5378" max="5378" width="11.28515625" style="16" customWidth="1"/>
    <col min="5379" max="5379" width="43.28515625" style="16" customWidth="1"/>
    <col min="5380" max="5380" width="0" style="16" hidden="1" customWidth="1"/>
    <col min="5381" max="5381" width="13" style="16" customWidth="1"/>
    <col min="5382" max="5382" width="9.140625" style="16" customWidth="1"/>
    <col min="5383" max="5383" width="9.42578125" style="16" customWidth="1"/>
    <col min="5384" max="5384" width="9.140625" style="16" customWidth="1"/>
    <col min="5385" max="5385" width="6" style="16" customWidth="1"/>
    <col min="5386" max="5386" width="3.5703125" style="16" customWidth="1"/>
    <col min="5387" max="5387" width="3.42578125" style="16" customWidth="1"/>
    <col min="5388" max="5388" width="2.85546875" style="16" customWidth="1"/>
    <col min="5389" max="5389" width="3.42578125" style="16" customWidth="1"/>
    <col min="5390" max="5390" width="2.85546875" style="16" customWidth="1"/>
    <col min="5391" max="5391" width="3.85546875" style="16" customWidth="1"/>
    <col min="5392" max="5392" width="9.7109375" style="16" customWidth="1"/>
    <col min="5393" max="5393" width="26.28515625" style="16" customWidth="1"/>
    <col min="5394" max="5394" width="5.42578125" style="16" customWidth="1"/>
    <col min="5395" max="5395" width="8.28515625" style="16" customWidth="1"/>
    <col min="5396" max="5396" width="11.42578125" style="16"/>
    <col min="5397" max="5398" width="0" style="16" hidden="1" customWidth="1"/>
    <col min="5399" max="5632" width="11.42578125" style="16"/>
    <col min="5633" max="5633" width="10.85546875" style="16" customWidth="1"/>
    <col min="5634" max="5634" width="11.28515625" style="16" customWidth="1"/>
    <col min="5635" max="5635" width="43.28515625" style="16" customWidth="1"/>
    <col min="5636" max="5636" width="0" style="16" hidden="1" customWidth="1"/>
    <col min="5637" max="5637" width="13" style="16" customWidth="1"/>
    <col min="5638" max="5638" width="9.140625" style="16" customWidth="1"/>
    <col min="5639" max="5639" width="9.42578125" style="16" customWidth="1"/>
    <col min="5640" max="5640" width="9.140625" style="16" customWidth="1"/>
    <col min="5641" max="5641" width="6" style="16" customWidth="1"/>
    <col min="5642" max="5642" width="3.5703125" style="16" customWidth="1"/>
    <col min="5643" max="5643" width="3.42578125" style="16" customWidth="1"/>
    <col min="5644" max="5644" width="2.85546875" style="16" customWidth="1"/>
    <col min="5645" max="5645" width="3.42578125" style="16" customWidth="1"/>
    <col min="5646" max="5646" width="2.85546875" style="16" customWidth="1"/>
    <col min="5647" max="5647" width="3.85546875" style="16" customWidth="1"/>
    <col min="5648" max="5648" width="9.7109375" style="16" customWidth="1"/>
    <col min="5649" max="5649" width="26.28515625" style="16" customWidth="1"/>
    <col min="5650" max="5650" width="5.42578125" style="16" customWidth="1"/>
    <col min="5651" max="5651" width="8.28515625" style="16" customWidth="1"/>
    <col min="5652" max="5652" width="11.42578125" style="16"/>
    <col min="5653" max="5654" width="0" style="16" hidden="1" customWidth="1"/>
    <col min="5655" max="5888" width="11.42578125" style="16"/>
    <col min="5889" max="5889" width="10.85546875" style="16" customWidth="1"/>
    <col min="5890" max="5890" width="11.28515625" style="16" customWidth="1"/>
    <col min="5891" max="5891" width="43.28515625" style="16" customWidth="1"/>
    <col min="5892" max="5892" width="0" style="16" hidden="1" customWidth="1"/>
    <col min="5893" max="5893" width="13" style="16" customWidth="1"/>
    <col min="5894" max="5894" width="9.140625" style="16" customWidth="1"/>
    <col min="5895" max="5895" width="9.42578125" style="16" customWidth="1"/>
    <col min="5896" max="5896" width="9.140625" style="16" customWidth="1"/>
    <col min="5897" max="5897" width="6" style="16" customWidth="1"/>
    <col min="5898" max="5898" width="3.5703125" style="16" customWidth="1"/>
    <col min="5899" max="5899" width="3.42578125" style="16" customWidth="1"/>
    <col min="5900" max="5900" width="2.85546875" style="16" customWidth="1"/>
    <col min="5901" max="5901" width="3.42578125" style="16" customWidth="1"/>
    <col min="5902" max="5902" width="2.85546875" style="16" customWidth="1"/>
    <col min="5903" max="5903" width="3.85546875" style="16" customWidth="1"/>
    <col min="5904" max="5904" width="9.7109375" style="16" customWidth="1"/>
    <col min="5905" max="5905" width="26.28515625" style="16" customWidth="1"/>
    <col min="5906" max="5906" width="5.42578125" style="16" customWidth="1"/>
    <col min="5907" max="5907" width="8.28515625" style="16" customWidth="1"/>
    <col min="5908" max="5908" width="11.42578125" style="16"/>
    <col min="5909" max="5910" width="0" style="16" hidden="1" customWidth="1"/>
    <col min="5911" max="6144" width="11.42578125" style="16"/>
    <col min="6145" max="6145" width="10.85546875" style="16" customWidth="1"/>
    <col min="6146" max="6146" width="11.28515625" style="16" customWidth="1"/>
    <col min="6147" max="6147" width="43.28515625" style="16" customWidth="1"/>
    <col min="6148" max="6148" width="0" style="16" hidden="1" customWidth="1"/>
    <col min="6149" max="6149" width="13" style="16" customWidth="1"/>
    <col min="6150" max="6150" width="9.140625" style="16" customWidth="1"/>
    <col min="6151" max="6151" width="9.42578125" style="16" customWidth="1"/>
    <col min="6152" max="6152" width="9.140625" style="16" customWidth="1"/>
    <col min="6153" max="6153" width="6" style="16" customWidth="1"/>
    <col min="6154" max="6154" width="3.5703125" style="16" customWidth="1"/>
    <col min="6155" max="6155" width="3.42578125" style="16" customWidth="1"/>
    <col min="6156" max="6156" width="2.85546875" style="16" customWidth="1"/>
    <col min="6157" max="6157" width="3.42578125" style="16" customWidth="1"/>
    <col min="6158" max="6158" width="2.85546875" style="16" customWidth="1"/>
    <col min="6159" max="6159" width="3.85546875" style="16" customWidth="1"/>
    <col min="6160" max="6160" width="9.7109375" style="16" customWidth="1"/>
    <col min="6161" max="6161" width="26.28515625" style="16" customWidth="1"/>
    <col min="6162" max="6162" width="5.42578125" style="16" customWidth="1"/>
    <col min="6163" max="6163" width="8.28515625" style="16" customWidth="1"/>
    <col min="6164" max="6164" width="11.42578125" style="16"/>
    <col min="6165" max="6166" width="0" style="16" hidden="1" customWidth="1"/>
    <col min="6167" max="6400" width="11.42578125" style="16"/>
    <col min="6401" max="6401" width="10.85546875" style="16" customWidth="1"/>
    <col min="6402" max="6402" width="11.28515625" style="16" customWidth="1"/>
    <col min="6403" max="6403" width="43.28515625" style="16" customWidth="1"/>
    <col min="6404" max="6404" width="0" style="16" hidden="1" customWidth="1"/>
    <col min="6405" max="6405" width="13" style="16" customWidth="1"/>
    <col min="6406" max="6406" width="9.140625" style="16" customWidth="1"/>
    <col min="6407" max="6407" width="9.42578125" style="16" customWidth="1"/>
    <col min="6408" max="6408" width="9.140625" style="16" customWidth="1"/>
    <col min="6409" max="6409" width="6" style="16" customWidth="1"/>
    <col min="6410" max="6410" width="3.5703125" style="16" customWidth="1"/>
    <col min="6411" max="6411" width="3.42578125" style="16" customWidth="1"/>
    <col min="6412" max="6412" width="2.85546875" style="16" customWidth="1"/>
    <col min="6413" max="6413" width="3.42578125" style="16" customWidth="1"/>
    <col min="6414" max="6414" width="2.85546875" style="16" customWidth="1"/>
    <col min="6415" max="6415" width="3.85546875" style="16" customWidth="1"/>
    <col min="6416" max="6416" width="9.7109375" style="16" customWidth="1"/>
    <col min="6417" max="6417" width="26.28515625" style="16" customWidth="1"/>
    <col min="6418" max="6418" width="5.42578125" style="16" customWidth="1"/>
    <col min="6419" max="6419" width="8.28515625" style="16" customWidth="1"/>
    <col min="6420" max="6420" width="11.42578125" style="16"/>
    <col min="6421" max="6422" width="0" style="16" hidden="1" customWidth="1"/>
    <col min="6423" max="6656" width="11.42578125" style="16"/>
    <col min="6657" max="6657" width="10.85546875" style="16" customWidth="1"/>
    <col min="6658" max="6658" width="11.28515625" style="16" customWidth="1"/>
    <col min="6659" max="6659" width="43.28515625" style="16" customWidth="1"/>
    <col min="6660" max="6660" width="0" style="16" hidden="1" customWidth="1"/>
    <col min="6661" max="6661" width="13" style="16" customWidth="1"/>
    <col min="6662" max="6662" width="9.140625" style="16" customWidth="1"/>
    <col min="6663" max="6663" width="9.42578125" style="16" customWidth="1"/>
    <col min="6664" max="6664" width="9.140625" style="16" customWidth="1"/>
    <col min="6665" max="6665" width="6" style="16" customWidth="1"/>
    <col min="6666" max="6666" width="3.5703125" style="16" customWidth="1"/>
    <col min="6667" max="6667" width="3.42578125" style="16" customWidth="1"/>
    <col min="6668" max="6668" width="2.85546875" style="16" customWidth="1"/>
    <col min="6669" max="6669" width="3.42578125" style="16" customWidth="1"/>
    <col min="6670" max="6670" width="2.85546875" style="16" customWidth="1"/>
    <col min="6671" max="6671" width="3.85546875" style="16" customWidth="1"/>
    <col min="6672" max="6672" width="9.7109375" style="16" customWidth="1"/>
    <col min="6673" max="6673" width="26.28515625" style="16" customWidth="1"/>
    <col min="6674" max="6674" width="5.42578125" style="16" customWidth="1"/>
    <col min="6675" max="6675" width="8.28515625" style="16" customWidth="1"/>
    <col min="6676" max="6676" width="11.42578125" style="16"/>
    <col min="6677" max="6678" width="0" style="16" hidden="1" customWidth="1"/>
    <col min="6679" max="6912" width="11.42578125" style="16"/>
    <col min="6913" max="6913" width="10.85546875" style="16" customWidth="1"/>
    <col min="6914" max="6914" width="11.28515625" style="16" customWidth="1"/>
    <col min="6915" max="6915" width="43.28515625" style="16" customWidth="1"/>
    <col min="6916" max="6916" width="0" style="16" hidden="1" customWidth="1"/>
    <col min="6917" max="6917" width="13" style="16" customWidth="1"/>
    <col min="6918" max="6918" width="9.140625" style="16" customWidth="1"/>
    <col min="6919" max="6919" width="9.42578125" style="16" customWidth="1"/>
    <col min="6920" max="6920" width="9.140625" style="16" customWidth="1"/>
    <col min="6921" max="6921" width="6" style="16" customWidth="1"/>
    <col min="6922" max="6922" width="3.5703125" style="16" customWidth="1"/>
    <col min="6923" max="6923" width="3.42578125" style="16" customWidth="1"/>
    <col min="6924" max="6924" width="2.85546875" style="16" customWidth="1"/>
    <col min="6925" max="6925" width="3.42578125" style="16" customWidth="1"/>
    <col min="6926" max="6926" width="2.85546875" style="16" customWidth="1"/>
    <col min="6927" max="6927" width="3.85546875" style="16" customWidth="1"/>
    <col min="6928" max="6928" width="9.7109375" style="16" customWidth="1"/>
    <col min="6929" max="6929" width="26.28515625" style="16" customWidth="1"/>
    <col min="6930" max="6930" width="5.42578125" style="16" customWidth="1"/>
    <col min="6931" max="6931" width="8.28515625" style="16" customWidth="1"/>
    <col min="6932" max="6932" width="11.42578125" style="16"/>
    <col min="6933" max="6934" width="0" style="16" hidden="1" customWidth="1"/>
    <col min="6935" max="7168" width="11.42578125" style="16"/>
    <col min="7169" max="7169" width="10.85546875" style="16" customWidth="1"/>
    <col min="7170" max="7170" width="11.28515625" style="16" customWidth="1"/>
    <col min="7171" max="7171" width="43.28515625" style="16" customWidth="1"/>
    <col min="7172" max="7172" width="0" style="16" hidden="1" customWidth="1"/>
    <col min="7173" max="7173" width="13" style="16" customWidth="1"/>
    <col min="7174" max="7174" width="9.140625" style="16" customWidth="1"/>
    <col min="7175" max="7175" width="9.42578125" style="16" customWidth="1"/>
    <col min="7176" max="7176" width="9.140625" style="16" customWidth="1"/>
    <col min="7177" max="7177" width="6" style="16" customWidth="1"/>
    <col min="7178" max="7178" width="3.5703125" style="16" customWidth="1"/>
    <col min="7179" max="7179" width="3.42578125" style="16" customWidth="1"/>
    <col min="7180" max="7180" width="2.85546875" style="16" customWidth="1"/>
    <col min="7181" max="7181" width="3.42578125" style="16" customWidth="1"/>
    <col min="7182" max="7182" width="2.85546875" style="16" customWidth="1"/>
    <col min="7183" max="7183" width="3.85546875" style="16" customWidth="1"/>
    <col min="7184" max="7184" width="9.7109375" style="16" customWidth="1"/>
    <col min="7185" max="7185" width="26.28515625" style="16" customWidth="1"/>
    <col min="7186" max="7186" width="5.42578125" style="16" customWidth="1"/>
    <col min="7187" max="7187" width="8.28515625" style="16" customWidth="1"/>
    <col min="7188" max="7188" width="11.42578125" style="16"/>
    <col min="7189" max="7190" width="0" style="16" hidden="1" customWidth="1"/>
    <col min="7191" max="7424" width="11.42578125" style="16"/>
    <col min="7425" max="7425" width="10.85546875" style="16" customWidth="1"/>
    <col min="7426" max="7426" width="11.28515625" style="16" customWidth="1"/>
    <col min="7427" max="7427" width="43.28515625" style="16" customWidth="1"/>
    <col min="7428" max="7428" width="0" style="16" hidden="1" customWidth="1"/>
    <col min="7429" max="7429" width="13" style="16" customWidth="1"/>
    <col min="7430" max="7430" width="9.140625" style="16" customWidth="1"/>
    <col min="7431" max="7431" width="9.42578125" style="16" customWidth="1"/>
    <col min="7432" max="7432" width="9.140625" style="16" customWidth="1"/>
    <col min="7433" max="7433" width="6" style="16" customWidth="1"/>
    <col min="7434" max="7434" width="3.5703125" style="16" customWidth="1"/>
    <col min="7435" max="7435" width="3.42578125" style="16" customWidth="1"/>
    <col min="7436" max="7436" width="2.85546875" style="16" customWidth="1"/>
    <col min="7437" max="7437" width="3.42578125" style="16" customWidth="1"/>
    <col min="7438" max="7438" width="2.85546875" style="16" customWidth="1"/>
    <col min="7439" max="7439" width="3.85546875" style="16" customWidth="1"/>
    <col min="7440" max="7440" width="9.7109375" style="16" customWidth="1"/>
    <col min="7441" max="7441" width="26.28515625" style="16" customWidth="1"/>
    <col min="7442" max="7442" width="5.42578125" style="16" customWidth="1"/>
    <col min="7443" max="7443" width="8.28515625" style="16" customWidth="1"/>
    <col min="7444" max="7444" width="11.42578125" style="16"/>
    <col min="7445" max="7446" width="0" style="16" hidden="1" customWidth="1"/>
    <col min="7447" max="7680" width="11.42578125" style="16"/>
    <col min="7681" max="7681" width="10.85546875" style="16" customWidth="1"/>
    <col min="7682" max="7682" width="11.28515625" style="16" customWidth="1"/>
    <col min="7683" max="7683" width="43.28515625" style="16" customWidth="1"/>
    <col min="7684" max="7684" width="0" style="16" hidden="1" customWidth="1"/>
    <col min="7685" max="7685" width="13" style="16" customWidth="1"/>
    <col min="7686" max="7686" width="9.140625" style="16" customWidth="1"/>
    <col min="7687" max="7687" width="9.42578125" style="16" customWidth="1"/>
    <col min="7688" max="7688" width="9.140625" style="16" customWidth="1"/>
    <col min="7689" max="7689" width="6" style="16" customWidth="1"/>
    <col min="7690" max="7690" width="3.5703125" style="16" customWidth="1"/>
    <col min="7691" max="7691" width="3.42578125" style="16" customWidth="1"/>
    <col min="7692" max="7692" width="2.85546875" style="16" customWidth="1"/>
    <col min="7693" max="7693" width="3.42578125" style="16" customWidth="1"/>
    <col min="7694" max="7694" width="2.85546875" style="16" customWidth="1"/>
    <col min="7695" max="7695" width="3.85546875" style="16" customWidth="1"/>
    <col min="7696" max="7696" width="9.7109375" style="16" customWidth="1"/>
    <col min="7697" max="7697" width="26.28515625" style="16" customWidth="1"/>
    <col min="7698" max="7698" width="5.42578125" style="16" customWidth="1"/>
    <col min="7699" max="7699" width="8.28515625" style="16" customWidth="1"/>
    <col min="7700" max="7700" width="11.42578125" style="16"/>
    <col min="7701" max="7702" width="0" style="16" hidden="1" customWidth="1"/>
    <col min="7703" max="7936" width="11.42578125" style="16"/>
    <col min="7937" max="7937" width="10.85546875" style="16" customWidth="1"/>
    <col min="7938" max="7938" width="11.28515625" style="16" customWidth="1"/>
    <col min="7939" max="7939" width="43.28515625" style="16" customWidth="1"/>
    <col min="7940" max="7940" width="0" style="16" hidden="1" customWidth="1"/>
    <col min="7941" max="7941" width="13" style="16" customWidth="1"/>
    <col min="7942" max="7942" width="9.140625" style="16" customWidth="1"/>
    <col min="7943" max="7943" width="9.42578125" style="16" customWidth="1"/>
    <col min="7944" max="7944" width="9.140625" style="16" customWidth="1"/>
    <col min="7945" max="7945" width="6" style="16" customWidth="1"/>
    <col min="7946" max="7946" width="3.5703125" style="16" customWidth="1"/>
    <col min="7947" max="7947" width="3.42578125" style="16" customWidth="1"/>
    <col min="7948" max="7948" width="2.85546875" style="16" customWidth="1"/>
    <col min="7949" max="7949" width="3.42578125" style="16" customWidth="1"/>
    <col min="7950" max="7950" width="2.85546875" style="16" customWidth="1"/>
    <col min="7951" max="7951" width="3.85546875" style="16" customWidth="1"/>
    <col min="7952" max="7952" width="9.7109375" style="16" customWidth="1"/>
    <col min="7953" max="7953" width="26.28515625" style="16" customWidth="1"/>
    <col min="7954" max="7954" width="5.42578125" style="16" customWidth="1"/>
    <col min="7955" max="7955" width="8.28515625" style="16" customWidth="1"/>
    <col min="7956" max="7956" width="11.42578125" style="16"/>
    <col min="7957" max="7958" width="0" style="16" hidden="1" customWidth="1"/>
    <col min="7959" max="8192" width="11.42578125" style="16"/>
    <col min="8193" max="8193" width="10.85546875" style="16" customWidth="1"/>
    <col min="8194" max="8194" width="11.28515625" style="16" customWidth="1"/>
    <col min="8195" max="8195" width="43.28515625" style="16" customWidth="1"/>
    <col min="8196" max="8196" width="0" style="16" hidden="1" customWidth="1"/>
    <col min="8197" max="8197" width="13" style="16" customWidth="1"/>
    <col min="8198" max="8198" width="9.140625" style="16" customWidth="1"/>
    <col min="8199" max="8199" width="9.42578125" style="16" customWidth="1"/>
    <col min="8200" max="8200" width="9.140625" style="16" customWidth="1"/>
    <col min="8201" max="8201" width="6" style="16" customWidth="1"/>
    <col min="8202" max="8202" width="3.5703125" style="16" customWidth="1"/>
    <col min="8203" max="8203" width="3.42578125" style="16" customWidth="1"/>
    <col min="8204" max="8204" width="2.85546875" style="16" customWidth="1"/>
    <col min="8205" max="8205" width="3.42578125" style="16" customWidth="1"/>
    <col min="8206" max="8206" width="2.85546875" style="16" customWidth="1"/>
    <col min="8207" max="8207" width="3.85546875" style="16" customWidth="1"/>
    <col min="8208" max="8208" width="9.7109375" style="16" customWidth="1"/>
    <col min="8209" max="8209" width="26.28515625" style="16" customWidth="1"/>
    <col min="8210" max="8210" width="5.42578125" style="16" customWidth="1"/>
    <col min="8211" max="8211" width="8.28515625" style="16" customWidth="1"/>
    <col min="8212" max="8212" width="11.42578125" style="16"/>
    <col min="8213" max="8214" width="0" style="16" hidden="1" customWidth="1"/>
    <col min="8215" max="8448" width="11.42578125" style="16"/>
    <col min="8449" max="8449" width="10.85546875" style="16" customWidth="1"/>
    <col min="8450" max="8450" width="11.28515625" style="16" customWidth="1"/>
    <col min="8451" max="8451" width="43.28515625" style="16" customWidth="1"/>
    <col min="8452" max="8452" width="0" style="16" hidden="1" customWidth="1"/>
    <col min="8453" max="8453" width="13" style="16" customWidth="1"/>
    <col min="8454" max="8454" width="9.140625" style="16" customWidth="1"/>
    <col min="8455" max="8455" width="9.42578125" style="16" customWidth="1"/>
    <col min="8456" max="8456" width="9.140625" style="16" customWidth="1"/>
    <col min="8457" max="8457" width="6" style="16" customWidth="1"/>
    <col min="8458" max="8458" width="3.5703125" style="16" customWidth="1"/>
    <col min="8459" max="8459" width="3.42578125" style="16" customWidth="1"/>
    <col min="8460" max="8460" width="2.85546875" style="16" customWidth="1"/>
    <col min="8461" max="8461" width="3.42578125" style="16" customWidth="1"/>
    <col min="8462" max="8462" width="2.85546875" style="16" customWidth="1"/>
    <col min="8463" max="8463" width="3.85546875" style="16" customWidth="1"/>
    <col min="8464" max="8464" width="9.7109375" style="16" customWidth="1"/>
    <col min="8465" max="8465" width="26.28515625" style="16" customWidth="1"/>
    <col min="8466" max="8466" width="5.42578125" style="16" customWidth="1"/>
    <col min="8467" max="8467" width="8.28515625" style="16" customWidth="1"/>
    <col min="8468" max="8468" width="11.42578125" style="16"/>
    <col min="8469" max="8470" width="0" style="16" hidden="1" customWidth="1"/>
    <col min="8471" max="8704" width="11.42578125" style="16"/>
    <col min="8705" max="8705" width="10.85546875" style="16" customWidth="1"/>
    <col min="8706" max="8706" width="11.28515625" style="16" customWidth="1"/>
    <col min="8707" max="8707" width="43.28515625" style="16" customWidth="1"/>
    <col min="8708" max="8708" width="0" style="16" hidden="1" customWidth="1"/>
    <col min="8709" max="8709" width="13" style="16" customWidth="1"/>
    <col min="8710" max="8710" width="9.140625" style="16" customWidth="1"/>
    <col min="8711" max="8711" width="9.42578125" style="16" customWidth="1"/>
    <col min="8712" max="8712" width="9.140625" style="16" customWidth="1"/>
    <col min="8713" max="8713" width="6" style="16" customWidth="1"/>
    <col min="8714" max="8714" width="3.5703125" style="16" customWidth="1"/>
    <col min="8715" max="8715" width="3.42578125" style="16" customWidth="1"/>
    <col min="8716" max="8716" width="2.85546875" style="16" customWidth="1"/>
    <col min="8717" max="8717" width="3.42578125" style="16" customWidth="1"/>
    <col min="8718" max="8718" width="2.85546875" style="16" customWidth="1"/>
    <col min="8719" max="8719" width="3.85546875" style="16" customWidth="1"/>
    <col min="8720" max="8720" width="9.7109375" style="16" customWidth="1"/>
    <col min="8721" max="8721" width="26.28515625" style="16" customWidth="1"/>
    <col min="8722" max="8722" width="5.42578125" style="16" customWidth="1"/>
    <col min="8723" max="8723" width="8.28515625" style="16" customWidth="1"/>
    <col min="8724" max="8724" width="11.42578125" style="16"/>
    <col min="8725" max="8726" width="0" style="16" hidden="1" customWidth="1"/>
    <col min="8727" max="8960" width="11.42578125" style="16"/>
    <col min="8961" max="8961" width="10.85546875" style="16" customWidth="1"/>
    <col min="8962" max="8962" width="11.28515625" style="16" customWidth="1"/>
    <col min="8963" max="8963" width="43.28515625" style="16" customWidth="1"/>
    <col min="8964" max="8964" width="0" style="16" hidden="1" customWidth="1"/>
    <col min="8965" max="8965" width="13" style="16" customWidth="1"/>
    <col min="8966" max="8966" width="9.140625" style="16" customWidth="1"/>
    <col min="8967" max="8967" width="9.42578125" style="16" customWidth="1"/>
    <col min="8968" max="8968" width="9.140625" style="16" customWidth="1"/>
    <col min="8969" max="8969" width="6" style="16" customWidth="1"/>
    <col min="8970" max="8970" width="3.5703125" style="16" customWidth="1"/>
    <col min="8971" max="8971" width="3.42578125" style="16" customWidth="1"/>
    <col min="8972" max="8972" width="2.85546875" style="16" customWidth="1"/>
    <col min="8973" max="8973" width="3.42578125" style="16" customWidth="1"/>
    <col min="8974" max="8974" width="2.85546875" style="16" customWidth="1"/>
    <col min="8975" max="8975" width="3.85546875" style="16" customWidth="1"/>
    <col min="8976" max="8976" width="9.7109375" style="16" customWidth="1"/>
    <col min="8977" max="8977" width="26.28515625" style="16" customWidth="1"/>
    <col min="8978" max="8978" width="5.42578125" style="16" customWidth="1"/>
    <col min="8979" max="8979" width="8.28515625" style="16" customWidth="1"/>
    <col min="8980" max="8980" width="11.42578125" style="16"/>
    <col min="8981" max="8982" width="0" style="16" hidden="1" customWidth="1"/>
    <col min="8983" max="9216" width="11.42578125" style="16"/>
    <col min="9217" max="9217" width="10.85546875" style="16" customWidth="1"/>
    <col min="9218" max="9218" width="11.28515625" style="16" customWidth="1"/>
    <col min="9219" max="9219" width="43.28515625" style="16" customWidth="1"/>
    <col min="9220" max="9220" width="0" style="16" hidden="1" customWidth="1"/>
    <col min="9221" max="9221" width="13" style="16" customWidth="1"/>
    <col min="9222" max="9222" width="9.140625" style="16" customWidth="1"/>
    <col min="9223" max="9223" width="9.42578125" style="16" customWidth="1"/>
    <col min="9224" max="9224" width="9.140625" style="16" customWidth="1"/>
    <col min="9225" max="9225" width="6" style="16" customWidth="1"/>
    <col min="9226" max="9226" width="3.5703125" style="16" customWidth="1"/>
    <col min="9227" max="9227" width="3.42578125" style="16" customWidth="1"/>
    <col min="9228" max="9228" width="2.85546875" style="16" customWidth="1"/>
    <col min="9229" max="9229" width="3.42578125" style="16" customWidth="1"/>
    <col min="9230" max="9230" width="2.85546875" style="16" customWidth="1"/>
    <col min="9231" max="9231" width="3.85546875" style="16" customWidth="1"/>
    <col min="9232" max="9232" width="9.7109375" style="16" customWidth="1"/>
    <col min="9233" max="9233" width="26.28515625" style="16" customWidth="1"/>
    <col min="9234" max="9234" width="5.42578125" style="16" customWidth="1"/>
    <col min="9235" max="9235" width="8.28515625" style="16" customWidth="1"/>
    <col min="9236" max="9236" width="11.42578125" style="16"/>
    <col min="9237" max="9238" width="0" style="16" hidden="1" customWidth="1"/>
    <col min="9239" max="9472" width="11.42578125" style="16"/>
    <col min="9473" max="9473" width="10.85546875" style="16" customWidth="1"/>
    <col min="9474" max="9474" width="11.28515625" style="16" customWidth="1"/>
    <col min="9475" max="9475" width="43.28515625" style="16" customWidth="1"/>
    <col min="9476" max="9476" width="0" style="16" hidden="1" customWidth="1"/>
    <col min="9477" max="9477" width="13" style="16" customWidth="1"/>
    <col min="9478" max="9478" width="9.140625" style="16" customWidth="1"/>
    <col min="9479" max="9479" width="9.42578125" style="16" customWidth="1"/>
    <col min="9480" max="9480" width="9.140625" style="16" customWidth="1"/>
    <col min="9481" max="9481" width="6" style="16" customWidth="1"/>
    <col min="9482" max="9482" width="3.5703125" style="16" customWidth="1"/>
    <col min="9483" max="9483" width="3.42578125" style="16" customWidth="1"/>
    <col min="9484" max="9484" width="2.85546875" style="16" customWidth="1"/>
    <col min="9485" max="9485" width="3.42578125" style="16" customWidth="1"/>
    <col min="9486" max="9486" width="2.85546875" style="16" customWidth="1"/>
    <col min="9487" max="9487" width="3.85546875" style="16" customWidth="1"/>
    <col min="9488" max="9488" width="9.7109375" style="16" customWidth="1"/>
    <col min="9489" max="9489" width="26.28515625" style="16" customWidth="1"/>
    <col min="9490" max="9490" width="5.42578125" style="16" customWidth="1"/>
    <col min="9491" max="9491" width="8.28515625" style="16" customWidth="1"/>
    <col min="9492" max="9492" width="11.42578125" style="16"/>
    <col min="9493" max="9494" width="0" style="16" hidden="1" customWidth="1"/>
    <col min="9495" max="9728" width="11.42578125" style="16"/>
    <col min="9729" max="9729" width="10.85546875" style="16" customWidth="1"/>
    <col min="9730" max="9730" width="11.28515625" style="16" customWidth="1"/>
    <col min="9731" max="9731" width="43.28515625" style="16" customWidth="1"/>
    <col min="9732" max="9732" width="0" style="16" hidden="1" customWidth="1"/>
    <col min="9733" max="9733" width="13" style="16" customWidth="1"/>
    <col min="9734" max="9734" width="9.140625" style="16" customWidth="1"/>
    <col min="9735" max="9735" width="9.42578125" style="16" customWidth="1"/>
    <col min="9736" max="9736" width="9.140625" style="16" customWidth="1"/>
    <col min="9737" max="9737" width="6" style="16" customWidth="1"/>
    <col min="9738" max="9738" width="3.5703125" style="16" customWidth="1"/>
    <col min="9739" max="9739" width="3.42578125" style="16" customWidth="1"/>
    <col min="9740" max="9740" width="2.85546875" style="16" customWidth="1"/>
    <col min="9741" max="9741" width="3.42578125" style="16" customWidth="1"/>
    <col min="9742" max="9742" width="2.85546875" style="16" customWidth="1"/>
    <col min="9743" max="9743" width="3.85546875" style="16" customWidth="1"/>
    <col min="9744" max="9744" width="9.7109375" style="16" customWidth="1"/>
    <col min="9745" max="9745" width="26.28515625" style="16" customWidth="1"/>
    <col min="9746" max="9746" width="5.42578125" style="16" customWidth="1"/>
    <col min="9747" max="9747" width="8.28515625" style="16" customWidth="1"/>
    <col min="9748" max="9748" width="11.42578125" style="16"/>
    <col min="9749" max="9750" width="0" style="16" hidden="1" customWidth="1"/>
    <col min="9751" max="9984" width="11.42578125" style="16"/>
    <col min="9985" max="9985" width="10.85546875" style="16" customWidth="1"/>
    <col min="9986" max="9986" width="11.28515625" style="16" customWidth="1"/>
    <col min="9987" max="9987" width="43.28515625" style="16" customWidth="1"/>
    <col min="9988" max="9988" width="0" style="16" hidden="1" customWidth="1"/>
    <col min="9989" max="9989" width="13" style="16" customWidth="1"/>
    <col min="9990" max="9990" width="9.140625" style="16" customWidth="1"/>
    <col min="9991" max="9991" width="9.42578125" style="16" customWidth="1"/>
    <col min="9992" max="9992" width="9.140625" style="16" customWidth="1"/>
    <col min="9993" max="9993" width="6" style="16" customWidth="1"/>
    <col min="9994" max="9994" width="3.5703125" style="16" customWidth="1"/>
    <col min="9995" max="9995" width="3.42578125" style="16" customWidth="1"/>
    <col min="9996" max="9996" width="2.85546875" style="16" customWidth="1"/>
    <col min="9997" max="9997" width="3.42578125" style="16" customWidth="1"/>
    <col min="9998" max="9998" width="2.85546875" style="16" customWidth="1"/>
    <col min="9999" max="9999" width="3.85546875" style="16" customWidth="1"/>
    <col min="10000" max="10000" width="9.7109375" style="16" customWidth="1"/>
    <col min="10001" max="10001" width="26.28515625" style="16" customWidth="1"/>
    <col min="10002" max="10002" width="5.42578125" style="16" customWidth="1"/>
    <col min="10003" max="10003" width="8.28515625" style="16" customWidth="1"/>
    <col min="10004" max="10004" width="11.42578125" style="16"/>
    <col min="10005" max="10006" width="0" style="16" hidden="1" customWidth="1"/>
    <col min="10007" max="10240" width="11.42578125" style="16"/>
    <col min="10241" max="10241" width="10.85546875" style="16" customWidth="1"/>
    <col min="10242" max="10242" width="11.28515625" style="16" customWidth="1"/>
    <col min="10243" max="10243" width="43.28515625" style="16" customWidth="1"/>
    <col min="10244" max="10244" width="0" style="16" hidden="1" customWidth="1"/>
    <col min="10245" max="10245" width="13" style="16" customWidth="1"/>
    <col min="10246" max="10246" width="9.140625" style="16" customWidth="1"/>
    <col min="10247" max="10247" width="9.42578125" style="16" customWidth="1"/>
    <col min="10248" max="10248" width="9.140625" style="16" customWidth="1"/>
    <col min="10249" max="10249" width="6" style="16" customWidth="1"/>
    <col min="10250" max="10250" width="3.5703125" style="16" customWidth="1"/>
    <col min="10251" max="10251" width="3.42578125" style="16" customWidth="1"/>
    <col min="10252" max="10252" width="2.85546875" style="16" customWidth="1"/>
    <col min="10253" max="10253" width="3.42578125" style="16" customWidth="1"/>
    <col min="10254" max="10254" width="2.85546875" style="16" customWidth="1"/>
    <col min="10255" max="10255" width="3.85546875" style="16" customWidth="1"/>
    <col min="10256" max="10256" width="9.7109375" style="16" customWidth="1"/>
    <col min="10257" max="10257" width="26.28515625" style="16" customWidth="1"/>
    <col min="10258" max="10258" width="5.42578125" style="16" customWidth="1"/>
    <col min="10259" max="10259" width="8.28515625" style="16" customWidth="1"/>
    <col min="10260" max="10260" width="11.42578125" style="16"/>
    <col min="10261" max="10262" width="0" style="16" hidden="1" customWidth="1"/>
    <col min="10263" max="10496" width="11.42578125" style="16"/>
    <col min="10497" max="10497" width="10.85546875" style="16" customWidth="1"/>
    <col min="10498" max="10498" width="11.28515625" style="16" customWidth="1"/>
    <col min="10499" max="10499" width="43.28515625" style="16" customWidth="1"/>
    <col min="10500" max="10500" width="0" style="16" hidden="1" customWidth="1"/>
    <col min="10501" max="10501" width="13" style="16" customWidth="1"/>
    <col min="10502" max="10502" width="9.140625" style="16" customWidth="1"/>
    <col min="10503" max="10503" width="9.42578125" style="16" customWidth="1"/>
    <col min="10504" max="10504" width="9.140625" style="16" customWidth="1"/>
    <col min="10505" max="10505" width="6" style="16" customWidth="1"/>
    <col min="10506" max="10506" width="3.5703125" style="16" customWidth="1"/>
    <col min="10507" max="10507" width="3.42578125" style="16" customWidth="1"/>
    <col min="10508" max="10508" width="2.85546875" style="16" customWidth="1"/>
    <col min="10509" max="10509" width="3.42578125" style="16" customWidth="1"/>
    <col min="10510" max="10510" width="2.85546875" style="16" customWidth="1"/>
    <col min="10511" max="10511" width="3.85546875" style="16" customWidth="1"/>
    <col min="10512" max="10512" width="9.7109375" style="16" customWidth="1"/>
    <col min="10513" max="10513" width="26.28515625" style="16" customWidth="1"/>
    <col min="10514" max="10514" width="5.42578125" style="16" customWidth="1"/>
    <col min="10515" max="10515" width="8.28515625" style="16" customWidth="1"/>
    <col min="10516" max="10516" width="11.42578125" style="16"/>
    <col min="10517" max="10518" width="0" style="16" hidden="1" customWidth="1"/>
    <col min="10519" max="10752" width="11.42578125" style="16"/>
    <col min="10753" max="10753" width="10.85546875" style="16" customWidth="1"/>
    <col min="10754" max="10754" width="11.28515625" style="16" customWidth="1"/>
    <col min="10755" max="10755" width="43.28515625" style="16" customWidth="1"/>
    <col min="10756" max="10756" width="0" style="16" hidden="1" customWidth="1"/>
    <col min="10757" max="10757" width="13" style="16" customWidth="1"/>
    <col min="10758" max="10758" width="9.140625" style="16" customWidth="1"/>
    <col min="10759" max="10759" width="9.42578125" style="16" customWidth="1"/>
    <col min="10760" max="10760" width="9.140625" style="16" customWidth="1"/>
    <col min="10761" max="10761" width="6" style="16" customWidth="1"/>
    <col min="10762" max="10762" width="3.5703125" style="16" customWidth="1"/>
    <col min="10763" max="10763" width="3.42578125" style="16" customWidth="1"/>
    <col min="10764" max="10764" width="2.85546875" style="16" customWidth="1"/>
    <col min="10765" max="10765" width="3.42578125" style="16" customWidth="1"/>
    <col min="10766" max="10766" width="2.85546875" style="16" customWidth="1"/>
    <col min="10767" max="10767" width="3.85546875" style="16" customWidth="1"/>
    <col min="10768" max="10768" width="9.7109375" style="16" customWidth="1"/>
    <col min="10769" max="10769" width="26.28515625" style="16" customWidth="1"/>
    <col min="10770" max="10770" width="5.42578125" style="16" customWidth="1"/>
    <col min="10771" max="10771" width="8.28515625" style="16" customWidth="1"/>
    <col min="10772" max="10772" width="11.42578125" style="16"/>
    <col min="10773" max="10774" width="0" style="16" hidden="1" customWidth="1"/>
    <col min="10775" max="11008" width="11.42578125" style="16"/>
    <col min="11009" max="11009" width="10.85546875" style="16" customWidth="1"/>
    <col min="11010" max="11010" width="11.28515625" style="16" customWidth="1"/>
    <col min="11011" max="11011" width="43.28515625" style="16" customWidth="1"/>
    <col min="11012" max="11012" width="0" style="16" hidden="1" customWidth="1"/>
    <col min="11013" max="11013" width="13" style="16" customWidth="1"/>
    <col min="11014" max="11014" width="9.140625" style="16" customWidth="1"/>
    <col min="11015" max="11015" width="9.42578125" style="16" customWidth="1"/>
    <col min="11016" max="11016" width="9.140625" style="16" customWidth="1"/>
    <col min="11017" max="11017" width="6" style="16" customWidth="1"/>
    <col min="11018" max="11018" width="3.5703125" style="16" customWidth="1"/>
    <col min="11019" max="11019" width="3.42578125" style="16" customWidth="1"/>
    <col min="11020" max="11020" width="2.85546875" style="16" customWidth="1"/>
    <col min="11021" max="11021" width="3.42578125" style="16" customWidth="1"/>
    <col min="11022" max="11022" width="2.85546875" style="16" customWidth="1"/>
    <col min="11023" max="11023" width="3.85546875" style="16" customWidth="1"/>
    <col min="11024" max="11024" width="9.7109375" style="16" customWidth="1"/>
    <col min="11025" max="11025" width="26.28515625" style="16" customWidth="1"/>
    <col min="11026" max="11026" width="5.42578125" style="16" customWidth="1"/>
    <col min="11027" max="11027" width="8.28515625" style="16" customWidth="1"/>
    <col min="11028" max="11028" width="11.42578125" style="16"/>
    <col min="11029" max="11030" width="0" style="16" hidden="1" customWidth="1"/>
    <col min="11031" max="11264" width="11.42578125" style="16"/>
    <col min="11265" max="11265" width="10.85546875" style="16" customWidth="1"/>
    <col min="11266" max="11266" width="11.28515625" style="16" customWidth="1"/>
    <col min="11267" max="11267" width="43.28515625" style="16" customWidth="1"/>
    <col min="11268" max="11268" width="0" style="16" hidden="1" customWidth="1"/>
    <col min="11269" max="11269" width="13" style="16" customWidth="1"/>
    <col min="11270" max="11270" width="9.140625" style="16" customWidth="1"/>
    <col min="11271" max="11271" width="9.42578125" style="16" customWidth="1"/>
    <col min="11272" max="11272" width="9.140625" style="16" customWidth="1"/>
    <col min="11273" max="11273" width="6" style="16" customWidth="1"/>
    <col min="11274" max="11274" width="3.5703125" style="16" customWidth="1"/>
    <col min="11275" max="11275" width="3.42578125" style="16" customWidth="1"/>
    <col min="11276" max="11276" width="2.85546875" style="16" customWidth="1"/>
    <col min="11277" max="11277" width="3.42578125" style="16" customWidth="1"/>
    <col min="11278" max="11278" width="2.85546875" style="16" customWidth="1"/>
    <col min="11279" max="11279" width="3.85546875" style="16" customWidth="1"/>
    <col min="11280" max="11280" width="9.7109375" style="16" customWidth="1"/>
    <col min="11281" max="11281" width="26.28515625" style="16" customWidth="1"/>
    <col min="11282" max="11282" width="5.42578125" style="16" customWidth="1"/>
    <col min="11283" max="11283" width="8.28515625" style="16" customWidth="1"/>
    <col min="11284" max="11284" width="11.42578125" style="16"/>
    <col min="11285" max="11286" width="0" style="16" hidden="1" customWidth="1"/>
    <col min="11287" max="11520" width="11.42578125" style="16"/>
    <col min="11521" max="11521" width="10.85546875" style="16" customWidth="1"/>
    <col min="11522" max="11522" width="11.28515625" style="16" customWidth="1"/>
    <col min="11523" max="11523" width="43.28515625" style="16" customWidth="1"/>
    <col min="11524" max="11524" width="0" style="16" hidden="1" customWidth="1"/>
    <col min="11525" max="11525" width="13" style="16" customWidth="1"/>
    <col min="11526" max="11526" width="9.140625" style="16" customWidth="1"/>
    <col min="11527" max="11527" width="9.42578125" style="16" customWidth="1"/>
    <col min="11528" max="11528" width="9.140625" style="16" customWidth="1"/>
    <col min="11529" max="11529" width="6" style="16" customWidth="1"/>
    <col min="11530" max="11530" width="3.5703125" style="16" customWidth="1"/>
    <col min="11531" max="11531" width="3.42578125" style="16" customWidth="1"/>
    <col min="11532" max="11532" width="2.85546875" style="16" customWidth="1"/>
    <col min="11533" max="11533" width="3.42578125" style="16" customWidth="1"/>
    <col min="11534" max="11534" width="2.85546875" style="16" customWidth="1"/>
    <col min="11535" max="11535" width="3.85546875" style="16" customWidth="1"/>
    <col min="11536" max="11536" width="9.7109375" style="16" customWidth="1"/>
    <col min="11537" max="11537" width="26.28515625" style="16" customWidth="1"/>
    <col min="11538" max="11538" width="5.42578125" style="16" customWidth="1"/>
    <col min="11539" max="11539" width="8.28515625" style="16" customWidth="1"/>
    <col min="11540" max="11540" width="11.42578125" style="16"/>
    <col min="11541" max="11542" width="0" style="16" hidden="1" customWidth="1"/>
    <col min="11543" max="11776" width="11.42578125" style="16"/>
    <col min="11777" max="11777" width="10.85546875" style="16" customWidth="1"/>
    <col min="11778" max="11778" width="11.28515625" style="16" customWidth="1"/>
    <col min="11779" max="11779" width="43.28515625" style="16" customWidth="1"/>
    <col min="11780" max="11780" width="0" style="16" hidden="1" customWidth="1"/>
    <col min="11781" max="11781" width="13" style="16" customWidth="1"/>
    <col min="11782" max="11782" width="9.140625" style="16" customWidth="1"/>
    <col min="11783" max="11783" width="9.42578125" style="16" customWidth="1"/>
    <col min="11784" max="11784" width="9.140625" style="16" customWidth="1"/>
    <col min="11785" max="11785" width="6" style="16" customWidth="1"/>
    <col min="11786" max="11786" width="3.5703125" style="16" customWidth="1"/>
    <col min="11787" max="11787" width="3.42578125" style="16" customWidth="1"/>
    <col min="11788" max="11788" width="2.85546875" style="16" customWidth="1"/>
    <col min="11789" max="11789" width="3.42578125" style="16" customWidth="1"/>
    <col min="11790" max="11790" width="2.85546875" style="16" customWidth="1"/>
    <col min="11791" max="11791" width="3.85546875" style="16" customWidth="1"/>
    <col min="11792" max="11792" width="9.7109375" style="16" customWidth="1"/>
    <col min="11793" max="11793" width="26.28515625" style="16" customWidth="1"/>
    <col min="11794" max="11794" width="5.42578125" style="16" customWidth="1"/>
    <col min="11795" max="11795" width="8.28515625" style="16" customWidth="1"/>
    <col min="11796" max="11796" width="11.42578125" style="16"/>
    <col min="11797" max="11798" width="0" style="16" hidden="1" customWidth="1"/>
    <col min="11799" max="12032" width="11.42578125" style="16"/>
    <col min="12033" max="12033" width="10.85546875" style="16" customWidth="1"/>
    <col min="12034" max="12034" width="11.28515625" style="16" customWidth="1"/>
    <col min="12035" max="12035" width="43.28515625" style="16" customWidth="1"/>
    <col min="12036" max="12036" width="0" style="16" hidden="1" customWidth="1"/>
    <col min="12037" max="12037" width="13" style="16" customWidth="1"/>
    <col min="12038" max="12038" width="9.140625" style="16" customWidth="1"/>
    <col min="12039" max="12039" width="9.42578125" style="16" customWidth="1"/>
    <col min="12040" max="12040" width="9.140625" style="16" customWidth="1"/>
    <col min="12041" max="12041" width="6" style="16" customWidth="1"/>
    <col min="12042" max="12042" width="3.5703125" style="16" customWidth="1"/>
    <col min="12043" max="12043" width="3.42578125" style="16" customWidth="1"/>
    <col min="12044" max="12044" width="2.85546875" style="16" customWidth="1"/>
    <col min="12045" max="12045" width="3.42578125" style="16" customWidth="1"/>
    <col min="12046" max="12046" width="2.85546875" style="16" customWidth="1"/>
    <col min="12047" max="12047" width="3.85546875" style="16" customWidth="1"/>
    <col min="12048" max="12048" width="9.7109375" style="16" customWidth="1"/>
    <col min="12049" max="12049" width="26.28515625" style="16" customWidth="1"/>
    <col min="12050" max="12050" width="5.42578125" style="16" customWidth="1"/>
    <col min="12051" max="12051" width="8.28515625" style="16" customWidth="1"/>
    <col min="12052" max="12052" width="11.42578125" style="16"/>
    <col min="12053" max="12054" width="0" style="16" hidden="1" customWidth="1"/>
    <col min="12055" max="12288" width="11.42578125" style="16"/>
    <col min="12289" max="12289" width="10.85546875" style="16" customWidth="1"/>
    <col min="12290" max="12290" width="11.28515625" style="16" customWidth="1"/>
    <col min="12291" max="12291" width="43.28515625" style="16" customWidth="1"/>
    <col min="12292" max="12292" width="0" style="16" hidden="1" customWidth="1"/>
    <col min="12293" max="12293" width="13" style="16" customWidth="1"/>
    <col min="12294" max="12294" width="9.140625" style="16" customWidth="1"/>
    <col min="12295" max="12295" width="9.42578125" style="16" customWidth="1"/>
    <col min="12296" max="12296" width="9.140625" style="16" customWidth="1"/>
    <col min="12297" max="12297" width="6" style="16" customWidth="1"/>
    <col min="12298" max="12298" width="3.5703125" style="16" customWidth="1"/>
    <col min="12299" max="12299" width="3.42578125" style="16" customWidth="1"/>
    <col min="12300" max="12300" width="2.85546875" style="16" customWidth="1"/>
    <col min="12301" max="12301" width="3.42578125" style="16" customWidth="1"/>
    <col min="12302" max="12302" width="2.85546875" style="16" customWidth="1"/>
    <col min="12303" max="12303" width="3.85546875" style="16" customWidth="1"/>
    <col min="12304" max="12304" width="9.7109375" style="16" customWidth="1"/>
    <col min="12305" max="12305" width="26.28515625" style="16" customWidth="1"/>
    <col min="12306" max="12306" width="5.42578125" style="16" customWidth="1"/>
    <col min="12307" max="12307" width="8.28515625" style="16" customWidth="1"/>
    <col min="12308" max="12308" width="11.42578125" style="16"/>
    <col min="12309" max="12310" width="0" style="16" hidden="1" customWidth="1"/>
    <col min="12311" max="12544" width="11.42578125" style="16"/>
    <col min="12545" max="12545" width="10.85546875" style="16" customWidth="1"/>
    <col min="12546" max="12546" width="11.28515625" style="16" customWidth="1"/>
    <col min="12547" max="12547" width="43.28515625" style="16" customWidth="1"/>
    <col min="12548" max="12548" width="0" style="16" hidden="1" customWidth="1"/>
    <col min="12549" max="12549" width="13" style="16" customWidth="1"/>
    <col min="12550" max="12550" width="9.140625" style="16" customWidth="1"/>
    <col min="12551" max="12551" width="9.42578125" style="16" customWidth="1"/>
    <col min="12552" max="12552" width="9.140625" style="16" customWidth="1"/>
    <col min="12553" max="12553" width="6" style="16" customWidth="1"/>
    <col min="12554" max="12554" width="3.5703125" style="16" customWidth="1"/>
    <col min="12555" max="12555" width="3.42578125" style="16" customWidth="1"/>
    <col min="12556" max="12556" width="2.85546875" style="16" customWidth="1"/>
    <col min="12557" max="12557" width="3.42578125" style="16" customWidth="1"/>
    <col min="12558" max="12558" width="2.85546875" style="16" customWidth="1"/>
    <col min="12559" max="12559" width="3.85546875" style="16" customWidth="1"/>
    <col min="12560" max="12560" width="9.7109375" style="16" customWidth="1"/>
    <col min="12561" max="12561" width="26.28515625" style="16" customWidth="1"/>
    <col min="12562" max="12562" width="5.42578125" style="16" customWidth="1"/>
    <col min="12563" max="12563" width="8.28515625" style="16" customWidth="1"/>
    <col min="12564" max="12564" width="11.42578125" style="16"/>
    <col min="12565" max="12566" width="0" style="16" hidden="1" customWidth="1"/>
    <col min="12567" max="12800" width="11.42578125" style="16"/>
    <col min="12801" max="12801" width="10.85546875" style="16" customWidth="1"/>
    <col min="12802" max="12802" width="11.28515625" style="16" customWidth="1"/>
    <col min="12803" max="12803" width="43.28515625" style="16" customWidth="1"/>
    <col min="12804" max="12804" width="0" style="16" hidden="1" customWidth="1"/>
    <col min="12805" max="12805" width="13" style="16" customWidth="1"/>
    <col min="12806" max="12806" width="9.140625" style="16" customWidth="1"/>
    <col min="12807" max="12807" width="9.42578125" style="16" customWidth="1"/>
    <col min="12808" max="12808" width="9.140625" style="16" customWidth="1"/>
    <col min="12809" max="12809" width="6" style="16" customWidth="1"/>
    <col min="12810" max="12810" width="3.5703125" style="16" customWidth="1"/>
    <col min="12811" max="12811" width="3.42578125" style="16" customWidth="1"/>
    <col min="12812" max="12812" width="2.85546875" style="16" customWidth="1"/>
    <col min="12813" max="12813" width="3.42578125" style="16" customWidth="1"/>
    <col min="12814" max="12814" width="2.85546875" style="16" customWidth="1"/>
    <col min="12815" max="12815" width="3.85546875" style="16" customWidth="1"/>
    <col min="12816" max="12816" width="9.7109375" style="16" customWidth="1"/>
    <col min="12817" max="12817" width="26.28515625" style="16" customWidth="1"/>
    <col min="12818" max="12818" width="5.42578125" style="16" customWidth="1"/>
    <col min="12819" max="12819" width="8.28515625" style="16" customWidth="1"/>
    <col min="12820" max="12820" width="11.42578125" style="16"/>
    <col min="12821" max="12822" width="0" style="16" hidden="1" customWidth="1"/>
    <col min="12823" max="13056" width="11.42578125" style="16"/>
    <col min="13057" max="13057" width="10.85546875" style="16" customWidth="1"/>
    <col min="13058" max="13058" width="11.28515625" style="16" customWidth="1"/>
    <col min="13059" max="13059" width="43.28515625" style="16" customWidth="1"/>
    <col min="13060" max="13060" width="0" style="16" hidden="1" customWidth="1"/>
    <col min="13061" max="13061" width="13" style="16" customWidth="1"/>
    <col min="13062" max="13062" width="9.140625" style="16" customWidth="1"/>
    <col min="13063" max="13063" width="9.42578125" style="16" customWidth="1"/>
    <col min="13064" max="13064" width="9.140625" style="16" customWidth="1"/>
    <col min="13065" max="13065" width="6" style="16" customWidth="1"/>
    <col min="13066" max="13066" width="3.5703125" style="16" customWidth="1"/>
    <col min="13067" max="13067" width="3.42578125" style="16" customWidth="1"/>
    <col min="13068" max="13068" width="2.85546875" style="16" customWidth="1"/>
    <col min="13069" max="13069" width="3.42578125" style="16" customWidth="1"/>
    <col min="13070" max="13070" width="2.85546875" style="16" customWidth="1"/>
    <col min="13071" max="13071" width="3.85546875" style="16" customWidth="1"/>
    <col min="13072" max="13072" width="9.7109375" style="16" customWidth="1"/>
    <col min="13073" max="13073" width="26.28515625" style="16" customWidth="1"/>
    <col min="13074" max="13074" width="5.42578125" style="16" customWidth="1"/>
    <col min="13075" max="13075" width="8.28515625" style="16" customWidth="1"/>
    <col min="13076" max="13076" width="11.42578125" style="16"/>
    <col min="13077" max="13078" width="0" style="16" hidden="1" customWidth="1"/>
    <col min="13079" max="13312" width="11.42578125" style="16"/>
    <col min="13313" max="13313" width="10.85546875" style="16" customWidth="1"/>
    <col min="13314" max="13314" width="11.28515625" style="16" customWidth="1"/>
    <col min="13315" max="13315" width="43.28515625" style="16" customWidth="1"/>
    <col min="13316" max="13316" width="0" style="16" hidden="1" customWidth="1"/>
    <col min="13317" max="13317" width="13" style="16" customWidth="1"/>
    <col min="13318" max="13318" width="9.140625" style="16" customWidth="1"/>
    <col min="13319" max="13319" width="9.42578125" style="16" customWidth="1"/>
    <col min="13320" max="13320" width="9.140625" style="16" customWidth="1"/>
    <col min="13321" max="13321" width="6" style="16" customWidth="1"/>
    <col min="13322" max="13322" width="3.5703125" style="16" customWidth="1"/>
    <col min="13323" max="13323" width="3.42578125" style="16" customWidth="1"/>
    <col min="13324" max="13324" width="2.85546875" style="16" customWidth="1"/>
    <col min="13325" max="13325" width="3.42578125" style="16" customWidth="1"/>
    <col min="13326" max="13326" width="2.85546875" style="16" customWidth="1"/>
    <col min="13327" max="13327" width="3.85546875" style="16" customWidth="1"/>
    <col min="13328" max="13328" width="9.7109375" style="16" customWidth="1"/>
    <col min="13329" max="13329" width="26.28515625" style="16" customWidth="1"/>
    <col min="13330" max="13330" width="5.42578125" style="16" customWidth="1"/>
    <col min="13331" max="13331" width="8.28515625" style="16" customWidth="1"/>
    <col min="13332" max="13332" width="11.42578125" style="16"/>
    <col min="13333" max="13334" width="0" style="16" hidden="1" customWidth="1"/>
    <col min="13335" max="13568" width="11.42578125" style="16"/>
    <col min="13569" max="13569" width="10.85546875" style="16" customWidth="1"/>
    <col min="13570" max="13570" width="11.28515625" style="16" customWidth="1"/>
    <col min="13571" max="13571" width="43.28515625" style="16" customWidth="1"/>
    <col min="13572" max="13572" width="0" style="16" hidden="1" customWidth="1"/>
    <col min="13573" max="13573" width="13" style="16" customWidth="1"/>
    <col min="13574" max="13574" width="9.140625" style="16" customWidth="1"/>
    <col min="13575" max="13575" width="9.42578125" style="16" customWidth="1"/>
    <col min="13576" max="13576" width="9.140625" style="16" customWidth="1"/>
    <col min="13577" max="13577" width="6" style="16" customWidth="1"/>
    <col min="13578" max="13578" width="3.5703125" style="16" customWidth="1"/>
    <col min="13579" max="13579" width="3.42578125" style="16" customWidth="1"/>
    <col min="13580" max="13580" width="2.85546875" style="16" customWidth="1"/>
    <col min="13581" max="13581" width="3.42578125" style="16" customWidth="1"/>
    <col min="13582" max="13582" width="2.85546875" style="16" customWidth="1"/>
    <col min="13583" max="13583" width="3.85546875" style="16" customWidth="1"/>
    <col min="13584" max="13584" width="9.7109375" style="16" customWidth="1"/>
    <col min="13585" max="13585" width="26.28515625" style="16" customWidth="1"/>
    <col min="13586" max="13586" width="5.42578125" style="16" customWidth="1"/>
    <col min="13587" max="13587" width="8.28515625" style="16" customWidth="1"/>
    <col min="13588" max="13588" width="11.42578125" style="16"/>
    <col min="13589" max="13590" width="0" style="16" hidden="1" customWidth="1"/>
    <col min="13591" max="13824" width="11.42578125" style="16"/>
    <col min="13825" max="13825" width="10.85546875" style="16" customWidth="1"/>
    <col min="13826" max="13826" width="11.28515625" style="16" customWidth="1"/>
    <col min="13827" max="13827" width="43.28515625" style="16" customWidth="1"/>
    <col min="13828" max="13828" width="0" style="16" hidden="1" customWidth="1"/>
    <col min="13829" max="13829" width="13" style="16" customWidth="1"/>
    <col min="13830" max="13830" width="9.140625" style="16" customWidth="1"/>
    <col min="13831" max="13831" width="9.42578125" style="16" customWidth="1"/>
    <col min="13832" max="13832" width="9.140625" style="16" customWidth="1"/>
    <col min="13833" max="13833" width="6" style="16" customWidth="1"/>
    <col min="13834" max="13834" width="3.5703125" style="16" customWidth="1"/>
    <col min="13835" max="13835" width="3.42578125" style="16" customWidth="1"/>
    <col min="13836" max="13836" width="2.85546875" style="16" customWidth="1"/>
    <col min="13837" max="13837" width="3.42578125" style="16" customWidth="1"/>
    <col min="13838" max="13838" width="2.85546875" style="16" customWidth="1"/>
    <col min="13839" max="13839" width="3.85546875" style="16" customWidth="1"/>
    <col min="13840" max="13840" width="9.7109375" style="16" customWidth="1"/>
    <col min="13841" max="13841" width="26.28515625" style="16" customWidth="1"/>
    <col min="13842" max="13842" width="5.42578125" style="16" customWidth="1"/>
    <col min="13843" max="13843" width="8.28515625" style="16" customWidth="1"/>
    <col min="13844" max="13844" width="11.42578125" style="16"/>
    <col min="13845" max="13846" width="0" style="16" hidden="1" customWidth="1"/>
    <col min="13847" max="14080" width="11.42578125" style="16"/>
    <col min="14081" max="14081" width="10.85546875" style="16" customWidth="1"/>
    <col min="14082" max="14082" width="11.28515625" style="16" customWidth="1"/>
    <col min="14083" max="14083" width="43.28515625" style="16" customWidth="1"/>
    <col min="14084" max="14084" width="0" style="16" hidden="1" customWidth="1"/>
    <col min="14085" max="14085" width="13" style="16" customWidth="1"/>
    <col min="14086" max="14086" width="9.140625" style="16" customWidth="1"/>
    <col min="14087" max="14087" width="9.42578125" style="16" customWidth="1"/>
    <col min="14088" max="14088" width="9.140625" style="16" customWidth="1"/>
    <col min="14089" max="14089" width="6" style="16" customWidth="1"/>
    <col min="14090" max="14090" width="3.5703125" style="16" customWidth="1"/>
    <col min="14091" max="14091" width="3.42578125" style="16" customWidth="1"/>
    <col min="14092" max="14092" width="2.85546875" style="16" customWidth="1"/>
    <col min="14093" max="14093" width="3.42578125" style="16" customWidth="1"/>
    <col min="14094" max="14094" width="2.85546875" style="16" customWidth="1"/>
    <col min="14095" max="14095" width="3.85546875" style="16" customWidth="1"/>
    <col min="14096" max="14096" width="9.7109375" style="16" customWidth="1"/>
    <col min="14097" max="14097" width="26.28515625" style="16" customWidth="1"/>
    <col min="14098" max="14098" width="5.42578125" style="16" customWidth="1"/>
    <col min="14099" max="14099" width="8.28515625" style="16" customWidth="1"/>
    <col min="14100" max="14100" width="11.42578125" style="16"/>
    <col min="14101" max="14102" width="0" style="16" hidden="1" customWidth="1"/>
    <col min="14103" max="14336" width="11.42578125" style="16"/>
    <col min="14337" max="14337" width="10.85546875" style="16" customWidth="1"/>
    <col min="14338" max="14338" width="11.28515625" style="16" customWidth="1"/>
    <col min="14339" max="14339" width="43.28515625" style="16" customWidth="1"/>
    <col min="14340" max="14340" width="0" style="16" hidden="1" customWidth="1"/>
    <col min="14341" max="14341" width="13" style="16" customWidth="1"/>
    <col min="14342" max="14342" width="9.140625" style="16" customWidth="1"/>
    <col min="14343" max="14343" width="9.42578125" style="16" customWidth="1"/>
    <col min="14344" max="14344" width="9.140625" style="16" customWidth="1"/>
    <col min="14345" max="14345" width="6" style="16" customWidth="1"/>
    <col min="14346" max="14346" width="3.5703125" style="16" customWidth="1"/>
    <col min="14347" max="14347" width="3.42578125" style="16" customWidth="1"/>
    <col min="14348" max="14348" width="2.85546875" style="16" customWidth="1"/>
    <col min="14349" max="14349" width="3.42578125" style="16" customWidth="1"/>
    <col min="14350" max="14350" width="2.85546875" style="16" customWidth="1"/>
    <col min="14351" max="14351" width="3.85546875" style="16" customWidth="1"/>
    <col min="14352" max="14352" width="9.7109375" style="16" customWidth="1"/>
    <col min="14353" max="14353" width="26.28515625" style="16" customWidth="1"/>
    <col min="14354" max="14354" width="5.42578125" style="16" customWidth="1"/>
    <col min="14355" max="14355" width="8.28515625" style="16" customWidth="1"/>
    <col min="14356" max="14356" width="11.42578125" style="16"/>
    <col min="14357" max="14358" width="0" style="16" hidden="1" customWidth="1"/>
    <col min="14359" max="14592" width="11.42578125" style="16"/>
    <col min="14593" max="14593" width="10.85546875" style="16" customWidth="1"/>
    <col min="14594" max="14594" width="11.28515625" style="16" customWidth="1"/>
    <col min="14595" max="14595" width="43.28515625" style="16" customWidth="1"/>
    <col min="14596" max="14596" width="0" style="16" hidden="1" customWidth="1"/>
    <col min="14597" max="14597" width="13" style="16" customWidth="1"/>
    <col min="14598" max="14598" width="9.140625" style="16" customWidth="1"/>
    <col min="14599" max="14599" width="9.42578125" style="16" customWidth="1"/>
    <col min="14600" max="14600" width="9.140625" style="16" customWidth="1"/>
    <col min="14601" max="14601" width="6" style="16" customWidth="1"/>
    <col min="14602" max="14602" width="3.5703125" style="16" customWidth="1"/>
    <col min="14603" max="14603" width="3.42578125" style="16" customWidth="1"/>
    <col min="14604" max="14604" width="2.85546875" style="16" customWidth="1"/>
    <col min="14605" max="14605" width="3.42578125" style="16" customWidth="1"/>
    <col min="14606" max="14606" width="2.85546875" style="16" customWidth="1"/>
    <col min="14607" max="14607" width="3.85546875" style="16" customWidth="1"/>
    <col min="14608" max="14608" width="9.7109375" style="16" customWidth="1"/>
    <col min="14609" max="14609" width="26.28515625" style="16" customWidth="1"/>
    <col min="14610" max="14610" width="5.42578125" style="16" customWidth="1"/>
    <col min="14611" max="14611" width="8.28515625" style="16" customWidth="1"/>
    <col min="14612" max="14612" width="11.42578125" style="16"/>
    <col min="14613" max="14614" width="0" style="16" hidden="1" customWidth="1"/>
    <col min="14615" max="14848" width="11.42578125" style="16"/>
    <col min="14849" max="14849" width="10.85546875" style="16" customWidth="1"/>
    <col min="14850" max="14850" width="11.28515625" style="16" customWidth="1"/>
    <col min="14851" max="14851" width="43.28515625" style="16" customWidth="1"/>
    <col min="14852" max="14852" width="0" style="16" hidden="1" customWidth="1"/>
    <col min="14853" max="14853" width="13" style="16" customWidth="1"/>
    <col min="14854" max="14854" width="9.140625" style="16" customWidth="1"/>
    <col min="14855" max="14855" width="9.42578125" style="16" customWidth="1"/>
    <col min="14856" max="14856" width="9.140625" style="16" customWidth="1"/>
    <col min="14857" max="14857" width="6" style="16" customWidth="1"/>
    <col min="14858" max="14858" width="3.5703125" style="16" customWidth="1"/>
    <col min="14859" max="14859" width="3.42578125" style="16" customWidth="1"/>
    <col min="14860" max="14860" width="2.85546875" style="16" customWidth="1"/>
    <col min="14861" max="14861" width="3.42578125" style="16" customWidth="1"/>
    <col min="14862" max="14862" width="2.85546875" style="16" customWidth="1"/>
    <col min="14863" max="14863" width="3.85546875" style="16" customWidth="1"/>
    <col min="14864" max="14864" width="9.7109375" style="16" customWidth="1"/>
    <col min="14865" max="14865" width="26.28515625" style="16" customWidth="1"/>
    <col min="14866" max="14866" width="5.42578125" style="16" customWidth="1"/>
    <col min="14867" max="14867" width="8.28515625" style="16" customWidth="1"/>
    <col min="14868" max="14868" width="11.42578125" style="16"/>
    <col min="14869" max="14870" width="0" style="16" hidden="1" customWidth="1"/>
    <col min="14871" max="15104" width="11.42578125" style="16"/>
    <col min="15105" max="15105" width="10.85546875" style="16" customWidth="1"/>
    <col min="15106" max="15106" width="11.28515625" style="16" customWidth="1"/>
    <col min="15107" max="15107" width="43.28515625" style="16" customWidth="1"/>
    <col min="15108" max="15108" width="0" style="16" hidden="1" customWidth="1"/>
    <col min="15109" max="15109" width="13" style="16" customWidth="1"/>
    <col min="15110" max="15110" width="9.140625" style="16" customWidth="1"/>
    <col min="15111" max="15111" width="9.42578125" style="16" customWidth="1"/>
    <col min="15112" max="15112" width="9.140625" style="16" customWidth="1"/>
    <col min="15113" max="15113" width="6" style="16" customWidth="1"/>
    <col min="15114" max="15114" width="3.5703125" style="16" customWidth="1"/>
    <col min="15115" max="15115" width="3.42578125" style="16" customWidth="1"/>
    <col min="15116" max="15116" width="2.85546875" style="16" customWidth="1"/>
    <col min="15117" max="15117" width="3.42578125" style="16" customWidth="1"/>
    <col min="15118" max="15118" width="2.85546875" style="16" customWidth="1"/>
    <col min="15119" max="15119" width="3.85546875" style="16" customWidth="1"/>
    <col min="15120" max="15120" width="9.7109375" style="16" customWidth="1"/>
    <col min="15121" max="15121" width="26.28515625" style="16" customWidth="1"/>
    <col min="15122" max="15122" width="5.42578125" style="16" customWidth="1"/>
    <col min="15123" max="15123" width="8.28515625" style="16" customWidth="1"/>
    <col min="15124" max="15124" width="11.42578125" style="16"/>
    <col min="15125" max="15126" width="0" style="16" hidden="1" customWidth="1"/>
    <col min="15127" max="15360" width="11.42578125" style="16"/>
    <col min="15361" max="15361" width="10.85546875" style="16" customWidth="1"/>
    <col min="15362" max="15362" width="11.28515625" style="16" customWidth="1"/>
    <col min="15363" max="15363" width="43.28515625" style="16" customWidth="1"/>
    <col min="15364" max="15364" width="0" style="16" hidden="1" customWidth="1"/>
    <col min="15365" max="15365" width="13" style="16" customWidth="1"/>
    <col min="15366" max="15366" width="9.140625" style="16" customWidth="1"/>
    <col min="15367" max="15367" width="9.42578125" style="16" customWidth="1"/>
    <col min="15368" max="15368" width="9.140625" style="16" customWidth="1"/>
    <col min="15369" max="15369" width="6" style="16" customWidth="1"/>
    <col min="15370" max="15370" width="3.5703125" style="16" customWidth="1"/>
    <col min="15371" max="15371" width="3.42578125" style="16" customWidth="1"/>
    <col min="15372" max="15372" width="2.85546875" style="16" customWidth="1"/>
    <col min="15373" max="15373" width="3.42578125" style="16" customWidth="1"/>
    <col min="15374" max="15374" width="2.85546875" style="16" customWidth="1"/>
    <col min="15375" max="15375" width="3.85546875" style="16" customWidth="1"/>
    <col min="15376" max="15376" width="9.7109375" style="16" customWidth="1"/>
    <col min="15377" max="15377" width="26.28515625" style="16" customWidth="1"/>
    <col min="15378" max="15378" width="5.42578125" style="16" customWidth="1"/>
    <col min="15379" max="15379" width="8.28515625" style="16" customWidth="1"/>
    <col min="15380" max="15380" width="11.42578125" style="16"/>
    <col min="15381" max="15382" width="0" style="16" hidden="1" customWidth="1"/>
    <col min="15383" max="15616" width="11.42578125" style="16"/>
    <col min="15617" max="15617" width="10.85546875" style="16" customWidth="1"/>
    <col min="15618" max="15618" width="11.28515625" style="16" customWidth="1"/>
    <col min="15619" max="15619" width="43.28515625" style="16" customWidth="1"/>
    <col min="15620" max="15620" width="0" style="16" hidden="1" customWidth="1"/>
    <col min="15621" max="15621" width="13" style="16" customWidth="1"/>
    <col min="15622" max="15622" width="9.140625" style="16" customWidth="1"/>
    <col min="15623" max="15623" width="9.42578125" style="16" customWidth="1"/>
    <col min="15624" max="15624" width="9.140625" style="16" customWidth="1"/>
    <col min="15625" max="15625" width="6" style="16" customWidth="1"/>
    <col min="15626" max="15626" width="3.5703125" style="16" customWidth="1"/>
    <col min="15627" max="15627" width="3.42578125" style="16" customWidth="1"/>
    <col min="15628" max="15628" width="2.85546875" style="16" customWidth="1"/>
    <col min="15629" max="15629" width="3.42578125" style="16" customWidth="1"/>
    <col min="15630" max="15630" width="2.85546875" style="16" customWidth="1"/>
    <col min="15631" max="15631" width="3.85546875" style="16" customWidth="1"/>
    <col min="15632" max="15632" width="9.7109375" style="16" customWidth="1"/>
    <col min="15633" max="15633" width="26.28515625" style="16" customWidth="1"/>
    <col min="15634" max="15634" width="5.42578125" style="16" customWidth="1"/>
    <col min="15635" max="15635" width="8.28515625" style="16" customWidth="1"/>
    <col min="15636" max="15636" width="11.42578125" style="16"/>
    <col min="15637" max="15638" width="0" style="16" hidden="1" customWidth="1"/>
    <col min="15639" max="15872" width="11.42578125" style="16"/>
    <col min="15873" max="15873" width="10.85546875" style="16" customWidth="1"/>
    <col min="15874" max="15874" width="11.28515625" style="16" customWidth="1"/>
    <col min="15875" max="15875" width="43.28515625" style="16" customWidth="1"/>
    <col min="15876" max="15876" width="0" style="16" hidden="1" customWidth="1"/>
    <col min="15877" max="15877" width="13" style="16" customWidth="1"/>
    <col min="15878" max="15878" width="9.140625" style="16" customWidth="1"/>
    <col min="15879" max="15879" width="9.42578125" style="16" customWidth="1"/>
    <col min="15880" max="15880" width="9.140625" style="16" customWidth="1"/>
    <col min="15881" max="15881" width="6" style="16" customWidth="1"/>
    <col min="15882" max="15882" width="3.5703125" style="16" customWidth="1"/>
    <col min="15883" max="15883" width="3.42578125" style="16" customWidth="1"/>
    <col min="15884" max="15884" width="2.85546875" style="16" customWidth="1"/>
    <col min="15885" max="15885" width="3.42578125" style="16" customWidth="1"/>
    <col min="15886" max="15886" width="2.85546875" style="16" customWidth="1"/>
    <col min="15887" max="15887" width="3.85546875" style="16" customWidth="1"/>
    <col min="15888" max="15888" width="9.7109375" style="16" customWidth="1"/>
    <col min="15889" max="15889" width="26.28515625" style="16" customWidth="1"/>
    <col min="15890" max="15890" width="5.42578125" style="16" customWidth="1"/>
    <col min="15891" max="15891" width="8.28515625" style="16" customWidth="1"/>
    <col min="15892" max="15892" width="11.42578125" style="16"/>
    <col min="15893" max="15894" width="0" style="16" hidden="1" customWidth="1"/>
    <col min="15895" max="16128" width="11.42578125" style="16"/>
    <col min="16129" max="16129" width="10.85546875" style="16" customWidth="1"/>
    <col min="16130" max="16130" width="11.28515625" style="16" customWidth="1"/>
    <col min="16131" max="16131" width="43.28515625" style="16" customWidth="1"/>
    <col min="16132" max="16132" width="0" style="16" hidden="1" customWidth="1"/>
    <col min="16133" max="16133" width="13" style="16" customWidth="1"/>
    <col min="16134" max="16134" width="9.140625" style="16" customWidth="1"/>
    <col min="16135" max="16135" width="9.42578125" style="16" customWidth="1"/>
    <col min="16136" max="16136" width="9.140625" style="16" customWidth="1"/>
    <col min="16137" max="16137" width="6" style="16" customWidth="1"/>
    <col min="16138" max="16138" width="3.5703125" style="16" customWidth="1"/>
    <col min="16139" max="16139" width="3.42578125" style="16" customWidth="1"/>
    <col min="16140" max="16140" width="2.85546875" style="16" customWidth="1"/>
    <col min="16141" max="16141" width="3.42578125" style="16" customWidth="1"/>
    <col min="16142" max="16142" width="2.85546875" style="16" customWidth="1"/>
    <col min="16143" max="16143" width="3.85546875" style="16" customWidth="1"/>
    <col min="16144" max="16144" width="9.7109375" style="16" customWidth="1"/>
    <col min="16145" max="16145" width="26.28515625" style="16" customWidth="1"/>
    <col min="16146" max="16146" width="5.42578125" style="16" customWidth="1"/>
    <col min="16147" max="16147" width="8.28515625" style="16" customWidth="1"/>
    <col min="16148" max="16148" width="11.42578125" style="16"/>
    <col min="16149" max="16150" width="0" style="16" hidden="1" customWidth="1"/>
    <col min="16151" max="16384" width="11.42578125" style="16"/>
  </cols>
  <sheetData>
    <row r="1" spans="1:22" ht="2.25" customHeight="1" thickBot="1" x14ac:dyDescent="0.3"/>
    <row r="2" spans="1:22" ht="15.75" thickBot="1" x14ac:dyDescent="0.3">
      <c r="P2" s="133" t="s">
        <v>5461</v>
      </c>
      <c r="Q2" s="134"/>
      <c r="R2" s="134"/>
      <c r="S2" s="135"/>
    </row>
    <row r="3" spans="1:22" ht="16.5" customHeight="1" x14ac:dyDescent="0.25">
      <c r="A3" s="136" t="s">
        <v>5462</v>
      </c>
      <c r="B3" s="137"/>
      <c r="C3" s="138" t="s">
        <v>5463</v>
      </c>
      <c r="D3" s="139"/>
      <c r="E3" s="139"/>
      <c r="F3" s="139"/>
      <c r="G3" s="139"/>
      <c r="H3" s="139"/>
      <c r="I3" s="139"/>
      <c r="J3" s="139"/>
      <c r="K3" s="139"/>
      <c r="L3" s="139"/>
      <c r="M3" s="140"/>
      <c r="N3" s="141"/>
      <c r="O3" s="19"/>
      <c r="P3" s="20" t="s">
        <v>5464</v>
      </c>
      <c r="Q3" s="21" t="s">
        <v>5465</v>
      </c>
      <c r="R3" s="22" t="s">
        <v>5466</v>
      </c>
      <c r="S3" s="23" t="s">
        <v>5467</v>
      </c>
      <c r="V3" s="16" t="s">
        <v>5468</v>
      </c>
    </row>
    <row r="4" spans="1:22" ht="27" customHeight="1" thickBot="1" x14ac:dyDescent="0.3">
      <c r="A4" s="143" t="s">
        <v>5469</v>
      </c>
      <c r="B4" s="144"/>
      <c r="C4" s="145" t="str">
        <f>IF(C3=C851,"&lt;Nombre del responsable de los Documentos&gt;",VLOOKUP(C3,$C$852:$F$886,3,FALSE))</f>
        <v>DIEGO FERNANDO BRIÑEZ HERNANDEZ</v>
      </c>
      <c r="D4" s="146"/>
      <c r="E4" s="147"/>
      <c r="F4" s="147"/>
      <c r="G4" s="147"/>
      <c r="H4" s="147"/>
      <c r="I4" s="147"/>
      <c r="J4" s="147"/>
      <c r="K4" s="147"/>
      <c r="L4" s="147"/>
      <c r="M4" s="148"/>
      <c r="N4" s="142"/>
      <c r="O4" s="24"/>
      <c r="P4" s="25"/>
      <c r="Q4" s="26"/>
      <c r="R4" s="26"/>
      <c r="S4" s="27"/>
      <c r="V4" s="16" t="s">
        <v>5470</v>
      </c>
    </row>
    <row r="5" spans="1:22" ht="15.75" customHeight="1" thickBot="1" x14ac:dyDescent="0.3">
      <c r="A5" s="149" t="s">
        <v>5471</v>
      </c>
      <c r="B5" s="150"/>
      <c r="C5" s="150"/>
      <c r="D5" s="28"/>
      <c r="E5" s="151" t="s">
        <v>5472</v>
      </c>
      <c r="F5" s="151"/>
      <c r="G5" s="151"/>
      <c r="H5" s="151"/>
      <c r="I5" s="151"/>
      <c r="J5" s="151"/>
      <c r="K5" s="151"/>
      <c r="L5" s="152"/>
      <c r="M5" s="153"/>
      <c r="N5" s="142"/>
      <c r="O5" s="24"/>
      <c r="P5" s="29" t="s">
        <v>5473</v>
      </c>
      <c r="Q5" s="30"/>
      <c r="R5" s="30"/>
      <c r="S5" s="31"/>
      <c r="V5" s="16" t="s">
        <v>5474</v>
      </c>
    </row>
    <row r="6" spans="1:22" ht="6" customHeight="1" thickBot="1" x14ac:dyDescent="0.3">
      <c r="B6" s="32"/>
      <c r="C6" s="33"/>
      <c r="D6" s="34"/>
      <c r="E6" s="35"/>
      <c r="F6" s="35"/>
      <c r="G6" s="35"/>
      <c r="H6" s="35"/>
      <c r="I6" s="35"/>
      <c r="J6" s="35"/>
      <c r="K6" s="35"/>
      <c r="L6" s="35"/>
      <c r="M6" s="35"/>
      <c r="N6" s="35"/>
      <c r="O6" s="35"/>
      <c r="P6" s="35"/>
      <c r="Q6" s="35"/>
      <c r="R6" s="35"/>
      <c r="S6" s="35"/>
      <c r="V6" s="16" t="s">
        <v>5475</v>
      </c>
    </row>
    <row r="7" spans="1:22" s="42" customFormat="1" ht="12.75" customHeight="1" x14ac:dyDescent="0.25">
      <c r="A7" s="36"/>
      <c r="B7" s="36"/>
      <c r="C7" s="37"/>
      <c r="D7" s="38"/>
      <c r="E7" s="154" t="s">
        <v>5476</v>
      </c>
      <c r="F7" s="155"/>
      <c r="G7" s="156" t="s">
        <v>5477</v>
      </c>
      <c r="H7" s="157"/>
      <c r="I7" s="39"/>
      <c r="J7" s="158" t="s">
        <v>5478</v>
      </c>
      <c r="K7" s="159"/>
      <c r="L7" s="159"/>
      <c r="M7" s="159"/>
      <c r="N7" s="159"/>
      <c r="O7" s="160"/>
      <c r="P7" s="40"/>
      <c r="Q7" s="37"/>
      <c r="R7" s="41"/>
      <c r="S7" s="36"/>
      <c r="V7" s="42" t="s">
        <v>5479</v>
      </c>
    </row>
    <row r="8" spans="1:22" s="42" customFormat="1" ht="21" customHeight="1" x14ac:dyDescent="0.25">
      <c r="A8" s="43" t="s">
        <v>5480</v>
      </c>
      <c r="B8" s="43" t="s">
        <v>5481</v>
      </c>
      <c r="C8" s="44" t="s">
        <v>5482</v>
      </c>
      <c r="D8" s="45" t="s">
        <v>5483</v>
      </c>
      <c r="E8" s="46" t="s">
        <v>5484</v>
      </c>
      <c r="F8" s="47" t="s">
        <v>5485</v>
      </c>
      <c r="G8" s="48" t="s">
        <v>5486</v>
      </c>
      <c r="H8" s="49" t="s">
        <v>5487</v>
      </c>
      <c r="I8" s="50" t="s">
        <v>5488</v>
      </c>
      <c r="J8" s="51" t="s">
        <v>5489</v>
      </c>
      <c r="K8" s="52" t="s">
        <v>5490</v>
      </c>
      <c r="L8" s="52" t="s">
        <v>5491</v>
      </c>
      <c r="M8" s="52" t="s">
        <v>5492</v>
      </c>
      <c r="N8" s="52" t="s">
        <v>5493</v>
      </c>
      <c r="O8" s="53" t="s">
        <v>5494</v>
      </c>
      <c r="P8" s="54" t="s">
        <v>5495</v>
      </c>
      <c r="Q8" s="44" t="s">
        <v>5496</v>
      </c>
      <c r="R8" s="43" t="s">
        <v>5497</v>
      </c>
      <c r="S8" s="54" t="s">
        <v>5498</v>
      </c>
      <c r="V8" s="42" t="s">
        <v>5499</v>
      </c>
    </row>
    <row r="9" spans="1:22" s="63" customFormat="1" ht="56.25" x14ac:dyDescent="0.25">
      <c r="A9" s="55">
        <v>1</v>
      </c>
      <c r="B9" s="55" t="s">
        <v>5500</v>
      </c>
      <c r="C9" s="56" t="s">
        <v>5501</v>
      </c>
      <c r="D9" s="57"/>
      <c r="E9" s="58">
        <v>1</v>
      </c>
      <c r="F9" s="58">
        <v>6</v>
      </c>
      <c r="G9" s="59">
        <v>35410</v>
      </c>
      <c r="H9" s="59">
        <v>35416</v>
      </c>
      <c r="I9" s="60">
        <v>1</v>
      </c>
      <c r="J9" s="60"/>
      <c r="K9" s="58" t="s">
        <v>5502</v>
      </c>
      <c r="L9" s="58"/>
      <c r="M9" s="58"/>
      <c r="N9" s="58"/>
      <c r="O9" s="58"/>
      <c r="P9" s="61">
        <f t="shared" ref="P9:P72" si="0">IF(F9="","",IF(ISERR(F9-E9)=TRUE,"",F9-E9+1))</f>
        <v>6</v>
      </c>
      <c r="Q9" s="62" t="s">
        <v>5503</v>
      </c>
      <c r="R9" s="58"/>
      <c r="S9" s="58"/>
      <c r="V9" s="42" t="s">
        <v>5472</v>
      </c>
    </row>
    <row r="10" spans="1:22" s="63" customFormat="1" ht="45" x14ac:dyDescent="0.25">
      <c r="A10" s="55">
        <v>2</v>
      </c>
      <c r="B10" s="55" t="s">
        <v>5504</v>
      </c>
      <c r="C10" s="56" t="s">
        <v>5505</v>
      </c>
      <c r="D10" s="57"/>
      <c r="E10" s="58">
        <v>1</v>
      </c>
      <c r="F10" s="58">
        <v>5</v>
      </c>
      <c r="G10" s="64">
        <v>34793</v>
      </c>
      <c r="H10" s="59">
        <v>34837</v>
      </c>
      <c r="I10" s="60">
        <v>1</v>
      </c>
      <c r="J10" s="60"/>
      <c r="K10" s="58" t="s">
        <v>5502</v>
      </c>
      <c r="L10" s="58"/>
      <c r="M10" s="58"/>
      <c r="N10" s="58"/>
      <c r="O10" s="58"/>
      <c r="P10" s="61">
        <f t="shared" si="0"/>
        <v>5</v>
      </c>
      <c r="Q10" s="62" t="s">
        <v>5506</v>
      </c>
      <c r="R10" s="58"/>
      <c r="S10" s="58"/>
    </row>
    <row r="11" spans="1:22" s="63" customFormat="1" ht="45" x14ac:dyDescent="0.25">
      <c r="A11" s="55">
        <v>3</v>
      </c>
      <c r="B11" s="65" t="s">
        <v>5507</v>
      </c>
      <c r="C11" s="56" t="s">
        <v>5508</v>
      </c>
      <c r="D11" s="66"/>
      <c r="E11" s="58">
        <v>1</v>
      </c>
      <c r="F11" s="58">
        <v>7</v>
      </c>
      <c r="G11" s="64">
        <v>34277</v>
      </c>
      <c r="H11" s="59">
        <v>34319</v>
      </c>
      <c r="I11" s="60">
        <v>1</v>
      </c>
      <c r="J11" s="60"/>
      <c r="K11" s="58" t="s">
        <v>5502</v>
      </c>
      <c r="L11" s="67"/>
      <c r="M11" s="58"/>
      <c r="N11" s="58"/>
      <c r="O11" s="67"/>
      <c r="P11" s="61">
        <f t="shared" si="0"/>
        <v>7</v>
      </c>
      <c r="Q11" s="62" t="s">
        <v>5509</v>
      </c>
      <c r="R11" s="68"/>
      <c r="S11" s="69"/>
    </row>
    <row r="12" spans="1:22" s="63" customFormat="1" ht="45" x14ac:dyDescent="0.25">
      <c r="A12" s="55">
        <v>4</v>
      </c>
      <c r="B12" s="65" t="s">
        <v>5510</v>
      </c>
      <c r="C12" s="56" t="s">
        <v>5511</v>
      </c>
      <c r="D12" s="66"/>
      <c r="E12" s="58">
        <v>1</v>
      </c>
      <c r="F12" s="58">
        <v>5</v>
      </c>
      <c r="G12" s="59">
        <v>35249</v>
      </c>
      <c r="H12" s="59">
        <v>35278</v>
      </c>
      <c r="I12" s="60">
        <v>1</v>
      </c>
      <c r="J12" s="60"/>
      <c r="K12" s="58" t="s">
        <v>5502</v>
      </c>
      <c r="L12" s="67"/>
      <c r="M12" s="58"/>
      <c r="N12" s="58"/>
      <c r="O12" s="67"/>
      <c r="P12" s="61">
        <f>IF(F12="","",IF(ISERR(F12-E12)=TRUE,"",F12-E12+1))</f>
        <v>5</v>
      </c>
      <c r="Q12" s="62" t="s">
        <v>5512</v>
      </c>
      <c r="R12" s="68"/>
      <c r="S12" s="69"/>
    </row>
    <row r="13" spans="1:22" s="63" customFormat="1" ht="56.25" x14ac:dyDescent="0.25">
      <c r="A13" s="55">
        <v>5</v>
      </c>
      <c r="B13" s="65" t="s">
        <v>5513</v>
      </c>
      <c r="C13" s="56" t="s">
        <v>5514</v>
      </c>
      <c r="D13" s="66"/>
      <c r="E13" s="58">
        <v>1</v>
      </c>
      <c r="F13" s="70">
        <v>6</v>
      </c>
      <c r="G13" s="59">
        <v>35776</v>
      </c>
      <c r="H13" s="59">
        <v>35783</v>
      </c>
      <c r="I13" s="60">
        <v>1</v>
      </c>
      <c r="J13" s="58"/>
      <c r="K13" s="58" t="s">
        <v>5502</v>
      </c>
      <c r="L13" s="67"/>
      <c r="M13" s="58"/>
      <c r="N13" s="58"/>
      <c r="O13" s="67"/>
      <c r="P13" s="61">
        <f t="shared" si="0"/>
        <v>6</v>
      </c>
      <c r="Q13" s="62" t="s">
        <v>5515</v>
      </c>
      <c r="R13" s="68"/>
      <c r="S13" s="69"/>
    </row>
    <row r="14" spans="1:22" s="63" customFormat="1" ht="56.25" x14ac:dyDescent="0.25">
      <c r="A14" s="55">
        <v>6</v>
      </c>
      <c r="B14" s="65" t="s">
        <v>5516</v>
      </c>
      <c r="C14" s="56" t="s">
        <v>5517</v>
      </c>
      <c r="D14" s="66"/>
      <c r="E14" s="58">
        <v>1</v>
      </c>
      <c r="F14" s="70">
        <v>6</v>
      </c>
      <c r="G14" s="59">
        <v>35674</v>
      </c>
      <c r="H14" s="59">
        <v>35688</v>
      </c>
      <c r="I14" s="60">
        <v>1</v>
      </c>
      <c r="J14" s="58"/>
      <c r="K14" s="58" t="s">
        <v>5502</v>
      </c>
      <c r="L14" s="67"/>
      <c r="M14" s="58"/>
      <c r="N14" s="58"/>
      <c r="O14" s="67"/>
      <c r="P14" s="61">
        <f t="shared" si="0"/>
        <v>6</v>
      </c>
      <c r="Q14" s="62" t="s">
        <v>5518</v>
      </c>
      <c r="R14" s="68"/>
      <c r="S14" s="69"/>
    </row>
    <row r="15" spans="1:22" s="63" customFormat="1" ht="45" x14ac:dyDescent="0.25">
      <c r="A15" s="55">
        <v>7</v>
      </c>
      <c r="B15" s="65" t="s">
        <v>5519</v>
      </c>
      <c r="C15" s="56" t="s">
        <v>5520</v>
      </c>
      <c r="D15" s="66"/>
      <c r="E15" s="58">
        <v>1</v>
      </c>
      <c r="F15" s="70">
        <v>6</v>
      </c>
      <c r="G15" s="59">
        <v>36599</v>
      </c>
      <c r="H15" s="59">
        <v>36606</v>
      </c>
      <c r="I15" s="60">
        <v>1</v>
      </c>
      <c r="J15" s="58"/>
      <c r="K15" s="58" t="s">
        <v>5502</v>
      </c>
      <c r="L15" s="67"/>
      <c r="M15" s="58"/>
      <c r="N15" s="58"/>
      <c r="O15" s="67"/>
      <c r="P15" s="61">
        <f t="shared" si="0"/>
        <v>6</v>
      </c>
      <c r="Q15" s="62" t="s">
        <v>5521</v>
      </c>
      <c r="R15" s="68"/>
      <c r="S15" s="69"/>
    </row>
    <row r="16" spans="1:22" s="63" customFormat="1" ht="33.75" x14ac:dyDescent="0.25">
      <c r="A16" s="55">
        <v>8</v>
      </c>
      <c r="B16" s="65" t="s">
        <v>5522</v>
      </c>
      <c r="C16" s="56" t="s">
        <v>5523</v>
      </c>
      <c r="D16" s="66"/>
      <c r="E16" s="58">
        <v>1</v>
      </c>
      <c r="F16" s="70">
        <v>5</v>
      </c>
      <c r="G16" s="59">
        <v>34115</v>
      </c>
      <c r="H16" s="59">
        <v>34200</v>
      </c>
      <c r="I16" s="60">
        <v>1</v>
      </c>
      <c r="J16" s="58"/>
      <c r="K16" s="58" t="s">
        <v>5502</v>
      </c>
      <c r="L16" s="67"/>
      <c r="M16" s="58"/>
      <c r="N16" s="58"/>
      <c r="O16" s="67"/>
      <c r="P16" s="61">
        <f t="shared" si="0"/>
        <v>5</v>
      </c>
      <c r="Q16" s="62" t="s">
        <v>5524</v>
      </c>
      <c r="R16" s="68"/>
      <c r="S16" s="69"/>
    </row>
    <row r="17" spans="1:19" s="63" customFormat="1" ht="45" x14ac:dyDescent="0.25">
      <c r="A17" s="55">
        <v>9</v>
      </c>
      <c r="B17" s="65" t="s">
        <v>5525</v>
      </c>
      <c r="C17" s="56" t="s">
        <v>5526</v>
      </c>
      <c r="D17" s="66"/>
      <c r="E17" s="58">
        <v>1</v>
      </c>
      <c r="F17" s="70">
        <v>5</v>
      </c>
      <c r="G17" s="59">
        <v>34218</v>
      </c>
      <c r="H17" s="59">
        <v>34319</v>
      </c>
      <c r="I17" s="60">
        <v>1</v>
      </c>
      <c r="J17" s="58"/>
      <c r="K17" s="58" t="s">
        <v>5502</v>
      </c>
      <c r="L17" s="67"/>
      <c r="M17" s="58"/>
      <c r="N17" s="58"/>
      <c r="O17" s="67"/>
      <c r="P17" s="61">
        <f t="shared" si="0"/>
        <v>5</v>
      </c>
      <c r="Q17" s="62" t="s">
        <v>5527</v>
      </c>
      <c r="R17" s="68"/>
      <c r="S17" s="69"/>
    </row>
    <row r="18" spans="1:19" s="63" customFormat="1" ht="33.75" x14ac:dyDescent="0.25">
      <c r="A18" s="55">
        <v>10</v>
      </c>
      <c r="B18" s="55" t="s">
        <v>5528</v>
      </c>
      <c r="C18" s="56" t="s">
        <v>5529</v>
      </c>
      <c r="D18" s="57"/>
      <c r="E18" s="58">
        <v>1</v>
      </c>
      <c r="F18" s="70">
        <v>6</v>
      </c>
      <c r="G18" s="59">
        <v>33947</v>
      </c>
      <c r="H18" s="59">
        <v>34233</v>
      </c>
      <c r="I18" s="60">
        <v>1</v>
      </c>
      <c r="J18" s="58"/>
      <c r="K18" s="58" t="s">
        <v>5502</v>
      </c>
      <c r="L18" s="58"/>
      <c r="M18" s="58"/>
      <c r="N18" s="58"/>
      <c r="O18" s="58"/>
      <c r="P18" s="61">
        <f t="shared" si="0"/>
        <v>6</v>
      </c>
      <c r="Q18" s="62" t="s">
        <v>5530</v>
      </c>
      <c r="R18" s="68"/>
      <c r="S18" s="69"/>
    </row>
    <row r="19" spans="1:19" s="63" customFormat="1" ht="45" x14ac:dyDescent="0.25">
      <c r="A19" s="55">
        <v>11</v>
      </c>
      <c r="B19" s="55" t="s">
        <v>5531</v>
      </c>
      <c r="C19" s="56" t="s">
        <v>5532</v>
      </c>
      <c r="D19" s="57"/>
      <c r="E19" s="58">
        <v>1</v>
      </c>
      <c r="F19" s="70">
        <v>5</v>
      </c>
      <c r="G19" s="59">
        <v>34277</v>
      </c>
      <c r="H19" s="59">
        <v>34319</v>
      </c>
      <c r="I19" s="60">
        <v>1</v>
      </c>
      <c r="J19" s="58"/>
      <c r="K19" s="58" t="s">
        <v>5502</v>
      </c>
      <c r="L19" s="58"/>
      <c r="M19" s="58"/>
      <c r="N19" s="58"/>
      <c r="O19" s="58"/>
      <c r="P19" s="61">
        <f t="shared" si="0"/>
        <v>5</v>
      </c>
      <c r="Q19" s="62" t="s">
        <v>5533</v>
      </c>
      <c r="R19" s="68"/>
      <c r="S19" s="69"/>
    </row>
    <row r="20" spans="1:19" s="63" customFormat="1" ht="45" x14ac:dyDescent="0.25">
      <c r="A20" s="55">
        <v>12</v>
      </c>
      <c r="B20" s="55" t="s">
        <v>5534</v>
      </c>
      <c r="C20" s="56" t="s">
        <v>5535</v>
      </c>
      <c r="D20" s="57"/>
      <c r="E20" s="58">
        <v>1</v>
      </c>
      <c r="F20" s="58">
        <v>5</v>
      </c>
      <c r="G20" s="59">
        <v>34277</v>
      </c>
      <c r="H20" s="59">
        <v>34319</v>
      </c>
      <c r="I20" s="60">
        <v>1</v>
      </c>
      <c r="J20" s="58"/>
      <c r="K20" s="58" t="s">
        <v>5502</v>
      </c>
      <c r="L20" s="58"/>
      <c r="M20" s="58"/>
      <c r="N20" s="58"/>
      <c r="O20" s="58"/>
      <c r="P20" s="61">
        <f t="shared" si="0"/>
        <v>5</v>
      </c>
      <c r="Q20" s="62" t="s">
        <v>5536</v>
      </c>
      <c r="R20" s="58"/>
      <c r="S20" s="58"/>
    </row>
    <row r="21" spans="1:19" s="63" customFormat="1" ht="45" x14ac:dyDescent="0.25">
      <c r="A21" s="55">
        <v>13</v>
      </c>
      <c r="B21" s="55" t="s">
        <v>5537</v>
      </c>
      <c r="C21" s="56" t="s">
        <v>5538</v>
      </c>
      <c r="D21" s="57"/>
      <c r="E21" s="58">
        <v>1</v>
      </c>
      <c r="F21" s="58">
        <v>5</v>
      </c>
      <c r="G21" s="59">
        <v>34218</v>
      </c>
      <c r="H21" s="59">
        <v>34319</v>
      </c>
      <c r="I21" s="60">
        <v>1</v>
      </c>
      <c r="J21" s="58"/>
      <c r="K21" s="58" t="s">
        <v>5502</v>
      </c>
      <c r="L21" s="58"/>
      <c r="M21" s="58"/>
      <c r="N21" s="58"/>
      <c r="O21" s="58"/>
      <c r="P21" s="61">
        <f t="shared" si="0"/>
        <v>5</v>
      </c>
      <c r="Q21" s="62" t="s">
        <v>5539</v>
      </c>
      <c r="R21" s="58"/>
      <c r="S21" s="58"/>
    </row>
    <row r="22" spans="1:19" s="63" customFormat="1" ht="45" x14ac:dyDescent="0.25">
      <c r="A22" s="55">
        <v>14</v>
      </c>
      <c r="B22" s="55" t="s">
        <v>5540</v>
      </c>
      <c r="C22" s="56" t="s">
        <v>5541</v>
      </c>
      <c r="D22" s="57"/>
      <c r="E22" s="58">
        <v>1</v>
      </c>
      <c r="F22" s="58">
        <v>4</v>
      </c>
      <c r="G22" s="59">
        <v>34218</v>
      </c>
      <c r="H22" s="59">
        <v>34319</v>
      </c>
      <c r="I22" s="60">
        <v>1</v>
      </c>
      <c r="J22" s="58"/>
      <c r="K22" s="58" t="s">
        <v>5502</v>
      </c>
      <c r="L22" s="58"/>
      <c r="M22" s="58"/>
      <c r="N22" s="58"/>
      <c r="O22" s="58"/>
      <c r="P22" s="61">
        <f t="shared" si="0"/>
        <v>4</v>
      </c>
      <c r="Q22" s="62" t="s">
        <v>5542</v>
      </c>
      <c r="R22" s="58"/>
      <c r="S22" s="58"/>
    </row>
    <row r="23" spans="1:19" s="63" customFormat="1" ht="33.75" x14ac:dyDescent="0.25">
      <c r="A23" s="55">
        <v>15</v>
      </c>
      <c r="B23" s="55" t="s">
        <v>5543</v>
      </c>
      <c r="C23" s="56" t="s">
        <v>5544</v>
      </c>
      <c r="D23" s="57"/>
      <c r="E23" s="58">
        <v>1</v>
      </c>
      <c r="F23" s="58">
        <v>6</v>
      </c>
      <c r="G23" s="59">
        <v>34277</v>
      </c>
      <c r="H23" s="59">
        <v>34445</v>
      </c>
      <c r="I23" s="60">
        <v>1</v>
      </c>
      <c r="J23" s="58"/>
      <c r="K23" s="58" t="s">
        <v>5502</v>
      </c>
      <c r="L23" s="58"/>
      <c r="M23" s="58"/>
      <c r="N23" s="58"/>
      <c r="O23" s="58"/>
      <c r="P23" s="61">
        <f t="shared" si="0"/>
        <v>6</v>
      </c>
      <c r="Q23" s="62" t="s">
        <v>5545</v>
      </c>
      <c r="R23" s="58"/>
      <c r="S23" s="58"/>
    </row>
    <row r="24" spans="1:19" s="63" customFormat="1" ht="45" x14ac:dyDescent="0.25">
      <c r="A24" s="55">
        <v>16</v>
      </c>
      <c r="B24" s="55" t="s">
        <v>5546</v>
      </c>
      <c r="C24" s="56" t="s">
        <v>5547</v>
      </c>
      <c r="D24" s="57"/>
      <c r="E24" s="58">
        <v>1</v>
      </c>
      <c r="F24" s="58">
        <v>7</v>
      </c>
      <c r="G24" s="59">
        <v>35370</v>
      </c>
      <c r="H24" s="59">
        <v>35394</v>
      </c>
      <c r="I24" s="60">
        <v>1</v>
      </c>
      <c r="J24" s="58"/>
      <c r="K24" s="58" t="s">
        <v>5502</v>
      </c>
      <c r="L24" s="58"/>
      <c r="M24" s="58"/>
      <c r="N24" s="58"/>
      <c r="O24" s="58"/>
      <c r="P24" s="61">
        <f t="shared" si="0"/>
        <v>7</v>
      </c>
      <c r="Q24" s="62" t="s">
        <v>5548</v>
      </c>
      <c r="R24" s="68"/>
      <c r="S24" s="69"/>
    </row>
    <row r="25" spans="1:19" s="63" customFormat="1" ht="45" x14ac:dyDescent="0.25">
      <c r="A25" s="55">
        <v>17</v>
      </c>
      <c r="B25" s="55" t="s">
        <v>5549</v>
      </c>
      <c r="C25" s="56" t="s">
        <v>5550</v>
      </c>
      <c r="D25" s="57"/>
      <c r="E25" s="58">
        <v>1</v>
      </c>
      <c r="F25" s="58">
        <v>6</v>
      </c>
      <c r="G25" s="59">
        <v>36599</v>
      </c>
      <c r="H25" s="59">
        <v>36606</v>
      </c>
      <c r="I25" s="60">
        <v>1</v>
      </c>
      <c r="J25" s="58"/>
      <c r="K25" s="58" t="s">
        <v>5502</v>
      </c>
      <c r="L25" s="58"/>
      <c r="M25" s="58"/>
      <c r="N25" s="58"/>
      <c r="O25" s="58"/>
      <c r="P25" s="61">
        <f t="shared" si="0"/>
        <v>6</v>
      </c>
      <c r="Q25" s="62" t="s">
        <v>5551</v>
      </c>
      <c r="R25" s="58"/>
      <c r="S25" s="58"/>
    </row>
    <row r="26" spans="1:19" s="63" customFormat="1" ht="45" x14ac:dyDescent="0.25">
      <c r="A26" s="55">
        <v>18</v>
      </c>
      <c r="B26" s="55" t="s">
        <v>5552</v>
      </c>
      <c r="C26" s="56" t="s">
        <v>5553</v>
      </c>
      <c r="D26" s="57"/>
      <c r="E26" s="58">
        <v>1</v>
      </c>
      <c r="F26" s="58">
        <v>5</v>
      </c>
      <c r="G26" s="59">
        <v>34578</v>
      </c>
      <c r="H26" s="59">
        <v>34606</v>
      </c>
      <c r="I26" s="60">
        <v>1</v>
      </c>
      <c r="J26" s="58"/>
      <c r="K26" s="58" t="s">
        <v>5502</v>
      </c>
      <c r="L26" s="58"/>
      <c r="M26" s="58"/>
      <c r="N26" s="58"/>
      <c r="O26" s="58"/>
      <c r="P26" s="61">
        <f t="shared" si="0"/>
        <v>5</v>
      </c>
      <c r="Q26" s="62" t="s">
        <v>5554</v>
      </c>
      <c r="R26" s="58"/>
      <c r="S26" s="58"/>
    </row>
    <row r="27" spans="1:19" s="63" customFormat="1" ht="33.75" x14ac:dyDescent="0.25">
      <c r="A27" s="55">
        <v>19</v>
      </c>
      <c r="B27" s="55" t="s">
        <v>5555</v>
      </c>
      <c r="C27" s="56" t="s">
        <v>5556</v>
      </c>
      <c r="D27" s="57"/>
      <c r="E27" s="58">
        <v>1</v>
      </c>
      <c r="F27" s="58">
        <v>6</v>
      </c>
      <c r="G27" s="59">
        <v>34407</v>
      </c>
      <c r="H27" s="59">
        <v>34445</v>
      </c>
      <c r="I27" s="60">
        <v>1</v>
      </c>
      <c r="J27" s="58"/>
      <c r="K27" s="58" t="s">
        <v>5502</v>
      </c>
      <c r="L27" s="58"/>
      <c r="M27" s="58"/>
      <c r="N27" s="58"/>
      <c r="O27" s="58"/>
      <c r="P27" s="61">
        <f t="shared" si="0"/>
        <v>6</v>
      </c>
      <c r="Q27" s="62" t="s">
        <v>5557</v>
      </c>
      <c r="R27" s="58"/>
      <c r="S27" s="58"/>
    </row>
    <row r="28" spans="1:19" s="63" customFormat="1" ht="45" x14ac:dyDescent="0.25">
      <c r="A28" s="71">
        <v>20</v>
      </c>
      <c r="B28" s="72" t="s">
        <v>5558</v>
      </c>
      <c r="C28" s="56" t="s">
        <v>5559</v>
      </c>
      <c r="D28" s="57"/>
      <c r="E28" s="58">
        <v>1</v>
      </c>
      <c r="F28" s="58">
        <v>6</v>
      </c>
      <c r="G28" s="59">
        <v>36661</v>
      </c>
      <c r="H28" s="59">
        <v>36664</v>
      </c>
      <c r="I28" s="60">
        <v>1</v>
      </c>
      <c r="J28" s="58"/>
      <c r="K28" s="58" t="s">
        <v>5502</v>
      </c>
      <c r="L28" s="58"/>
      <c r="M28" s="58"/>
      <c r="N28" s="58"/>
      <c r="O28" s="58"/>
      <c r="P28" s="61">
        <f t="shared" si="0"/>
        <v>6</v>
      </c>
      <c r="Q28" s="62" t="s">
        <v>5560</v>
      </c>
      <c r="R28" s="73"/>
      <c r="S28" s="74"/>
    </row>
    <row r="29" spans="1:19" s="63" customFormat="1" ht="56.25" x14ac:dyDescent="0.25">
      <c r="A29" s="71">
        <v>21</v>
      </c>
      <c r="B29" s="72" t="s">
        <v>5561</v>
      </c>
      <c r="C29" s="56" t="s">
        <v>5562</v>
      </c>
      <c r="D29" s="57"/>
      <c r="E29" s="58">
        <v>1</v>
      </c>
      <c r="F29" s="58">
        <v>6</v>
      </c>
      <c r="G29" s="59">
        <v>35739</v>
      </c>
      <c r="H29" s="59">
        <v>35752</v>
      </c>
      <c r="I29" s="60">
        <v>1</v>
      </c>
      <c r="J29" s="58"/>
      <c r="K29" s="58" t="s">
        <v>5502</v>
      </c>
      <c r="L29" s="58"/>
      <c r="M29" s="58"/>
      <c r="N29" s="58"/>
      <c r="O29" s="58"/>
      <c r="P29" s="61">
        <f t="shared" si="0"/>
        <v>6</v>
      </c>
      <c r="Q29" s="62" t="s">
        <v>5563</v>
      </c>
      <c r="R29" s="73"/>
      <c r="S29" s="74"/>
    </row>
    <row r="30" spans="1:19" s="63" customFormat="1" ht="45" x14ac:dyDescent="0.25">
      <c r="A30" s="71">
        <v>22</v>
      </c>
      <c r="B30" s="72" t="s">
        <v>5564</v>
      </c>
      <c r="C30" s="56" t="s">
        <v>5565</v>
      </c>
      <c r="D30" s="57"/>
      <c r="E30" s="58">
        <v>1</v>
      </c>
      <c r="F30" s="58">
        <v>5</v>
      </c>
      <c r="G30" s="59">
        <v>34407</v>
      </c>
      <c r="H30" s="59">
        <v>34445</v>
      </c>
      <c r="I30" s="60">
        <v>1</v>
      </c>
      <c r="J30" s="58"/>
      <c r="K30" s="58" t="s">
        <v>5502</v>
      </c>
      <c r="L30" s="58"/>
      <c r="M30" s="58"/>
      <c r="N30" s="58"/>
      <c r="O30" s="58"/>
      <c r="P30" s="61">
        <f t="shared" si="0"/>
        <v>5</v>
      </c>
      <c r="Q30" s="62" t="s">
        <v>5566</v>
      </c>
      <c r="R30" s="73"/>
      <c r="S30" s="74"/>
    </row>
    <row r="31" spans="1:19" s="63" customFormat="1" ht="45" x14ac:dyDescent="0.25">
      <c r="A31" s="71">
        <v>23</v>
      </c>
      <c r="B31" s="72" t="s">
        <v>5567</v>
      </c>
      <c r="C31" s="56" t="s">
        <v>5568</v>
      </c>
      <c r="D31" s="57"/>
      <c r="E31" s="58">
        <v>1</v>
      </c>
      <c r="F31" s="58">
        <v>5</v>
      </c>
      <c r="G31" s="59">
        <v>34218</v>
      </c>
      <c r="H31" s="59">
        <v>34319</v>
      </c>
      <c r="I31" s="60">
        <v>1</v>
      </c>
      <c r="J31" s="58"/>
      <c r="K31" s="58" t="s">
        <v>5502</v>
      </c>
      <c r="L31" s="58"/>
      <c r="M31" s="58"/>
      <c r="N31" s="58"/>
      <c r="O31" s="58"/>
      <c r="P31" s="61">
        <f t="shared" si="0"/>
        <v>5</v>
      </c>
      <c r="Q31" s="62" t="s">
        <v>5569</v>
      </c>
      <c r="R31" s="73"/>
      <c r="S31" s="74"/>
    </row>
    <row r="32" spans="1:19" s="63" customFormat="1" ht="45" x14ac:dyDescent="0.25">
      <c r="A32" s="71">
        <v>24</v>
      </c>
      <c r="B32" s="72" t="s">
        <v>5570</v>
      </c>
      <c r="C32" s="56" t="s">
        <v>5571</v>
      </c>
      <c r="D32" s="57"/>
      <c r="E32" s="58">
        <v>1</v>
      </c>
      <c r="F32" s="58">
        <v>6</v>
      </c>
      <c r="G32" s="59">
        <v>34277</v>
      </c>
      <c r="H32" s="59">
        <v>34991</v>
      </c>
      <c r="I32" s="60">
        <v>1</v>
      </c>
      <c r="J32" s="58"/>
      <c r="K32" s="58" t="s">
        <v>5502</v>
      </c>
      <c r="L32" s="58"/>
      <c r="M32" s="58"/>
      <c r="N32" s="58"/>
      <c r="O32" s="58"/>
      <c r="P32" s="61">
        <f t="shared" si="0"/>
        <v>6</v>
      </c>
      <c r="Q32" s="62" t="s">
        <v>5572</v>
      </c>
      <c r="R32" s="73"/>
      <c r="S32" s="74"/>
    </row>
    <row r="33" spans="1:19" s="63" customFormat="1" ht="45" x14ac:dyDescent="0.25">
      <c r="A33" s="71">
        <v>25</v>
      </c>
      <c r="B33" s="72" t="s">
        <v>5573</v>
      </c>
      <c r="C33" s="56" t="s">
        <v>5574</v>
      </c>
      <c r="D33" s="57"/>
      <c r="E33" s="58">
        <v>1</v>
      </c>
      <c r="F33" s="58">
        <v>5</v>
      </c>
      <c r="G33" s="59">
        <v>33906</v>
      </c>
      <c r="H33" s="59">
        <v>33927</v>
      </c>
      <c r="I33" s="60">
        <v>1</v>
      </c>
      <c r="J33" s="58"/>
      <c r="K33" s="58" t="s">
        <v>5502</v>
      </c>
      <c r="L33" s="58"/>
      <c r="M33" s="58"/>
      <c r="N33" s="58"/>
      <c r="O33" s="58"/>
      <c r="P33" s="61">
        <f t="shared" si="0"/>
        <v>5</v>
      </c>
      <c r="Q33" s="62" t="s">
        <v>5575</v>
      </c>
      <c r="R33" s="73"/>
      <c r="S33" s="74"/>
    </row>
    <row r="34" spans="1:19" s="63" customFormat="1" ht="33.75" x14ac:dyDescent="0.25">
      <c r="A34" s="71">
        <v>26</v>
      </c>
      <c r="B34" s="72" t="s">
        <v>5576</v>
      </c>
      <c r="C34" s="56" t="s">
        <v>5577</v>
      </c>
      <c r="D34" s="57"/>
      <c r="E34" s="58">
        <v>1</v>
      </c>
      <c r="F34" s="58">
        <v>5</v>
      </c>
      <c r="G34" s="59">
        <v>34486</v>
      </c>
      <c r="H34" s="59">
        <v>34536</v>
      </c>
      <c r="I34" s="60">
        <v>1</v>
      </c>
      <c r="J34" s="58"/>
      <c r="K34" s="58" t="s">
        <v>5502</v>
      </c>
      <c r="L34" s="58"/>
      <c r="M34" s="58"/>
      <c r="N34" s="58"/>
      <c r="O34" s="58"/>
      <c r="P34" s="61">
        <f t="shared" si="0"/>
        <v>5</v>
      </c>
      <c r="Q34" s="62" t="s">
        <v>5578</v>
      </c>
      <c r="R34" s="73"/>
      <c r="S34" s="74"/>
    </row>
    <row r="35" spans="1:19" s="63" customFormat="1" ht="45" x14ac:dyDescent="0.25">
      <c r="A35" s="71">
        <v>27</v>
      </c>
      <c r="B35" s="72" t="s">
        <v>5579</v>
      </c>
      <c r="C35" s="56" t="s">
        <v>5580</v>
      </c>
      <c r="D35" s="57"/>
      <c r="E35" s="58">
        <v>1</v>
      </c>
      <c r="F35" s="58">
        <v>5</v>
      </c>
      <c r="G35" s="59">
        <v>34277</v>
      </c>
      <c r="H35" s="59">
        <v>34319</v>
      </c>
      <c r="I35" s="60">
        <v>1</v>
      </c>
      <c r="J35" s="58"/>
      <c r="K35" s="58" t="s">
        <v>5502</v>
      </c>
      <c r="L35" s="58"/>
      <c r="M35" s="58"/>
      <c r="N35" s="58"/>
      <c r="O35" s="58"/>
      <c r="P35" s="61">
        <f t="shared" si="0"/>
        <v>5</v>
      </c>
      <c r="Q35" s="62" t="s">
        <v>5581</v>
      </c>
      <c r="R35" s="73"/>
      <c r="S35" s="74"/>
    </row>
    <row r="36" spans="1:19" s="63" customFormat="1" ht="45" x14ac:dyDescent="0.25">
      <c r="A36" s="71">
        <v>28</v>
      </c>
      <c r="B36" s="72" t="s">
        <v>5582</v>
      </c>
      <c r="C36" s="56" t="s">
        <v>5583</v>
      </c>
      <c r="D36" s="57"/>
      <c r="E36" s="58">
        <v>1</v>
      </c>
      <c r="F36" s="58">
        <v>5</v>
      </c>
      <c r="G36" s="59">
        <v>34218</v>
      </c>
      <c r="H36" s="59">
        <v>34319</v>
      </c>
      <c r="I36" s="60">
        <v>1</v>
      </c>
      <c r="J36" s="58"/>
      <c r="K36" s="58" t="s">
        <v>5502</v>
      </c>
      <c r="L36" s="58"/>
      <c r="M36" s="58"/>
      <c r="N36" s="58"/>
      <c r="O36" s="58"/>
      <c r="P36" s="61">
        <f t="shared" si="0"/>
        <v>5</v>
      </c>
      <c r="Q36" s="62" t="s">
        <v>5584</v>
      </c>
      <c r="R36" s="73"/>
      <c r="S36" s="74"/>
    </row>
    <row r="37" spans="1:19" s="63" customFormat="1" ht="45" x14ac:dyDescent="0.25">
      <c r="A37" s="71">
        <v>29</v>
      </c>
      <c r="B37" s="72" t="s">
        <v>5585</v>
      </c>
      <c r="C37" s="56" t="s">
        <v>5586</v>
      </c>
      <c r="D37" s="57"/>
      <c r="E37" s="58">
        <v>1</v>
      </c>
      <c r="F37" s="58">
        <v>5</v>
      </c>
      <c r="G37" s="59">
        <v>34277</v>
      </c>
      <c r="H37" s="59">
        <v>34319</v>
      </c>
      <c r="I37" s="60">
        <v>1</v>
      </c>
      <c r="J37" s="58"/>
      <c r="K37" s="58" t="s">
        <v>5502</v>
      </c>
      <c r="L37" s="58"/>
      <c r="M37" s="58"/>
      <c r="N37" s="58"/>
      <c r="O37" s="58"/>
      <c r="P37" s="61">
        <f t="shared" si="0"/>
        <v>5</v>
      </c>
      <c r="Q37" s="62" t="s">
        <v>5587</v>
      </c>
      <c r="R37" s="73"/>
      <c r="S37" s="74"/>
    </row>
    <row r="38" spans="1:19" s="63" customFormat="1" ht="56.25" x14ac:dyDescent="0.25">
      <c r="A38" s="71">
        <v>30</v>
      </c>
      <c r="B38" s="72" t="s">
        <v>5588</v>
      </c>
      <c r="C38" s="56" t="s">
        <v>5589</v>
      </c>
      <c r="D38" s="57"/>
      <c r="E38" s="58">
        <v>1</v>
      </c>
      <c r="F38" s="58">
        <v>8</v>
      </c>
      <c r="G38" s="59">
        <v>35019</v>
      </c>
      <c r="H38" s="59">
        <v>35089</v>
      </c>
      <c r="I38" s="60">
        <v>1</v>
      </c>
      <c r="J38" s="58"/>
      <c r="K38" s="58" t="s">
        <v>5502</v>
      </c>
      <c r="L38" s="58"/>
      <c r="M38" s="58"/>
      <c r="N38" s="58"/>
      <c r="O38" s="58"/>
      <c r="P38" s="61">
        <f t="shared" si="0"/>
        <v>8</v>
      </c>
      <c r="Q38" s="62" t="s">
        <v>5590</v>
      </c>
      <c r="R38" s="73"/>
      <c r="S38" s="74"/>
    </row>
    <row r="39" spans="1:19" s="63" customFormat="1" ht="33.75" x14ac:dyDescent="0.25">
      <c r="A39" s="71">
        <v>31</v>
      </c>
      <c r="B39" s="72" t="s">
        <v>5591</v>
      </c>
      <c r="C39" s="56" t="s">
        <v>5592</v>
      </c>
      <c r="D39" s="57"/>
      <c r="E39" s="58">
        <v>1</v>
      </c>
      <c r="F39" s="58">
        <v>6</v>
      </c>
      <c r="G39" s="59">
        <v>34277</v>
      </c>
      <c r="H39" s="59">
        <v>34319</v>
      </c>
      <c r="I39" s="60">
        <v>1</v>
      </c>
      <c r="J39" s="58"/>
      <c r="K39" s="58" t="s">
        <v>5502</v>
      </c>
      <c r="L39" s="58"/>
      <c r="M39" s="58"/>
      <c r="N39" s="58"/>
      <c r="O39" s="58"/>
      <c r="P39" s="61">
        <f t="shared" si="0"/>
        <v>6</v>
      </c>
      <c r="Q39" s="62" t="s">
        <v>5593</v>
      </c>
      <c r="R39" s="73"/>
      <c r="S39" s="74"/>
    </row>
    <row r="40" spans="1:19" s="63" customFormat="1" ht="45" x14ac:dyDescent="0.25">
      <c r="A40" s="71">
        <v>32</v>
      </c>
      <c r="B40" s="72" t="s">
        <v>5594</v>
      </c>
      <c r="C40" s="56" t="s">
        <v>5595</v>
      </c>
      <c r="D40" s="57"/>
      <c r="E40" s="58">
        <v>1</v>
      </c>
      <c r="F40" s="58">
        <v>5</v>
      </c>
      <c r="G40" s="59">
        <v>34277</v>
      </c>
      <c r="H40" s="59">
        <v>34319</v>
      </c>
      <c r="I40" s="60">
        <v>1</v>
      </c>
      <c r="J40" s="58"/>
      <c r="K40" s="58" t="s">
        <v>5502</v>
      </c>
      <c r="L40" s="58"/>
      <c r="M40" s="58"/>
      <c r="N40" s="58"/>
      <c r="O40" s="58"/>
      <c r="P40" s="61">
        <f t="shared" si="0"/>
        <v>5</v>
      </c>
      <c r="Q40" s="62" t="s">
        <v>5596</v>
      </c>
      <c r="R40" s="73"/>
      <c r="S40" s="74"/>
    </row>
    <row r="41" spans="1:19" s="63" customFormat="1" ht="45" x14ac:dyDescent="0.25">
      <c r="A41" s="71">
        <v>33</v>
      </c>
      <c r="B41" s="72" t="s">
        <v>5597</v>
      </c>
      <c r="C41" s="56" t="s">
        <v>5598</v>
      </c>
      <c r="D41" s="57"/>
      <c r="E41" s="58">
        <v>1</v>
      </c>
      <c r="F41" s="58">
        <v>4</v>
      </c>
      <c r="G41" s="59">
        <v>34218</v>
      </c>
      <c r="H41" s="59">
        <v>34319</v>
      </c>
      <c r="I41" s="60">
        <v>1</v>
      </c>
      <c r="J41" s="58"/>
      <c r="K41" s="58" t="s">
        <v>5502</v>
      </c>
      <c r="L41" s="58"/>
      <c r="M41" s="58"/>
      <c r="N41" s="58"/>
      <c r="O41" s="58"/>
      <c r="P41" s="61">
        <f t="shared" si="0"/>
        <v>4</v>
      </c>
      <c r="Q41" s="62" t="s">
        <v>5599</v>
      </c>
      <c r="R41" s="73"/>
      <c r="S41" s="74"/>
    </row>
    <row r="42" spans="1:19" s="63" customFormat="1" ht="45" x14ac:dyDescent="0.25">
      <c r="A42" s="71">
        <v>34</v>
      </c>
      <c r="B42" s="72" t="s">
        <v>5600</v>
      </c>
      <c r="C42" s="56" t="s">
        <v>5601</v>
      </c>
      <c r="D42" s="57"/>
      <c r="E42" s="58">
        <v>1</v>
      </c>
      <c r="F42" s="58">
        <v>5</v>
      </c>
      <c r="G42" s="59">
        <v>34115</v>
      </c>
      <c r="H42" s="59">
        <v>34200</v>
      </c>
      <c r="I42" s="60">
        <v>1</v>
      </c>
      <c r="J42" s="58"/>
      <c r="K42" s="58" t="s">
        <v>5502</v>
      </c>
      <c r="L42" s="58"/>
      <c r="M42" s="58"/>
      <c r="N42" s="58"/>
      <c r="O42" s="58"/>
      <c r="P42" s="61">
        <f t="shared" si="0"/>
        <v>5</v>
      </c>
      <c r="Q42" s="62" t="s">
        <v>5602</v>
      </c>
      <c r="R42" s="73"/>
      <c r="S42" s="74"/>
    </row>
    <row r="43" spans="1:19" s="63" customFormat="1" ht="56.25" x14ac:dyDescent="0.25">
      <c r="A43" s="71">
        <v>35</v>
      </c>
      <c r="B43" s="72" t="s">
        <v>5603</v>
      </c>
      <c r="C43" s="56" t="s">
        <v>5604</v>
      </c>
      <c r="D43" s="57"/>
      <c r="E43" s="58">
        <v>1</v>
      </c>
      <c r="F43" s="58">
        <v>5</v>
      </c>
      <c r="G43" s="59">
        <v>34218</v>
      </c>
      <c r="H43" s="59">
        <v>34319</v>
      </c>
      <c r="I43" s="60">
        <v>1</v>
      </c>
      <c r="J43" s="58"/>
      <c r="K43" s="58" t="s">
        <v>5502</v>
      </c>
      <c r="L43" s="58"/>
      <c r="M43" s="58"/>
      <c r="N43" s="58"/>
      <c r="O43" s="58"/>
      <c r="P43" s="61">
        <f t="shared" si="0"/>
        <v>5</v>
      </c>
      <c r="Q43" s="62" t="s">
        <v>5605</v>
      </c>
      <c r="R43" s="73"/>
      <c r="S43" s="74"/>
    </row>
    <row r="44" spans="1:19" s="63" customFormat="1" ht="56.25" x14ac:dyDescent="0.25">
      <c r="A44" s="71">
        <v>36</v>
      </c>
      <c r="B44" s="72" t="s">
        <v>5606</v>
      </c>
      <c r="C44" s="56" t="s">
        <v>5607</v>
      </c>
      <c r="D44" s="57"/>
      <c r="E44" s="58">
        <v>1</v>
      </c>
      <c r="F44" s="58">
        <v>5</v>
      </c>
      <c r="G44" s="59">
        <v>33947</v>
      </c>
      <c r="H44" s="59">
        <v>34046</v>
      </c>
      <c r="I44" s="60">
        <v>1</v>
      </c>
      <c r="J44" s="58"/>
      <c r="K44" s="58" t="s">
        <v>5502</v>
      </c>
      <c r="L44" s="58"/>
      <c r="M44" s="58"/>
      <c r="N44" s="58"/>
      <c r="O44" s="58"/>
      <c r="P44" s="61">
        <f t="shared" si="0"/>
        <v>5</v>
      </c>
      <c r="Q44" s="62" t="s">
        <v>5608</v>
      </c>
      <c r="R44" s="73"/>
      <c r="S44" s="74"/>
    </row>
    <row r="45" spans="1:19" s="63" customFormat="1" ht="56.25" x14ac:dyDescent="0.25">
      <c r="A45" s="71">
        <v>37</v>
      </c>
      <c r="B45" s="72" t="s">
        <v>5609</v>
      </c>
      <c r="C45" s="56" t="s">
        <v>5610</v>
      </c>
      <c r="D45" s="57"/>
      <c r="E45" s="58">
        <v>1</v>
      </c>
      <c r="F45" s="58">
        <v>6</v>
      </c>
      <c r="G45" s="59">
        <v>34793</v>
      </c>
      <c r="H45" s="59">
        <v>34837</v>
      </c>
      <c r="I45" s="60">
        <v>1</v>
      </c>
      <c r="J45" s="58"/>
      <c r="K45" s="58" t="s">
        <v>5502</v>
      </c>
      <c r="L45" s="58"/>
      <c r="M45" s="58"/>
      <c r="N45" s="58"/>
      <c r="O45" s="58"/>
      <c r="P45" s="61">
        <f t="shared" si="0"/>
        <v>6</v>
      </c>
      <c r="Q45" s="62" t="s">
        <v>5611</v>
      </c>
      <c r="R45" s="73"/>
      <c r="S45" s="74"/>
    </row>
    <row r="46" spans="1:19" s="63" customFormat="1" ht="22.5" x14ac:dyDescent="0.25">
      <c r="A46" s="71">
        <v>38</v>
      </c>
      <c r="B46" s="72" t="s">
        <v>5612</v>
      </c>
      <c r="C46" s="56" t="s">
        <v>5613</v>
      </c>
      <c r="D46" s="57"/>
      <c r="E46" s="58">
        <v>1</v>
      </c>
      <c r="F46" s="58">
        <v>9</v>
      </c>
      <c r="G46" s="59">
        <v>14667</v>
      </c>
      <c r="H46" s="59">
        <v>22712</v>
      </c>
      <c r="I46" s="60">
        <v>1</v>
      </c>
      <c r="J46" s="58"/>
      <c r="K46" s="58" t="s">
        <v>5502</v>
      </c>
      <c r="L46" s="58"/>
      <c r="M46" s="58"/>
      <c r="N46" s="58"/>
      <c r="O46" s="58"/>
      <c r="P46" s="61">
        <f t="shared" si="0"/>
        <v>9</v>
      </c>
      <c r="Q46" s="62" t="s">
        <v>5614</v>
      </c>
      <c r="R46" s="73"/>
      <c r="S46" s="74"/>
    </row>
    <row r="47" spans="1:19" s="63" customFormat="1" ht="45" x14ac:dyDescent="0.25">
      <c r="A47" s="71">
        <v>39</v>
      </c>
      <c r="B47" s="72" t="s">
        <v>5615</v>
      </c>
      <c r="C47" s="56" t="s">
        <v>5616</v>
      </c>
      <c r="D47" s="57"/>
      <c r="E47" s="58">
        <v>1</v>
      </c>
      <c r="F47" s="58">
        <v>6</v>
      </c>
      <c r="G47" s="59">
        <v>36726</v>
      </c>
      <c r="H47" s="59">
        <v>36734</v>
      </c>
      <c r="I47" s="60">
        <v>1</v>
      </c>
      <c r="J47" s="58"/>
      <c r="K47" s="58" t="s">
        <v>5502</v>
      </c>
      <c r="L47" s="58"/>
      <c r="M47" s="58"/>
      <c r="N47" s="58"/>
      <c r="O47" s="58"/>
      <c r="P47" s="61">
        <f t="shared" si="0"/>
        <v>6</v>
      </c>
      <c r="Q47" s="62" t="s">
        <v>5617</v>
      </c>
      <c r="R47" s="73"/>
      <c r="S47" s="74"/>
    </row>
    <row r="48" spans="1:19" s="63" customFormat="1" ht="45" x14ac:dyDescent="0.25">
      <c r="A48" s="71">
        <v>40</v>
      </c>
      <c r="B48" s="72" t="s">
        <v>5618</v>
      </c>
      <c r="C48" s="56" t="s">
        <v>5619</v>
      </c>
      <c r="D48" s="57"/>
      <c r="E48" s="58">
        <v>1</v>
      </c>
      <c r="F48" s="58">
        <v>6</v>
      </c>
      <c r="G48" s="59">
        <v>36726</v>
      </c>
      <c r="H48" s="59">
        <v>36734</v>
      </c>
      <c r="I48" s="60">
        <v>1</v>
      </c>
      <c r="J48" s="58"/>
      <c r="K48" s="58" t="s">
        <v>5502</v>
      </c>
      <c r="L48" s="58"/>
      <c r="M48" s="58"/>
      <c r="N48" s="58"/>
      <c r="O48" s="58"/>
      <c r="P48" s="61">
        <f t="shared" si="0"/>
        <v>6</v>
      </c>
      <c r="Q48" s="62" t="s">
        <v>5620</v>
      </c>
      <c r="R48" s="73"/>
      <c r="S48" s="74"/>
    </row>
    <row r="49" spans="1:19" s="63" customFormat="1" ht="45" x14ac:dyDescent="0.25">
      <c r="A49" s="71">
        <v>41</v>
      </c>
      <c r="B49" s="72" t="s">
        <v>5621</v>
      </c>
      <c r="C49" s="56" t="s">
        <v>5622</v>
      </c>
      <c r="D49" s="57"/>
      <c r="E49" s="58">
        <v>1</v>
      </c>
      <c r="F49" s="58">
        <v>5</v>
      </c>
      <c r="G49" s="59">
        <v>34218</v>
      </c>
      <c r="H49" s="59">
        <v>34319</v>
      </c>
      <c r="I49" s="60">
        <v>1</v>
      </c>
      <c r="J49" s="58"/>
      <c r="K49" s="58" t="s">
        <v>5502</v>
      </c>
      <c r="L49" s="58"/>
      <c r="M49" s="58"/>
      <c r="N49" s="58"/>
      <c r="O49" s="58"/>
      <c r="P49" s="61">
        <f t="shared" si="0"/>
        <v>5</v>
      </c>
      <c r="Q49" s="62" t="s">
        <v>5623</v>
      </c>
      <c r="R49" s="73"/>
      <c r="S49" s="74"/>
    </row>
    <row r="50" spans="1:19" s="63" customFormat="1" ht="45" x14ac:dyDescent="0.25">
      <c r="A50" s="71">
        <v>42</v>
      </c>
      <c r="B50" s="72" t="s">
        <v>5624</v>
      </c>
      <c r="C50" s="56" t="s">
        <v>5625</v>
      </c>
      <c r="D50" s="57"/>
      <c r="E50" s="58">
        <v>1</v>
      </c>
      <c r="F50" s="58">
        <v>5</v>
      </c>
      <c r="G50" s="59">
        <v>34277</v>
      </c>
      <c r="H50" s="59">
        <v>34319</v>
      </c>
      <c r="I50" s="60">
        <v>1</v>
      </c>
      <c r="J50" s="58"/>
      <c r="K50" s="58" t="s">
        <v>5502</v>
      </c>
      <c r="L50" s="58"/>
      <c r="M50" s="58"/>
      <c r="N50" s="58"/>
      <c r="O50" s="58"/>
      <c r="P50" s="61">
        <f t="shared" si="0"/>
        <v>5</v>
      </c>
      <c r="Q50" s="62" t="s">
        <v>5626</v>
      </c>
      <c r="R50" s="73"/>
      <c r="S50" s="74"/>
    </row>
    <row r="51" spans="1:19" s="63" customFormat="1" ht="45" x14ac:dyDescent="0.25">
      <c r="A51" s="71">
        <v>43</v>
      </c>
      <c r="B51" s="72" t="s">
        <v>5627</v>
      </c>
      <c r="C51" s="56" t="s">
        <v>5628</v>
      </c>
      <c r="D51" s="57"/>
      <c r="E51" s="58">
        <v>1</v>
      </c>
      <c r="F51" s="58">
        <v>5</v>
      </c>
      <c r="G51" s="59">
        <v>35550</v>
      </c>
      <c r="H51" s="59">
        <v>35600</v>
      </c>
      <c r="I51" s="60">
        <v>1</v>
      </c>
      <c r="J51" s="58"/>
      <c r="K51" s="58" t="s">
        <v>5502</v>
      </c>
      <c r="L51" s="58"/>
      <c r="M51" s="58"/>
      <c r="N51" s="58"/>
      <c r="O51" s="58"/>
      <c r="P51" s="61">
        <f t="shared" si="0"/>
        <v>5</v>
      </c>
      <c r="Q51" s="62" t="s">
        <v>5629</v>
      </c>
      <c r="R51" s="73"/>
      <c r="S51" s="74"/>
    </row>
    <row r="52" spans="1:19" s="63" customFormat="1" ht="45" x14ac:dyDescent="0.25">
      <c r="A52" s="71">
        <v>44</v>
      </c>
      <c r="B52" s="72" t="s">
        <v>5630</v>
      </c>
      <c r="C52" s="56" t="s">
        <v>5631</v>
      </c>
      <c r="D52" s="57"/>
      <c r="E52" s="58">
        <v>1</v>
      </c>
      <c r="F52" s="58">
        <v>6</v>
      </c>
      <c r="G52" s="59">
        <v>34115</v>
      </c>
      <c r="H52" s="59">
        <v>34200</v>
      </c>
      <c r="I52" s="60">
        <v>1</v>
      </c>
      <c r="J52" s="58"/>
      <c r="K52" s="58" t="s">
        <v>5502</v>
      </c>
      <c r="L52" s="58"/>
      <c r="M52" s="58"/>
      <c r="N52" s="58"/>
      <c r="O52" s="58"/>
      <c r="P52" s="61">
        <f t="shared" si="0"/>
        <v>6</v>
      </c>
      <c r="Q52" s="62" t="s">
        <v>5632</v>
      </c>
      <c r="R52" s="73"/>
      <c r="S52" s="74"/>
    </row>
    <row r="53" spans="1:19" s="63" customFormat="1" ht="56.25" x14ac:dyDescent="0.25">
      <c r="A53" s="71">
        <v>45</v>
      </c>
      <c r="B53" s="72" t="s">
        <v>5633</v>
      </c>
      <c r="C53" s="56" t="s">
        <v>5634</v>
      </c>
      <c r="D53" s="57"/>
      <c r="E53" s="58">
        <v>1</v>
      </c>
      <c r="F53" s="58">
        <v>5</v>
      </c>
      <c r="G53" s="59">
        <v>35922</v>
      </c>
      <c r="H53" s="59">
        <v>35929</v>
      </c>
      <c r="I53" s="60">
        <v>1</v>
      </c>
      <c r="J53" s="58"/>
      <c r="K53" s="58" t="s">
        <v>5502</v>
      </c>
      <c r="L53" s="58"/>
      <c r="M53" s="58"/>
      <c r="N53" s="58"/>
      <c r="O53" s="58"/>
      <c r="P53" s="61">
        <f t="shared" si="0"/>
        <v>5</v>
      </c>
      <c r="Q53" s="62" t="s">
        <v>5635</v>
      </c>
      <c r="R53" s="73"/>
      <c r="S53" s="74"/>
    </row>
    <row r="54" spans="1:19" s="63" customFormat="1" ht="56.25" x14ac:dyDescent="0.25">
      <c r="A54" s="71">
        <v>46</v>
      </c>
      <c r="B54" s="72" t="s">
        <v>5636</v>
      </c>
      <c r="C54" s="56" t="s">
        <v>5637</v>
      </c>
      <c r="D54" s="57"/>
      <c r="E54" s="58">
        <v>1</v>
      </c>
      <c r="F54" s="58">
        <v>6</v>
      </c>
      <c r="G54" s="59">
        <v>33947</v>
      </c>
      <c r="H54" s="59">
        <v>34046</v>
      </c>
      <c r="I54" s="60">
        <v>1</v>
      </c>
      <c r="J54" s="58"/>
      <c r="K54" s="58" t="s">
        <v>5502</v>
      </c>
      <c r="L54" s="58"/>
      <c r="M54" s="58"/>
      <c r="N54" s="58"/>
      <c r="O54" s="58"/>
      <c r="P54" s="61">
        <f t="shared" si="0"/>
        <v>6</v>
      </c>
      <c r="Q54" s="62" t="s">
        <v>5638</v>
      </c>
      <c r="R54" s="73"/>
      <c r="S54" s="74"/>
    </row>
    <row r="55" spans="1:19" s="63" customFormat="1" ht="45" x14ac:dyDescent="0.25">
      <c r="A55" s="71">
        <v>47</v>
      </c>
      <c r="B55" s="72" t="s">
        <v>5639</v>
      </c>
      <c r="C55" s="56" t="s">
        <v>5640</v>
      </c>
      <c r="D55" s="57"/>
      <c r="E55" s="58">
        <v>1</v>
      </c>
      <c r="F55" s="58">
        <v>5</v>
      </c>
      <c r="G55" s="59">
        <v>36861</v>
      </c>
      <c r="H55" s="59">
        <v>36881</v>
      </c>
      <c r="I55" s="60">
        <v>1</v>
      </c>
      <c r="J55" s="58"/>
      <c r="K55" s="58" t="s">
        <v>5502</v>
      </c>
      <c r="L55" s="58"/>
      <c r="M55" s="58"/>
      <c r="N55" s="58"/>
      <c r="O55" s="58"/>
      <c r="P55" s="61">
        <f t="shared" si="0"/>
        <v>5</v>
      </c>
      <c r="Q55" s="62" t="s">
        <v>5641</v>
      </c>
      <c r="R55" s="73"/>
      <c r="S55" s="74"/>
    </row>
    <row r="56" spans="1:19" s="63" customFormat="1" ht="45" x14ac:dyDescent="0.25">
      <c r="A56" s="71">
        <v>48</v>
      </c>
      <c r="B56" s="72" t="s">
        <v>5642</v>
      </c>
      <c r="C56" s="56" t="s">
        <v>5643</v>
      </c>
      <c r="D56" s="57"/>
      <c r="E56" s="58">
        <v>1</v>
      </c>
      <c r="F56" s="58">
        <v>6</v>
      </c>
      <c r="G56" s="59">
        <v>34277</v>
      </c>
      <c r="H56" s="59">
        <v>34319</v>
      </c>
      <c r="I56" s="60">
        <v>1</v>
      </c>
      <c r="J56" s="58"/>
      <c r="K56" s="58" t="s">
        <v>5502</v>
      </c>
      <c r="L56" s="58"/>
      <c r="M56" s="58"/>
      <c r="N56" s="58"/>
      <c r="O56" s="58"/>
      <c r="P56" s="61">
        <f t="shared" si="0"/>
        <v>6</v>
      </c>
      <c r="Q56" s="62" t="s">
        <v>5644</v>
      </c>
      <c r="R56" s="73"/>
      <c r="S56" s="74"/>
    </row>
    <row r="57" spans="1:19" s="63" customFormat="1" ht="45" x14ac:dyDescent="0.25">
      <c r="A57" s="71">
        <v>49</v>
      </c>
      <c r="B57" s="72" t="s">
        <v>5645</v>
      </c>
      <c r="C57" s="56" t="s">
        <v>5646</v>
      </c>
      <c r="D57" s="57"/>
      <c r="E57" s="58">
        <v>1</v>
      </c>
      <c r="F57" s="58">
        <v>3</v>
      </c>
      <c r="G57" s="59">
        <v>34277</v>
      </c>
      <c r="H57" s="59">
        <v>34319</v>
      </c>
      <c r="I57" s="60">
        <v>1</v>
      </c>
      <c r="J57" s="58"/>
      <c r="K57" s="58" t="s">
        <v>5502</v>
      </c>
      <c r="L57" s="58"/>
      <c r="M57" s="58"/>
      <c r="N57" s="58"/>
      <c r="O57" s="58"/>
      <c r="P57" s="61">
        <f t="shared" si="0"/>
        <v>3</v>
      </c>
      <c r="Q57" s="62" t="s">
        <v>5647</v>
      </c>
      <c r="R57" s="73"/>
      <c r="S57" s="74"/>
    </row>
    <row r="58" spans="1:19" s="63" customFormat="1" ht="45" x14ac:dyDescent="0.25">
      <c r="A58" s="71">
        <v>50</v>
      </c>
      <c r="B58" s="72" t="s">
        <v>5648</v>
      </c>
      <c r="C58" s="56" t="s">
        <v>5649</v>
      </c>
      <c r="D58" s="57"/>
      <c r="E58" s="58">
        <v>1</v>
      </c>
      <c r="F58" s="58">
        <v>4</v>
      </c>
      <c r="G58" s="59">
        <v>34277</v>
      </c>
      <c r="H58" s="59">
        <v>34319</v>
      </c>
      <c r="I58" s="60">
        <v>1</v>
      </c>
      <c r="J58" s="58"/>
      <c r="K58" s="58" t="s">
        <v>5502</v>
      </c>
      <c r="L58" s="58"/>
      <c r="M58" s="58"/>
      <c r="N58" s="58"/>
      <c r="O58" s="58"/>
      <c r="P58" s="61">
        <f t="shared" si="0"/>
        <v>4</v>
      </c>
      <c r="Q58" s="62" t="s">
        <v>5650</v>
      </c>
      <c r="R58" s="73"/>
      <c r="S58" s="74"/>
    </row>
    <row r="59" spans="1:19" s="63" customFormat="1" ht="45" x14ac:dyDescent="0.25">
      <c r="A59" s="71">
        <v>51</v>
      </c>
      <c r="B59" s="72" t="s">
        <v>5651</v>
      </c>
      <c r="C59" s="56" t="s">
        <v>5652</v>
      </c>
      <c r="D59" s="57"/>
      <c r="E59" s="58">
        <v>1</v>
      </c>
      <c r="F59" s="58">
        <v>5</v>
      </c>
      <c r="G59" s="59">
        <v>34486</v>
      </c>
      <c r="H59" s="59">
        <v>34536</v>
      </c>
      <c r="I59" s="60">
        <v>1</v>
      </c>
      <c r="J59" s="58"/>
      <c r="K59" s="58" t="s">
        <v>5502</v>
      </c>
      <c r="L59" s="58"/>
      <c r="M59" s="58"/>
      <c r="N59" s="58"/>
      <c r="O59" s="58"/>
      <c r="P59" s="61">
        <f t="shared" si="0"/>
        <v>5</v>
      </c>
      <c r="Q59" s="62" t="s">
        <v>5653</v>
      </c>
      <c r="R59" s="73"/>
      <c r="S59" s="74"/>
    </row>
    <row r="60" spans="1:19" s="63" customFormat="1" ht="45" x14ac:dyDescent="0.25">
      <c r="A60" s="71">
        <v>52</v>
      </c>
      <c r="B60" s="72" t="s">
        <v>5654</v>
      </c>
      <c r="C60" s="56" t="s">
        <v>5655</v>
      </c>
      <c r="D60" s="57"/>
      <c r="E60" s="58">
        <v>1</v>
      </c>
      <c r="F60" s="58">
        <v>5</v>
      </c>
      <c r="G60" s="59">
        <v>34277</v>
      </c>
      <c r="H60" s="59">
        <v>34319</v>
      </c>
      <c r="I60" s="60">
        <v>1</v>
      </c>
      <c r="J60" s="58"/>
      <c r="K60" s="58" t="s">
        <v>5502</v>
      </c>
      <c r="L60" s="58"/>
      <c r="M60" s="58"/>
      <c r="N60" s="58"/>
      <c r="O60" s="58"/>
      <c r="P60" s="61">
        <f t="shared" si="0"/>
        <v>5</v>
      </c>
      <c r="Q60" s="62" t="s">
        <v>5656</v>
      </c>
      <c r="R60" s="73"/>
      <c r="S60" s="74"/>
    </row>
    <row r="61" spans="1:19" s="63" customFormat="1" ht="45" x14ac:dyDescent="0.25">
      <c r="A61" s="71">
        <v>53</v>
      </c>
      <c r="B61" s="72" t="s">
        <v>5657</v>
      </c>
      <c r="C61" s="56" t="s">
        <v>5658</v>
      </c>
      <c r="D61" s="57"/>
      <c r="E61" s="58">
        <v>1</v>
      </c>
      <c r="F61" s="58">
        <v>6</v>
      </c>
      <c r="G61" s="59">
        <v>36935</v>
      </c>
      <c r="H61" s="59">
        <v>36944</v>
      </c>
      <c r="I61" s="60">
        <v>1</v>
      </c>
      <c r="J61" s="58"/>
      <c r="K61" s="58" t="s">
        <v>5502</v>
      </c>
      <c r="L61" s="58"/>
      <c r="M61" s="58"/>
      <c r="N61" s="58"/>
      <c r="O61" s="58"/>
      <c r="P61" s="61">
        <f t="shared" si="0"/>
        <v>6</v>
      </c>
      <c r="Q61" s="62" t="s">
        <v>5659</v>
      </c>
      <c r="R61" s="73"/>
      <c r="S61" s="74"/>
    </row>
    <row r="62" spans="1:19" s="63" customFormat="1" ht="33.75" x14ac:dyDescent="0.25">
      <c r="A62" s="71">
        <v>54</v>
      </c>
      <c r="B62" s="72" t="s">
        <v>5660</v>
      </c>
      <c r="C62" s="56" t="s">
        <v>5661</v>
      </c>
      <c r="D62" s="57"/>
      <c r="E62" s="58">
        <v>1</v>
      </c>
      <c r="F62" s="58">
        <v>7</v>
      </c>
      <c r="G62" s="59">
        <v>35019</v>
      </c>
      <c r="H62" s="59">
        <v>35089</v>
      </c>
      <c r="I62" s="60">
        <v>1</v>
      </c>
      <c r="J62" s="58"/>
      <c r="K62" s="58" t="s">
        <v>5502</v>
      </c>
      <c r="L62" s="58"/>
      <c r="M62" s="58"/>
      <c r="N62" s="58"/>
      <c r="O62" s="58"/>
      <c r="P62" s="61">
        <f t="shared" si="0"/>
        <v>7</v>
      </c>
      <c r="Q62" s="62" t="s">
        <v>5662</v>
      </c>
      <c r="R62" s="73"/>
      <c r="S62" s="74"/>
    </row>
    <row r="63" spans="1:19" s="63" customFormat="1" ht="45" x14ac:dyDescent="0.25">
      <c r="A63" s="71">
        <v>55</v>
      </c>
      <c r="B63" s="72" t="s">
        <v>5663</v>
      </c>
      <c r="C63" s="56" t="s">
        <v>5664</v>
      </c>
      <c r="D63" s="57"/>
      <c r="E63" s="58">
        <v>1</v>
      </c>
      <c r="F63" s="58">
        <v>6</v>
      </c>
      <c r="G63" s="59">
        <v>34578</v>
      </c>
      <c r="H63" s="59">
        <v>35278</v>
      </c>
      <c r="I63" s="60">
        <v>1</v>
      </c>
      <c r="J63" s="58"/>
      <c r="K63" s="58" t="s">
        <v>5502</v>
      </c>
      <c r="L63" s="58"/>
      <c r="M63" s="58"/>
      <c r="N63" s="58"/>
      <c r="O63" s="58"/>
      <c r="P63" s="61">
        <f t="shared" si="0"/>
        <v>6</v>
      </c>
      <c r="Q63" s="62" t="s">
        <v>5665</v>
      </c>
      <c r="R63" s="73"/>
      <c r="S63" s="74"/>
    </row>
    <row r="64" spans="1:19" s="63" customFormat="1" ht="45" x14ac:dyDescent="0.25">
      <c r="A64" s="71">
        <v>56</v>
      </c>
      <c r="B64" s="72" t="s">
        <v>5666</v>
      </c>
      <c r="C64" s="56" t="s">
        <v>5667</v>
      </c>
      <c r="D64" s="57"/>
      <c r="E64" s="58">
        <v>1</v>
      </c>
      <c r="F64" s="58">
        <v>6</v>
      </c>
      <c r="G64" s="59">
        <v>33947</v>
      </c>
      <c r="H64" s="59">
        <v>34046</v>
      </c>
      <c r="I64" s="60">
        <v>1</v>
      </c>
      <c r="J64" s="58"/>
      <c r="K64" s="58" t="s">
        <v>5502</v>
      </c>
      <c r="L64" s="58"/>
      <c r="M64" s="58"/>
      <c r="N64" s="58"/>
      <c r="O64" s="58"/>
      <c r="P64" s="61">
        <f t="shared" si="0"/>
        <v>6</v>
      </c>
      <c r="Q64" s="62" t="s">
        <v>5668</v>
      </c>
      <c r="R64" s="73"/>
      <c r="S64" s="74"/>
    </row>
    <row r="65" spans="1:19" s="63" customFormat="1" ht="45" x14ac:dyDescent="0.25">
      <c r="A65" s="71">
        <v>57</v>
      </c>
      <c r="B65" s="72" t="s">
        <v>5669</v>
      </c>
      <c r="C65" s="56" t="s">
        <v>5670</v>
      </c>
      <c r="D65" s="57"/>
      <c r="E65" s="58">
        <v>1</v>
      </c>
      <c r="F65" s="58">
        <v>4</v>
      </c>
      <c r="G65" s="59">
        <v>33947</v>
      </c>
      <c r="H65" s="59">
        <v>34046</v>
      </c>
      <c r="I65" s="60">
        <v>1</v>
      </c>
      <c r="J65" s="58"/>
      <c r="K65" s="58" t="s">
        <v>5502</v>
      </c>
      <c r="L65" s="58"/>
      <c r="M65" s="58"/>
      <c r="N65" s="58"/>
      <c r="O65" s="58"/>
      <c r="P65" s="61">
        <f t="shared" si="0"/>
        <v>4</v>
      </c>
      <c r="Q65" s="62" t="s">
        <v>5671</v>
      </c>
      <c r="R65" s="73"/>
      <c r="S65" s="74"/>
    </row>
    <row r="66" spans="1:19" s="63" customFormat="1" ht="56.25" x14ac:dyDescent="0.25">
      <c r="A66" s="71">
        <v>58</v>
      </c>
      <c r="B66" s="72" t="s">
        <v>5672</v>
      </c>
      <c r="C66" s="56" t="s">
        <v>5673</v>
      </c>
      <c r="D66" s="57"/>
      <c r="E66" s="58">
        <v>1</v>
      </c>
      <c r="F66" s="58">
        <v>6</v>
      </c>
      <c r="G66" s="59">
        <v>36753</v>
      </c>
      <c r="H66" s="59">
        <v>36755</v>
      </c>
      <c r="I66" s="60">
        <v>1</v>
      </c>
      <c r="J66" s="58"/>
      <c r="K66" s="58" t="s">
        <v>5502</v>
      </c>
      <c r="L66" s="58"/>
      <c r="M66" s="58"/>
      <c r="N66" s="58"/>
      <c r="O66" s="58"/>
      <c r="P66" s="61">
        <f t="shared" si="0"/>
        <v>6</v>
      </c>
      <c r="Q66" s="62" t="s">
        <v>5674</v>
      </c>
      <c r="R66" s="73"/>
      <c r="S66" s="74"/>
    </row>
    <row r="67" spans="1:19" s="63" customFormat="1" ht="45" x14ac:dyDescent="0.25">
      <c r="A67" s="71">
        <v>59</v>
      </c>
      <c r="B67" s="72" t="s">
        <v>5675</v>
      </c>
      <c r="C67" s="56" t="s">
        <v>5676</v>
      </c>
      <c r="D67" s="57"/>
      <c r="E67" s="58">
        <v>1</v>
      </c>
      <c r="F67" s="58">
        <v>5</v>
      </c>
      <c r="G67" s="59">
        <v>34486</v>
      </c>
      <c r="H67" s="59">
        <v>34536</v>
      </c>
      <c r="I67" s="60">
        <v>1</v>
      </c>
      <c r="J67" s="58"/>
      <c r="K67" s="58" t="s">
        <v>5502</v>
      </c>
      <c r="L67" s="58"/>
      <c r="M67" s="58"/>
      <c r="N67" s="58"/>
      <c r="O67" s="58"/>
      <c r="P67" s="61">
        <f t="shared" si="0"/>
        <v>5</v>
      </c>
      <c r="Q67" s="62" t="s">
        <v>5677</v>
      </c>
      <c r="R67" s="73"/>
      <c r="S67" s="74"/>
    </row>
    <row r="68" spans="1:19" s="63" customFormat="1" ht="45" x14ac:dyDescent="0.25">
      <c r="A68" s="71">
        <v>60</v>
      </c>
      <c r="B68" s="72" t="s">
        <v>5678</v>
      </c>
      <c r="C68" s="56" t="s">
        <v>5679</v>
      </c>
      <c r="D68" s="57"/>
      <c r="E68" s="58">
        <v>1</v>
      </c>
      <c r="F68" s="58">
        <v>6</v>
      </c>
      <c r="G68" s="59">
        <v>35674</v>
      </c>
      <c r="H68" s="59">
        <v>35688</v>
      </c>
      <c r="I68" s="60">
        <v>1</v>
      </c>
      <c r="J68" s="58"/>
      <c r="K68" s="58" t="s">
        <v>5502</v>
      </c>
      <c r="L68" s="58"/>
      <c r="M68" s="58"/>
      <c r="N68" s="58"/>
      <c r="O68" s="58"/>
      <c r="P68" s="61">
        <f t="shared" si="0"/>
        <v>6</v>
      </c>
      <c r="Q68" s="62" t="s">
        <v>5680</v>
      </c>
      <c r="R68" s="73"/>
      <c r="S68" s="74"/>
    </row>
    <row r="69" spans="1:19" s="63" customFormat="1" ht="56.25" x14ac:dyDescent="0.25">
      <c r="A69" s="71">
        <v>61</v>
      </c>
      <c r="B69" s="72" t="s">
        <v>5681</v>
      </c>
      <c r="C69" s="56" t="s">
        <v>5682</v>
      </c>
      <c r="D69" s="57"/>
      <c r="E69" s="58">
        <v>1</v>
      </c>
      <c r="F69" s="58">
        <v>7</v>
      </c>
      <c r="G69" s="59">
        <v>36640</v>
      </c>
      <c r="H69" s="59">
        <v>36643</v>
      </c>
      <c r="I69" s="60">
        <v>1</v>
      </c>
      <c r="J69" s="58"/>
      <c r="K69" s="58" t="s">
        <v>5502</v>
      </c>
      <c r="L69" s="58"/>
      <c r="M69" s="58"/>
      <c r="N69" s="58"/>
      <c r="O69" s="58"/>
      <c r="P69" s="61">
        <f t="shared" si="0"/>
        <v>7</v>
      </c>
      <c r="Q69" s="62" t="s">
        <v>5683</v>
      </c>
      <c r="R69" s="73"/>
      <c r="S69" s="74"/>
    </row>
    <row r="70" spans="1:19" s="63" customFormat="1" ht="45" x14ac:dyDescent="0.25">
      <c r="A70" s="71">
        <v>62</v>
      </c>
      <c r="B70" s="72" t="s">
        <v>5684</v>
      </c>
      <c r="C70" s="56" t="s">
        <v>5685</v>
      </c>
      <c r="D70" s="57"/>
      <c r="E70" s="58">
        <v>1</v>
      </c>
      <c r="F70" s="58">
        <v>6</v>
      </c>
      <c r="G70" s="59">
        <v>34793</v>
      </c>
      <c r="H70" s="59">
        <v>34837</v>
      </c>
      <c r="I70" s="60">
        <v>1</v>
      </c>
      <c r="J70" s="58"/>
      <c r="K70" s="58" t="s">
        <v>5502</v>
      </c>
      <c r="L70" s="58"/>
      <c r="M70" s="58"/>
      <c r="N70" s="58"/>
      <c r="O70" s="58"/>
      <c r="P70" s="61">
        <f t="shared" si="0"/>
        <v>6</v>
      </c>
      <c r="Q70" s="62" t="s">
        <v>5686</v>
      </c>
      <c r="R70" s="73"/>
      <c r="S70" s="74"/>
    </row>
    <row r="71" spans="1:19" s="63" customFormat="1" ht="45" x14ac:dyDescent="0.25">
      <c r="A71" s="71">
        <v>63</v>
      </c>
      <c r="B71" s="72" t="s">
        <v>5687</v>
      </c>
      <c r="C71" s="56" t="s">
        <v>5688</v>
      </c>
      <c r="D71" s="57"/>
      <c r="E71" s="58">
        <v>1</v>
      </c>
      <c r="F71" s="58">
        <v>5</v>
      </c>
      <c r="G71" s="59">
        <v>34115</v>
      </c>
      <c r="H71" s="59">
        <v>34200</v>
      </c>
      <c r="I71" s="60">
        <v>1</v>
      </c>
      <c r="J71" s="58"/>
      <c r="K71" s="58" t="s">
        <v>5502</v>
      </c>
      <c r="L71" s="58"/>
      <c r="M71" s="58"/>
      <c r="N71" s="58"/>
      <c r="O71" s="58"/>
      <c r="P71" s="61">
        <f t="shared" si="0"/>
        <v>5</v>
      </c>
      <c r="Q71" s="62" t="s">
        <v>5689</v>
      </c>
      <c r="R71" s="73"/>
      <c r="S71" s="74"/>
    </row>
    <row r="72" spans="1:19" s="63" customFormat="1" ht="45" x14ac:dyDescent="0.25">
      <c r="A72" s="71">
        <v>64</v>
      </c>
      <c r="B72" s="72" t="s">
        <v>5690</v>
      </c>
      <c r="C72" s="56" t="s">
        <v>5691</v>
      </c>
      <c r="D72" s="57"/>
      <c r="E72" s="58">
        <v>1</v>
      </c>
      <c r="F72" s="58">
        <v>7</v>
      </c>
      <c r="G72" s="59">
        <v>35487</v>
      </c>
      <c r="H72" s="59">
        <v>35508</v>
      </c>
      <c r="I72" s="60">
        <v>1</v>
      </c>
      <c r="J72" s="58"/>
      <c r="K72" s="58" t="s">
        <v>5502</v>
      </c>
      <c r="L72" s="58"/>
      <c r="M72" s="58"/>
      <c r="N72" s="58"/>
      <c r="O72" s="58"/>
      <c r="P72" s="61">
        <f t="shared" si="0"/>
        <v>7</v>
      </c>
      <c r="Q72" s="62" t="s">
        <v>5692</v>
      </c>
      <c r="R72" s="73"/>
      <c r="S72" s="74"/>
    </row>
    <row r="73" spans="1:19" s="63" customFormat="1" ht="45" x14ac:dyDescent="0.25">
      <c r="A73" s="71">
        <v>65</v>
      </c>
      <c r="B73" s="72" t="s">
        <v>5693</v>
      </c>
      <c r="C73" s="56" t="s">
        <v>5694</v>
      </c>
      <c r="D73" s="57"/>
      <c r="E73" s="58">
        <v>1</v>
      </c>
      <c r="F73" s="58">
        <v>6</v>
      </c>
      <c r="G73" s="59">
        <v>36661</v>
      </c>
      <c r="H73" s="59">
        <v>36664</v>
      </c>
      <c r="I73" s="60">
        <v>1</v>
      </c>
      <c r="J73" s="58"/>
      <c r="K73" s="58" t="s">
        <v>5502</v>
      </c>
      <c r="L73" s="58"/>
      <c r="M73" s="58"/>
      <c r="N73" s="58"/>
      <c r="O73" s="58"/>
      <c r="P73" s="61">
        <f t="shared" ref="P73:P136" si="1">IF(F73="","",IF(ISERR(F73-E73)=TRUE,"",F73-E73+1))</f>
        <v>6</v>
      </c>
      <c r="Q73" s="62" t="s">
        <v>5695</v>
      </c>
      <c r="R73" s="73"/>
      <c r="S73" s="74"/>
    </row>
    <row r="74" spans="1:19" s="63" customFormat="1" ht="56.25" x14ac:dyDescent="0.25">
      <c r="A74" s="71">
        <v>66</v>
      </c>
      <c r="B74" s="72" t="s">
        <v>5696</v>
      </c>
      <c r="C74" s="56" t="s">
        <v>5697</v>
      </c>
      <c r="D74" s="57"/>
      <c r="E74" s="58">
        <v>1</v>
      </c>
      <c r="F74" s="58">
        <v>6</v>
      </c>
      <c r="G74" s="59">
        <v>34277</v>
      </c>
      <c r="H74" s="59">
        <v>34319</v>
      </c>
      <c r="I74" s="60">
        <v>1</v>
      </c>
      <c r="J74" s="58"/>
      <c r="K74" s="58" t="s">
        <v>5502</v>
      </c>
      <c r="L74" s="58"/>
      <c r="M74" s="58"/>
      <c r="N74" s="58"/>
      <c r="O74" s="58"/>
      <c r="P74" s="61">
        <f t="shared" si="1"/>
        <v>6</v>
      </c>
      <c r="Q74" s="62" t="s">
        <v>5698</v>
      </c>
      <c r="R74" s="73"/>
      <c r="S74" s="74"/>
    </row>
    <row r="75" spans="1:19" s="63" customFormat="1" ht="45" x14ac:dyDescent="0.25">
      <c r="A75" s="71">
        <v>67</v>
      </c>
      <c r="B75" s="72" t="s">
        <v>5699</v>
      </c>
      <c r="C75" s="56" t="s">
        <v>5700</v>
      </c>
      <c r="D75" s="57"/>
      <c r="E75" s="58">
        <v>1</v>
      </c>
      <c r="F75" s="58">
        <v>5</v>
      </c>
      <c r="G75" s="59">
        <v>34218</v>
      </c>
      <c r="H75" s="59">
        <v>34319</v>
      </c>
      <c r="I75" s="60">
        <v>1</v>
      </c>
      <c r="J75" s="58"/>
      <c r="K75" s="58" t="s">
        <v>5502</v>
      </c>
      <c r="L75" s="58"/>
      <c r="M75" s="58"/>
      <c r="N75" s="58"/>
      <c r="O75" s="58"/>
      <c r="P75" s="61">
        <f t="shared" si="1"/>
        <v>5</v>
      </c>
      <c r="Q75" s="62" t="s">
        <v>5701</v>
      </c>
      <c r="R75" s="73"/>
      <c r="S75" s="74"/>
    </row>
    <row r="76" spans="1:19" s="63" customFormat="1" ht="45" x14ac:dyDescent="0.25">
      <c r="A76" s="71">
        <v>68</v>
      </c>
      <c r="B76" s="72" t="s">
        <v>5702</v>
      </c>
      <c r="C76" s="56" t="s">
        <v>5703</v>
      </c>
      <c r="D76" s="57"/>
      <c r="E76" s="58">
        <v>1</v>
      </c>
      <c r="F76" s="58">
        <v>5</v>
      </c>
      <c r="G76" s="59">
        <v>34218</v>
      </c>
      <c r="H76" s="59">
        <v>34319</v>
      </c>
      <c r="I76" s="60">
        <v>1</v>
      </c>
      <c r="J76" s="58"/>
      <c r="K76" s="58" t="s">
        <v>5502</v>
      </c>
      <c r="L76" s="58"/>
      <c r="M76" s="58"/>
      <c r="N76" s="58"/>
      <c r="O76" s="58"/>
      <c r="P76" s="61">
        <f t="shared" si="1"/>
        <v>5</v>
      </c>
      <c r="Q76" s="62" t="s">
        <v>5704</v>
      </c>
      <c r="R76" s="73"/>
      <c r="S76" s="74"/>
    </row>
    <row r="77" spans="1:19" s="63" customFormat="1" ht="33.75" x14ac:dyDescent="0.25">
      <c r="A77" s="71">
        <v>69</v>
      </c>
      <c r="B77" s="72" t="s">
        <v>5705</v>
      </c>
      <c r="C77" s="56" t="s">
        <v>5706</v>
      </c>
      <c r="D77" s="57"/>
      <c r="E77" s="58">
        <v>1</v>
      </c>
      <c r="F77" s="58">
        <v>5</v>
      </c>
      <c r="G77" s="59">
        <v>34435</v>
      </c>
      <c r="H77" s="59">
        <v>34473</v>
      </c>
      <c r="I77" s="60">
        <v>1</v>
      </c>
      <c r="J77" s="58"/>
      <c r="K77" s="58" t="s">
        <v>5502</v>
      </c>
      <c r="L77" s="58"/>
      <c r="M77" s="58"/>
      <c r="N77" s="58"/>
      <c r="O77" s="58"/>
      <c r="P77" s="61">
        <f t="shared" si="1"/>
        <v>5</v>
      </c>
      <c r="Q77" s="62" t="s">
        <v>5707</v>
      </c>
      <c r="R77" s="73"/>
      <c r="S77" s="74"/>
    </row>
    <row r="78" spans="1:19" s="63" customFormat="1" ht="45" x14ac:dyDescent="0.25">
      <c r="A78" s="71">
        <v>70</v>
      </c>
      <c r="B78" s="72" t="s">
        <v>5708</v>
      </c>
      <c r="C78" s="56" t="s">
        <v>5709</v>
      </c>
      <c r="D78" s="57"/>
      <c r="E78" s="58">
        <v>1</v>
      </c>
      <c r="F78" s="58">
        <v>7</v>
      </c>
      <c r="G78" s="59">
        <v>34318</v>
      </c>
      <c r="H78" s="59">
        <v>34410</v>
      </c>
      <c r="I78" s="60">
        <v>1</v>
      </c>
      <c r="J78" s="58"/>
      <c r="K78" s="58" t="s">
        <v>5502</v>
      </c>
      <c r="L78" s="58"/>
      <c r="M78" s="58"/>
      <c r="N78" s="58"/>
      <c r="O78" s="58"/>
      <c r="P78" s="61">
        <f t="shared" si="1"/>
        <v>7</v>
      </c>
      <c r="Q78" s="62" t="s">
        <v>5710</v>
      </c>
      <c r="R78" s="73"/>
      <c r="S78" s="74"/>
    </row>
    <row r="79" spans="1:19" s="63" customFormat="1" ht="45" x14ac:dyDescent="0.25">
      <c r="A79" s="71">
        <v>71</v>
      </c>
      <c r="B79" s="72" t="s">
        <v>5711</v>
      </c>
      <c r="C79" s="56" t="s">
        <v>5712</v>
      </c>
      <c r="D79" s="57"/>
      <c r="E79" s="58">
        <v>1</v>
      </c>
      <c r="F79" s="58">
        <v>5</v>
      </c>
      <c r="G79" s="59">
        <v>34218</v>
      </c>
      <c r="H79" s="59">
        <v>34319</v>
      </c>
      <c r="I79" s="60">
        <v>1</v>
      </c>
      <c r="J79" s="58"/>
      <c r="K79" s="58" t="s">
        <v>5502</v>
      </c>
      <c r="L79" s="58"/>
      <c r="M79" s="58"/>
      <c r="N79" s="58"/>
      <c r="O79" s="58"/>
      <c r="P79" s="61">
        <f t="shared" si="1"/>
        <v>5</v>
      </c>
      <c r="Q79" s="62" t="s">
        <v>5713</v>
      </c>
      <c r="R79" s="73"/>
      <c r="S79" s="74"/>
    </row>
    <row r="80" spans="1:19" s="63" customFormat="1" ht="45" x14ac:dyDescent="0.25">
      <c r="A80" s="71">
        <v>72</v>
      </c>
      <c r="B80" s="72" t="s">
        <v>5714</v>
      </c>
      <c r="C80" s="56" t="s">
        <v>5715</v>
      </c>
      <c r="D80" s="57"/>
      <c r="E80" s="58">
        <v>1</v>
      </c>
      <c r="F80" s="58">
        <v>5</v>
      </c>
      <c r="G80" s="59">
        <v>36983</v>
      </c>
      <c r="H80" s="59">
        <v>37007</v>
      </c>
      <c r="I80" s="60">
        <v>1</v>
      </c>
      <c r="J80" s="58"/>
      <c r="K80" s="58" t="s">
        <v>5502</v>
      </c>
      <c r="L80" s="58"/>
      <c r="M80" s="58"/>
      <c r="N80" s="58"/>
      <c r="O80" s="58"/>
      <c r="P80" s="61">
        <f t="shared" si="1"/>
        <v>5</v>
      </c>
      <c r="Q80" s="62" t="s">
        <v>5716</v>
      </c>
      <c r="R80" s="73"/>
      <c r="S80" s="74"/>
    </row>
    <row r="81" spans="1:19" s="63" customFormat="1" ht="45" x14ac:dyDescent="0.25">
      <c r="A81" s="71">
        <v>73</v>
      </c>
      <c r="B81" s="72" t="s">
        <v>5717</v>
      </c>
      <c r="C81" s="56" t="s">
        <v>5718</v>
      </c>
      <c r="D81" s="57"/>
      <c r="E81" s="58">
        <v>1</v>
      </c>
      <c r="F81" s="58">
        <v>6</v>
      </c>
      <c r="G81" s="59">
        <v>36983</v>
      </c>
      <c r="H81" s="59">
        <v>37007</v>
      </c>
      <c r="I81" s="60">
        <v>1</v>
      </c>
      <c r="J81" s="58"/>
      <c r="K81" s="58" t="s">
        <v>5502</v>
      </c>
      <c r="L81" s="58"/>
      <c r="M81" s="58"/>
      <c r="N81" s="58"/>
      <c r="O81" s="58"/>
      <c r="P81" s="61">
        <f t="shared" si="1"/>
        <v>6</v>
      </c>
      <c r="Q81" s="62" t="s">
        <v>5719</v>
      </c>
      <c r="R81" s="73"/>
      <c r="S81" s="74"/>
    </row>
    <row r="82" spans="1:19" s="63" customFormat="1" ht="56.25" x14ac:dyDescent="0.25">
      <c r="A82" s="71">
        <v>74</v>
      </c>
      <c r="B82" s="72" t="s">
        <v>5720</v>
      </c>
      <c r="C82" s="56" t="s">
        <v>5721</v>
      </c>
      <c r="D82" s="57"/>
      <c r="E82" s="58">
        <v>1</v>
      </c>
      <c r="F82" s="58">
        <v>7</v>
      </c>
      <c r="G82" s="59">
        <v>36983</v>
      </c>
      <c r="H82" s="59">
        <v>37007</v>
      </c>
      <c r="I82" s="60">
        <v>1</v>
      </c>
      <c r="J82" s="58"/>
      <c r="K82" s="58" t="s">
        <v>5502</v>
      </c>
      <c r="L82" s="58"/>
      <c r="M82" s="58"/>
      <c r="N82" s="58"/>
      <c r="O82" s="58"/>
      <c r="P82" s="61">
        <f t="shared" si="1"/>
        <v>7</v>
      </c>
      <c r="Q82" s="62" t="s">
        <v>5722</v>
      </c>
      <c r="R82" s="73"/>
      <c r="S82" s="74"/>
    </row>
    <row r="83" spans="1:19" s="63" customFormat="1" ht="45" x14ac:dyDescent="0.25">
      <c r="A83" s="71">
        <v>75</v>
      </c>
      <c r="B83" s="72" t="s">
        <v>5723</v>
      </c>
      <c r="C83" s="56" t="s">
        <v>5724</v>
      </c>
      <c r="D83" s="57"/>
      <c r="E83" s="58">
        <v>1</v>
      </c>
      <c r="F83" s="58">
        <v>4</v>
      </c>
      <c r="G83" s="59">
        <v>36983</v>
      </c>
      <c r="H83" s="59">
        <v>37007</v>
      </c>
      <c r="I83" s="60">
        <v>1</v>
      </c>
      <c r="J83" s="58"/>
      <c r="K83" s="58" t="s">
        <v>5502</v>
      </c>
      <c r="L83" s="58"/>
      <c r="M83" s="58"/>
      <c r="N83" s="58"/>
      <c r="O83" s="58"/>
      <c r="P83" s="61">
        <f t="shared" si="1"/>
        <v>4</v>
      </c>
      <c r="Q83" s="62" t="s">
        <v>5725</v>
      </c>
      <c r="R83" s="73"/>
      <c r="S83" s="74"/>
    </row>
    <row r="84" spans="1:19" s="63" customFormat="1" ht="56.25" x14ac:dyDescent="0.25">
      <c r="A84" s="71">
        <v>76</v>
      </c>
      <c r="B84" s="72" t="s">
        <v>5726</v>
      </c>
      <c r="C84" s="56" t="s">
        <v>5727</v>
      </c>
      <c r="D84" s="57"/>
      <c r="E84" s="58">
        <v>1</v>
      </c>
      <c r="F84" s="58">
        <v>5</v>
      </c>
      <c r="G84" s="59">
        <v>36983</v>
      </c>
      <c r="H84" s="59">
        <v>37007</v>
      </c>
      <c r="I84" s="60">
        <v>1</v>
      </c>
      <c r="J84" s="58"/>
      <c r="K84" s="58" t="s">
        <v>5502</v>
      </c>
      <c r="L84" s="58"/>
      <c r="M84" s="58"/>
      <c r="N84" s="58"/>
      <c r="O84" s="58"/>
      <c r="P84" s="61">
        <f t="shared" si="1"/>
        <v>5</v>
      </c>
      <c r="Q84" s="62" t="s">
        <v>5728</v>
      </c>
      <c r="R84" s="73"/>
      <c r="S84" s="74"/>
    </row>
    <row r="85" spans="1:19" s="63" customFormat="1" ht="45" x14ac:dyDescent="0.25">
      <c r="A85" s="71">
        <v>77</v>
      </c>
      <c r="B85" s="72" t="s">
        <v>5729</v>
      </c>
      <c r="C85" s="56" t="s">
        <v>5730</v>
      </c>
      <c r="D85" s="57"/>
      <c r="E85" s="58">
        <v>1</v>
      </c>
      <c r="F85" s="58">
        <v>6</v>
      </c>
      <c r="G85" s="59">
        <v>36983</v>
      </c>
      <c r="H85" s="59">
        <v>37007</v>
      </c>
      <c r="I85" s="60">
        <v>1</v>
      </c>
      <c r="J85" s="58"/>
      <c r="K85" s="58" t="s">
        <v>5502</v>
      </c>
      <c r="L85" s="58"/>
      <c r="M85" s="58"/>
      <c r="N85" s="58"/>
      <c r="O85" s="58"/>
      <c r="P85" s="61">
        <f t="shared" si="1"/>
        <v>6</v>
      </c>
      <c r="Q85" s="62" t="s">
        <v>5731</v>
      </c>
      <c r="R85" s="73"/>
      <c r="S85" s="74"/>
    </row>
    <row r="86" spans="1:19" s="63" customFormat="1" ht="56.25" x14ac:dyDescent="0.25">
      <c r="A86" s="71">
        <v>78</v>
      </c>
      <c r="B86" s="72" t="s">
        <v>5732</v>
      </c>
      <c r="C86" s="56" t="s">
        <v>5733</v>
      </c>
      <c r="D86" s="57"/>
      <c r="E86" s="58">
        <v>1</v>
      </c>
      <c r="F86" s="58">
        <v>5</v>
      </c>
      <c r="G86" s="59">
        <v>36983</v>
      </c>
      <c r="H86" s="59">
        <v>37007</v>
      </c>
      <c r="I86" s="60">
        <v>1</v>
      </c>
      <c r="J86" s="58"/>
      <c r="K86" s="58" t="s">
        <v>5502</v>
      </c>
      <c r="L86" s="58"/>
      <c r="M86" s="58"/>
      <c r="N86" s="58"/>
      <c r="O86" s="58"/>
      <c r="P86" s="61">
        <f t="shared" si="1"/>
        <v>5</v>
      </c>
      <c r="Q86" s="62" t="s">
        <v>5734</v>
      </c>
      <c r="R86" s="73"/>
      <c r="S86" s="74"/>
    </row>
    <row r="87" spans="1:19" s="63" customFormat="1" ht="56.25" x14ac:dyDescent="0.25">
      <c r="A87" s="71">
        <v>79</v>
      </c>
      <c r="B87" s="72" t="s">
        <v>5735</v>
      </c>
      <c r="C87" s="56" t="s">
        <v>5736</v>
      </c>
      <c r="D87" s="57"/>
      <c r="E87" s="58">
        <v>1</v>
      </c>
      <c r="F87" s="58">
        <v>6</v>
      </c>
      <c r="G87" s="59">
        <v>37054</v>
      </c>
      <c r="H87" s="59">
        <v>37063</v>
      </c>
      <c r="I87" s="60">
        <v>1</v>
      </c>
      <c r="J87" s="58"/>
      <c r="K87" s="58" t="s">
        <v>5502</v>
      </c>
      <c r="L87" s="58"/>
      <c r="M87" s="58"/>
      <c r="N87" s="58"/>
      <c r="O87" s="58"/>
      <c r="P87" s="61">
        <f t="shared" si="1"/>
        <v>6</v>
      </c>
      <c r="Q87" s="62" t="s">
        <v>5737</v>
      </c>
      <c r="R87" s="73"/>
      <c r="S87" s="74"/>
    </row>
    <row r="88" spans="1:19" s="63" customFormat="1" ht="56.25" x14ac:dyDescent="0.25">
      <c r="A88" s="71">
        <v>80</v>
      </c>
      <c r="B88" s="72" t="s">
        <v>5738</v>
      </c>
      <c r="C88" s="56" t="s">
        <v>5739</v>
      </c>
      <c r="D88" s="57"/>
      <c r="E88" s="58">
        <v>1</v>
      </c>
      <c r="F88" s="58">
        <v>6</v>
      </c>
      <c r="G88" s="59">
        <v>37054</v>
      </c>
      <c r="H88" s="59">
        <v>37063</v>
      </c>
      <c r="I88" s="60">
        <v>1</v>
      </c>
      <c r="J88" s="58"/>
      <c r="K88" s="58" t="s">
        <v>5502</v>
      </c>
      <c r="L88" s="58"/>
      <c r="M88" s="58"/>
      <c r="N88" s="58"/>
      <c r="O88" s="58"/>
      <c r="P88" s="61">
        <f t="shared" si="1"/>
        <v>6</v>
      </c>
      <c r="Q88" s="62" t="s">
        <v>5740</v>
      </c>
      <c r="R88" s="73"/>
      <c r="S88" s="74"/>
    </row>
    <row r="89" spans="1:19" s="63" customFormat="1" ht="45" x14ac:dyDescent="0.25">
      <c r="A89" s="71">
        <v>81</v>
      </c>
      <c r="B89" s="72" t="s">
        <v>5741</v>
      </c>
      <c r="C89" s="56" t="s">
        <v>5742</v>
      </c>
      <c r="D89" s="57"/>
      <c r="E89" s="58">
        <v>1</v>
      </c>
      <c r="F89" s="58">
        <v>6</v>
      </c>
      <c r="G89" s="59">
        <v>37054</v>
      </c>
      <c r="H89" s="59">
        <v>37063</v>
      </c>
      <c r="I89" s="60">
        <v>1</v>
      </c>
      <c r="J89" s="58"/>
      <c r="K89" s="58" t="s">
        <v>5502</v>
      </c>
      <c r="L89" s="58"/>
      <c r="M89" s="58"/>
      <c r="N89" s="58"/>
      <c r="O89" s="58"/>
      <c r="P89" s="61">
        <f t="shared" si="1"/>
        <v>6</v>
      </c>
      <c r="Q89" s="62" t="s">
        <v>5743</v>
      </c>
      <c r="R89" s="73"/>
      <c r="S89" s="74"/>
    </row>
    <row r="90" spans="1:19" s="63" customFormat="1" ht="45" x14ac:dyDescent="0.25">
      <c r="A90" s="71">
        <v>82</v>
      </c>
      <c r="B90" s="72" t="s">
        <v>5744</v>
      </c>
      <c r="C90" s="56" t="s">
        <v>5745</v>
      </c>
      <c r="D90" s="57"/>
      <c r="E90" s="58">
        <v>1</v>
      </c>
      <c r="F90" s="58">
        <v>6</v>
      </c>
      <c r="G90" s="59">
        <v>37054</v>
      </c>
      <c r="H90" s="59">
        <v>37063</v>
      </c>
      <c r="I90" s="60">
        <v>1</v>
      </c>
      <c r="J90" s="58"/>
      <c r="K90" s="58" t="s">
        <v>5502</v>
      </c>
      <c r="L90" s="58"/>
      <c r="M90" s="58"/>
      <c r="N90" s="58"/>
      <c r="O90" s="58"/>
      <c r="P90" s="61">
        <f t="shared" si="1"/>
        <v>6</v>
      </c>
      <c r="Q90" s="62" t="s">
        <v>5746</v>
      </c>
      <c r="R90" s="73"/>
      <c r="S90" s="74"/>
    </row>
    <row r="91" spans="1:19" s="63" customFormat="1" ht="45" x14ac:dyDescent="0.25">
      <c r="A91" s="71">
        <v>83</v>
      </c>
      <c r="B91" s="72" t="s">
        <v>5747</v>
      </c>
      <c r="C91" s="56" t="s">
        <v>5748</v>
      </c>
      <c r="D91" s="57"/>
      <c r="E91" s="58">
        <v>1</v>
      </c>
      <c r="F91" s="58">
        <v>4</v>
      </c>
      <c r="G91" s="59">
        <v>37082</v>
      </c>
      <c r="H91" s="59">
        <v>37091</v>
      </c>
      <c r="I91" s="60">
        <v>1</v>
      </c>
      <c r="J91" s="58"/>
      <c r="K91" s="58" t="s">
        <v>5502</v>
      </c>
      <c r="L91" s="58"/>
      <c r="M91" s="58"/>
      <c r="N91" s="58"/>
      <c r="O91" s="58"/>
      <c r="P91" s="61">
        <f t="shared" si="1"/>
        <v>4</v>
      </c>
      <c r="Q91" s="62" t="s">
        <v>5749</v>
      </c>
      <c r="R91" s="73"/>
      <c r="S91" s="74"/>
    </row>
    <row r="92" spans="1:19" s="63" customFormat="1" ht="45" x14ac:dyDescent="0.25">
      <c r="A92" s="71">
        <v>84</v>
      </c>
      <c r="B92" s="72" t="s">
        <v>5750</v>
      </c>
      <c r="C92" s="56" t="s">
        <v>5751</v>
      </c>
      <c r="D92" s="57"/>
      <c r="E92" s="58">
        <v>1</v>
      </c>
      <c r="F92" s="58">
        <v>6</v>
      </c>
      <c r="G92" s="59">
        <v>37082</v>
      </c>
      <c r="H92" s="59">
        <v>37091</v>
      </c>
      <c r="I92" s="60">
        <v>1</v>
      </c>
      <c r="J92" s="58"/>
      <c r="K92" s="58" t="s">
        <v>5502</v>
      </c>
      <c r="L92" s="58"/>
      <c r="M92" s="58"/>
      <c r="N92" s="58"/>
      <c r="O92" s="58"/>
      <c r="P92" s="61">
        <f t="shared" si="1"/>
        <v>6</v>
      </c>
      <c r="Q92" s="62" t="s">
        <v>5752</v>
      </c>
      <c r="R92" s="73"/>
      <c r="S92" s="74"/>
    </row>
    <row r="93" spans="1:19" s="63" customFormat="1" ht="45" x14ac:dyDescent="0.25">
      <c r="A93" s="71">
        <v>85</v>
      </c>
      <c r="B93" s="72" t="s">
        <v>5753</v>
      </c>
      <c r="C93" s="56" t="s">
        <v>5754</v>
      </c>
      <c r="D93" s="57"/>
      <c r="E93" s="58">
        <v>1</v>
      </c>
      <c r="F93" s="58">
        <v>6</v>
      </c>
      <c r="G93" s="59">
        <v>37082</v>
      </c>
      <c r="H93" s="59">
        <v>37091</v>
      </c>
      <c r="I93" s="60">
        <v>1</v>
      </c>
      <c r="J93" s="58"/>
      <c r="K93" s="58" t="s">
        <v>5502</v>
      </c>
      <c r="L93" s="58"/>
      <c r="M93" s="58"/>
      <c r="N93" s="58"/>
      <c r="O93" s="58"/>
      <c r="P93" s="61">
        <f t="shared" si="1"/>
        <v>6</v>
      </c>
      <c r="Q93" s="62" t="s">
        <v>5755</v>
      </c>
      <c r="R93" s="73"/>
      <c r="S93" s="74"/>
    </row>
    <row r="94" spans="1:19" s="63" customFormat="1" ht="33.75" x14ac:dyDescent="0.25">
      <c r="A94" s="71">
        <v>86</v>
      </c>
      <c r="B94" s="72" t="s">
        <v>5756</v>
      </c>
      <c r="C94" s="56" t="s">
        <v>5757</v>
      </c>
      <c r="D94" s="57"/>
      <c r="E94" s="58">
        <v>1</v>
      </c>
      <c r="F94" s="58">
        <v>6</v>
      </c>
      <c r="G94" s="59">
        <v>37082</v>
      </c>
      <c r="H94" s="59">
        <v>37091</v>
      </c>
      <c r="I94" s="60">
        <v>1</v>
      </c>
      <c r="J94" s="58"/>
      <c r="K94" s="58" t="s">
        <v>5502</v>
      </c>
      <c r="L94" s="58"/>
      <c r="M94" s="58"/>
      <c r="N94" s="58"/>
      <c r="O94" s="58"/>
      <c r="P94" s="61">
        <f t="shared" si="1"/>
        <v>6</v>
      </c>
      <c r="Q94" s="62" t="s">
        <v>5758</v>
      </c>
      <c r="R94" s="73"/>
      <c r="S94" s="74"/>
    </row>
    <row r="95" spans="1:19" s="63" customFormat="1" ht="45" x14ac:dyDescent="0.25">
      <c r="A95" s="71">
        <v>87</v>
      </c>
      <c r="B95" s="72" t="s">
        <v>5759</v>
      </c>
      <c r="C95" s="56" t="s">
        <v>5760</v>
      </c>
      <c r="D95" s="57"/>
      <c r="E95" s="58">
        <v>1</v>
      </c>
      <c r="F95" s="58">
        <v>6</v>
      </c>
      <c r="G95" s="59">
        <v>37082</v>
      </c>
      <c r="H95" s="59">
        <v>37091</v>
      </c>
      <c r="I95" s="60">
        <v>1</v>
      </c>
      <c r="J95" s="58"/>
      <c r="K95" s="58" t="s">
        <v>5502</v>
      </c>
      <c r="L95" s="58"/>
      <c r="M95" s="58"/>
      <c r="N95" s="58"/>
      <c r="O95" s="58"/>
      <c r="P95" s="61">
        <f t="shared" si="1"/>
        <v>6</v>
      </c>
      <c r="Q95" s="62" t="s">
        <v>5761</v>
      </c>
      <c r="R95" s="73"/>
      <c r="S95" s="74"/>
    </row>
    <row r="96" spans="1:19" s="63" customFormat="1" ht="56.25" x14ac:dyDescent="0.25">
      <c r="A96" s="71">
        <v>88</v>
      </c>
      <c r="B96" s="72" t="s">
        <v>5762</v>
      </c>
      <c r="C96" s="56" t="s">
        <v>5763</v>
      </c>
      <c r="D96" s="57"/>
      <c r="E96" s="58">
        <v>1</v>
      </c>
      <c r="F96" s="58">
        <v>7</v>
      </c>
      <c r="G96" s="59">
        <v>37082</v>
      </c>
      <c r="H96" s="59">
        <v>37091</v>
      </c>
      <c r="I96" s="60">
        <v>1</v>
      </c>
      <c r="J96" s="58"/>
      <c r="K96" s="58" t="s">
        <v>5502</v>
      </c>
      <c r="L96" s="58"/>
      <c r="M96" s="58"/>
      <c r="N96" s="58"/>
      <c r="O96" s="58"/>
      <c r="P96" s="61">
        <f t="shared" si="1"/>
        <v>7</v>
      </c>
      <c r="Q96" s="62" t="s">
        <v>5764</v>
      </c>
      <c r="R96" s="73"/>
      <c r="S96" s="74"/>
    </row>
    <row r="97" spans="1:19" s="63" customFormat="1" ht="56.25" x14ac:dyDescent="0.25">
      <c r="A97" s="71">
        <v>89</v>
      </c>
      <c r="B97" s="72" t="s">
        <v>5765</v>
      </c>
      <c r="C97" s="56" t="s">
        <v>5766</v>
      </c>
      <c r="D97" s="57"/>
      <c r="E97" s="58">
        <v>1</v>
      </c>
      <c r="F97" s="58">
        <v>4</v>
      </c>
      <c r="G97" s="59">
        <v>37082</v>
      </c>
      <c r="H97" s="59">
        <v>37091</v>
      </c>
      <c r="I97" s="60">
        <v>1</v>
      </c>
      <c r="J97" s="58"/>
      <c r="K97" s="58" t="s">
        <v>5502</v>
      </c>
      <c r="L97" s="58"/>
      <c r="M97" s="58"/>
      <c r="N97" s="58"/>
      <c r="O97" s="58"/>
      <c r="P97" s="61">
        <f t="shared" si="1"/>
        <v>4</v>
      </c>
      <c r="Q97" s="62" t="s">
        <v>5767</v>
      </c>
      <c r="R97" s="73"/>
      <c r="S97" s="74"/>
    </row>
    <row r="98" spans="1:19" s="63" customFormat="1" ht="56.25" x14ac:dyDescent="0.25">
      <c r="A98" s="71">
        <v>90</v>
      </c>
      <c r="B98" s="72" t="s">
        <v>5768</v>
      </c>
      <c r="C98" s="56" t="s">
        <v>5769</v>
      </c>
      <c r="D98" s="57"/>
      <c r="E98" s="58">
        <v>1</v>
      </c>
      <c r="F98" s="58">
        <v>6</v>
      </c>
      <c r="G98" s="59">
        <v>37117</v>
      </c>
      <c r="H98" s="59">
        <v>37119</v>
      </c>
      <c r="I98" s="60">
        <v>1</v>
      </c>
      <c r="J98" s="58"/>
      <c r="K98" s="58" t="s">
        <v>5502</v>
      </c>
      <c r="L98" s="58"/>
      <c r="M98" s="58"/>
      <c r="N98" s="58"/>
      <c r="O98" s="58"/>
      <c r="P98" s="61">
        <f t="shared" si="1"/>
        <v>6</v>
      </c>
      <c r="Q98" s="62" t="s">
        <v>5770</v>
      </c>
      <c r="R98" s="73"/>
      <c r="S98" s="74"/>
    </row>
    <row r="99" spans="1:19" s="63" customFormat="1" ht="45" x14ac:dyDescent="0.25">
      <c r="A99" s="71">
        <v>91</v>
      </c>
      <c r="B99" s="72" t="s">
        <v>5771</v>
      </c>
      <c r="C99" s="56" t="s">
        <v>5772</v>
      </c>
      <c r="D99" s="57"/>
      <c r="E99" s="58">
        <v>1</v>
      </c>
      <c r="F99" s="58">
        <v>5</v>
      </c>
      <c r="G99" s="59">
        <v>37173</v>
      </c>
      <c r="H99" s="59">
        <v>37182</v>
      </c>
      <c r="I99" s="60">
        <v>1</v>
      </c>
      <c r="J99" s="58"/>
      <c r="K99" s="58" t="s">
        <v>5502</v>
      </c>
      <c r="L99" s="58"/>
      <c r="M99" s="58"/>
      <c r="N99" s="58"/>
      <c r="O99" s="58"/>
      <c r="P99" s="61">
        <f t="shared" si="1"/>
        <v>5</v>
      </c>
      <c r="Q99" s="62" t="s">
        <v>5773</v>
      </c>
      <c r="R99" s="73"/>
      <c r="S99" s="74"/>
    </row>
    <row r="100" spans="1:19" s="63" customFormat="1" ht="45" x14ac:dyDescent="0.25">
      <c r="A100" s="71">
        <v>92</v>
      </c>
      <c r="B100" s="72" t="s">
        <v>5774</v>
      </c>
      <c r="C100" s="56" t="s">
        <v>5775</v>
      </c>
      <c r="D100" s="57"/>
      <c r="E100" s="58">
        <v>1</v>
      </c>
      <c r="F100" s="58">
        <v>6</v>
      </c>
      <c r="G100" s="59">
        <v>37173</v>
      </c>
      <c r="H100" s="59">
        <v>37182</v>
      </c>
      <c r="I100" s="60">
        <v>1</v>
      </c>
      <c r="J100" s="58"/>
      <c r="K100" s="58" t="s">
        <v>5502</v>
      </c>
      <c r="L100" s="58"/>
      <c r="M100" s="58"/>
      <c r="N100" s="58"/>
      <c r="O100" s="58"/>
      <c r="P100" s="61">
        <f t="shared" si="1"/>
        <v>6</v>
      </c>
      <c r="Q100" s="62" t="s">
        <v>5776</v>
      </c>
      <c r="R100" s="73"/>
      <c r="S100" s="74"/>
    </row>
    <row r="101" spans="1:19" s="63" customFormat="1" ht="56.25" x14ac:dyDescent="0.25">
      <c r="A101" s="71">
        <v>93</v>
      </c>
      <c r="B101" s="72" t="s">
        <v>5777</v>
      </c>
      <c r="C101" s="56" t="s">
        <v>5778</v>
      </c>
      <c r="D101" s="57"/>
      <c r="E101" s="58">
        <v>1</v>
      </c>
      <c r="F101" s="58">
        <v>5</v>
      </c>
      <c r="G101" s="59">
        <v>37173</v>
      </c>
      <c r="H101" s="59">
        <v>37182</v>
      </c>
      <c r="I101" s="60">
        <v>1</v>
      </c>
      <c r="J101" s="58"/>
      <c r="K101" s="58" t="s">
        <v>5502</v>
      </c>
      <c r="L101" s="58"/>
      <c r="M101" s="58"/>
      <c r="N101" s="58"/>
      <c r="O101" s="58"/>
      <c r="P101" s="61">
        <f t="shared" si="1"/>
        <v>5</v>
      </c>
      <c r="Q101" s="62" t="s">
        <v>5779</v>
      </c>
      <c r="R101" s="73"/>
      <c r="S101" s="74"/>
    </row>
    <row r="102" spans="1:19" s="63" customFormat="1" ht="45" x14ac:dyDescent="0.25">
      <c r="A102" s="71">
        <v>94</v>
      </c>
      <c r="B102" s="72" t="s">
        <v>5780</v>
      </c>
      <c r="C102" s="56" t="s">
        <v>5781</v>
      </c>
      <c r="D102" s="57"/>
      <c r="E102" s="58">
        <v>1</v>
      </c>
      <c r="F102" s="58">
        <v>5</v>
      </c>
      <c r="G102" s="59">
        <v>37320</v>
      </c>
      <c r="H102" s="59">
        <v>37336</v>
      </c>
      <c r="I102" s="60">
        <v>1</v>
      </c>
      <c r="J102" s="58"/>
      <c r="K102" s="58" t="s">
        <v>5502</v>
      </c>
      <c r="L102" s="58"/>
      <c r="M102" s="58"/>
      <c r="N102" s="58"/>
      <c r="O102" s="58"/>
      <c r="P102" s="61">
        <f t="shared" si="1"/>
        <v>5</v>
      </c>
      <c r="Q102" s="62" t="s">
        <v>5782</v>
      </c>
      <c r="R102" s="73"/>
      <c r="S102" s="74"/>
    </row>
    <row r="103" spans="1:19" s="63" customFormat="1" ht="45" x14ac:dyDescent="0.25">
      <c r="A103" s="71">
        <v>95</v>
      </c>
      <c r="B103" s="72" t="s">
        <v>5783</v>
      </c>
      <c r="C103" s="56" t="s">
        <v>5784</v>
      </c>
      <c r="D103" s="57"/>
      <c r="E103" s="58">
        <v>1</v>
      </c>
      <c r="F103" s="58">
        <v>5</v>
      </c>
      <c r="G103" s="59">
        <v>37320</v>
      </c>
      <c r="H103" s="59">
        <v>37336</v>
      </c>
      <c r="I103" s="60">
        <v>1</v>
      </c>
      <c r="J103" s="58"/>
      <c r="K103" s="58" t="s">
        <v>5502</v>
      </c>
      <c r="L103" s="58"/>
      <c r="M103" s="58"/>
      <c r="N103" s="58"/>
      <c r="O103" s="58"/>
      <c r="P103" s="61">
        <f t="shared" si="1"/>
        <v>5</v>
      </c>
      <c r="Q103" s="62" t="s">
        <v>5785</v>
      </c>
      <c r="R103" s="73"/>
      <c r="S103" s="74"/>
    </row>
    <row r="104" spans="1:19" s="63" customFormat="1" ht="45" x14ac:dyDescent="0.25">
      <c r="A104" s="71">
        <v>96</v>
      </c>
      <c r="B104" s="72" t="s">
        <v>5786</v>
      </c>
      <c r="C104" s="56" t="s">
        <v>5787</v>
      </c>
      <c r="D104" s="57"/>
      <c r="E104" s="58">
        <v>1</v>
      </c>
      <c r="F104" s="58">
        <v>4</v>
      </c>
      <c r="G104" s="59">
        <v>38141</v>
      </c>
      <c r="H104" s="59">
        <v>38155</v>
      </c>
      <c r="I104" s="60">
        <v>1</v>
      </c>
      <c r="J104" s="58"/>
      <c r="K104" s="58" t="s">
        <v>5502</v>
      </c>
      <c r="L104" s="58"/>
      <c r="M104" s="58"/>
      <c r="N104" s="58"/>
      <c r="O104" s="58"/>
      <c r="P104" s="61">
        <f t="shared" si="1"/>
        <v>4</v>
      </c>
      <c r="Q104" s="62" t="s">
        <v>5788</v>
      </c>
      <c r="R104" s="73"/>
      <c r="S104" s="74"/>
    </row>
    <row r="105" spans="1:19" s="63" customFormat="1" ht="45" x14ac:dyDescent="0.25">
      <c r="A105" s="71">
        <v>97</v>
      </c>
      <c r="B105" s="72" t="s">
        <v>5789</v>
      </c>
      <c r="C105" s="56" t="s">
        <v>5790</v>
      </c>
      <c r="D105" s="57"/>
      <c r="E105" s="58">
        <v>1</v>
      </c>
      <c r="F105" s="58">
        <v>5</v>
      </c>
      <c r="G105" s="59">
        <v>38141</v>
      </c>
      <c r="H105" s="59">
        <v>38155</v>
      </c>
      <c r="I105" s="60">
        <v>1</v>
      </c>
      <c r="J105" s="58"/>
      <c r="K105" s="58" t="s">
        <v>5502</v>
      </c>
      <c r="L105" s="58"/>
      <c r="M105" s="58"/>
      <c r="N105" s="58"/>
      <c r="O105" s="58"/>
      <c r="P105" s="61">
        <f t="shared" si="1"/>
        <v>5</v>
      </c>
      <c r="Q105" s="62" t="s">
        <v>5791</v>
      </c>
      <c r="R105" s="73"/>
      <c r="S105" s="74"/>
    </row>
    <row r="106" spans="1:19" s="63" customFormat="1" ht="56.25" x14ac:dyDescent="0.25">
      <c r="A106" s="71">
        <v>98</v>
      </c>
      <c r="B106" s="72" t="s">
        <v>5792</v>
      </c>
      <c r="C106" s="56" t="s">
        <v>5793</v>
      </c>
      <c r="D106" s="57"/>
      <c r="E106" s="58">
        <v>1</v>
      </c>
      <c r="F106" s="58">
        <v>11</v>
      </c>
      <c r="G106" s="59">
        <v>38414</v>
      </c>
      <c r="H106" s="59">
        <v>38428</v>
      </c>
      <c r="I106" s="60">
        <v>1</v>
      </c>
      <c r="J106" s="58"/>
      <c r="K106" s="58" t="s">
        <v>5502</v>
      </c>
      <c r="L106" s="58"/>
      <c r="M106" s="58"/>
      <c r="N106" s="58"/>
      <c r="O106" s="58"/>
      <c r="P106" s="61">
        <f t="shared" si="1"/>
        <v>11</v>
      </c>
      <c r="Q106" s="62" t="s">
        <v>5794</v>
      </c>
      <c r="R106" s="73"/>
      <c r="S106" s="74"/>
    </row>
    <row r="107" spans="1:19" s="63" customFormat="1" ht="45" x14ac:dyDescent="0.25">
      <c r="A107" s="71">
        <v>99</v>
      </c>
      <c r="B107" s="72" t="s">
        <v>5795</v>
      </c>
      <c r="C107" s="56" t="s">
        <v>5796</v>
      </c>
      <c r="D107" s="57"/>
      <c r="E107" s="58">
        <v>1</v>
      </c>
      <c r="F107" s="58">
        <v>4</v>
      </c>
      <c r="G107" s="59">
        <v>38204</v>
      </c>
      <c r="H107" s="59">
        <v>38218</v>
      </c>
      <c r="I107" s="60">
        <v>1</v>
      </c>
      <c r="J107" s="58"/>
      <c r="K107" s="58" t="s">
        <v>5502</v>
      </c>
      <c r="L107" s="58"/>
      <c r="M107" s="58"/>
      <c r="N107" s="58"/>
      <c r="O107" s="58"/>
      <c r="P107" s="61">
        <f t="shared" si="1"/>
        <v>4</v>
      </c>
      <c r="Q107" s="62" t="s">
        <v>5797</v>
      </c>
      <c r="R107" s="73"/>
      <c r="S107" s="74"/>
    </row>
    <row r="108" spans="1:19" s="63" customFormat="1" ht="33.75" x14ac:dyDescent="0.25">
      <c r="A108" s="71">
        <v>100</v>
      </c>
      <c r="B108" s="72" t="s">
        <v>5798</v>
      </c>
      <c r="C108" s="56" t="s">
        <v>5799</v>
      </c>
      <c r="D108" s="57"/>
      <c r="E108" s="58">
        <v>1</v>
      </c>
      <c r="F108" s="58">
        <v>6</v>
      </c>
      <c r="G108" s="59">
        <v>38414</v>
      </c>
      <c r="H108" s="59">
        <v>38428</v>
      </c>
      <c r="I108" s="60">
        <v>1</v>
      </c>
      <c r="J108" s="58"/>
      <c r="K108" s="58" t="s">
        <v>5502</v>
      </c>
      <c r="L108" s="58"/>
      <c r="M108" s="58"/>
      <c r="N108" s="58"/>
      <c r="O108" s="58"/>
      <c r="P108" s="61">
        <f t="shared" si="1"/>
        <v>6</v>
      </c>
      <c r="Q108" s="62" t="s">
        <v>5800</v>
      </c>
      <c r="R108" s="73"/>
      <c r="S108" s="74"/>
    </row>
    <row r="109" spans="1:19" s="63" customFormat="1" ht="45" x14ac:dyDescent="0.25">
      <c r="A109" s="71">
        <v>101</v>
      </c>
      <c r="B109" s="72" t="s">
        <v>5801</v>
      </c>
      <c r="C109" s="56" t="s">
        <v>5802</v>
      </c>
      <c r="D109" s="57"/>
      <c r="E109" s="58">
        <v>1</v>
      </c>
      <c r="F109" s="58">
        <v>5</v>
      </c>
      <c r="G109" s="59">
        <v>38540</v>
      </c>
      <c r="H109" s="59">
        <v>38554</v>
      </c>
      <c r="I109" s="60">
        <v>1</v>
      </c>
      <c r="J109" s="58"/>
      <c r="K109" s="58" t="s">
        <v>5502</v>
      </c>
      <c r="L109" s="58"/>
      <c r="M109" s="58"/>
      <c r="N109" s="58"/>
      <c r="O109" s="58"/>
      <c r="P109" s="61">
        <f t="shared" si="1"/>
        <v>5</v>
      </c>
      <c r="Q109" s="62" t="s">
        <v>5803</v>
      </c>
      <c r="R109" s="73"/>
      <c r="S109" s="74"/>
    </row>
    <row r="110" spans="1:19" s="63" customFormat="1" ht="45" x14ac:dyDescent="0.25">
      <c r="A110" s="71">
        <v>102</v>
      </c>
      <c r="B110" s="72" t="s">
        <v>5804</v>
      </c>
      <c r="C110" s="56" t="s">
        <v>5805</v>
      </c>
      <c r="D110" s="57"/>
      <c r="E110" s="58">
        <v>1</v>
      </c>
      <c r="F110" s="58">
        <v>6</v>
      </c>
      <c r="G110" s="59">
        <v>38630</v>
      </c>
      <c r="H110" s="59">
        <v>38645</v>
      </c>
      <c r="I110" s="60">
        <v>1</v>
      </c>
      <c r="J110" s="58"/>
      <c r="K110" s="58" t="s">
        <v>5502</v>
      </c>
      <c r="L110" s="58"/>
      <c r="M110" s="58"/>
      <c r="N110" s="58"/>
      <c r="O110" s="58"/>
      <c r="P110" s="61">
        <f t="shared" si="1"/>
        <v>6</v>
      </c>
      <c r="Q110" s="62" t="s">
        <v>5806</v>
      </c>
      <c r="R110" s="73"/>
      <c r="S110" s="74"/>
    </row>
    <row r="111" spans="1:19" s="63" customFormat="1" ht="45" x14ac:dyDescent="0.25">
      <c r="A111" s="71">
        <v>103</v>
      </c>
      <c r="B111" s="72" t="s">
        <v>5807</v>
      </c>
      <c r="C111" s="56" t="s">
        <v>5808</v>
      </c>
      <c r="D111" s="57"/>
      <c r="E111" s="58">
        <v>1</v>
      </c>
      <c r="F111" s="58">
        <v>4</v>
      </c>
      <c r="G111" s="59">
        <v>39272</v>
      </c>
      <c r="H111" s="59">
        <v>39282</v>
      </c>
      <c r="I111" s="60">
        <v>1</v>
      </c>
      <c r="J111" s="58"/>
      <c r="K111" s="58" t="s">
        <v>5502</v>
      </c>
      <c r="L111" s="58"/>
      <c r="M111" s="58"/>
      <c r="N111" s="58"/>
      <c r="O111" s="58"/>
      <c r="P111" s="61">
        <f t="shared" si="1"/>
        <v>4</v>
      </c>
      <c r="Q111" s="62" t="s">
        <v>5809</v>
      </c>
      <c r="R111" s="73"/>
      <c r="S111" s="74"/>
    </row>
    <row r="112" spans="1:19" s="63" customFormat="1" ht="56.25" x14ac:dyDescent="0.25">
      <c r="A112" s="71">
        <v>104</v>
      </c>
      <c r="B112" s="72" t="s">
        <v>5810</v>
      </c>
      <c r="C112" s="56" t="s">
        <v>5811</v>
      </c>
      <c r="D112" s="57"/>
      <c r="E112" s="58">
        <v>1</v>
      </c>
      <c r="F112" s="58">
        <v>6</v>
      </c>
      <c r="G112" s="59">
        <v>38630</v>
      </c>
      <c r="H112" s="59">
        <v>38645</v>
      </c>
      <c r="I112" s="60">
        <v>1</v>
      </c>
      <c r="J112" s="58"/>
      <c r="K112" s="58" t="s">
        <v>5502</v>
      </c>
      <c r="L112" s="58"/>
      <c r="M112" s="58"/>
      <c r="N112" s="58"/>
      <c r="O112" s="58"/>
      <c r="P112" s="61">
        <f t="shared" si="1"/>
        <v>6</v>
      </c>
      <c r="Q112" s="62" t="s">
        <v>5812</v>
      </c>
      <c r="R112" s="73"/>
      <c r="S112" s="74"/>
    </row>
    <row r="113" spans="1:19" s="63" customFormat="1" ht="45" x14ac:dyDescent="0.25">
      <c r="A113" s="71">
        <v>105</v>
      </c>
      <c r="B113" s="72" t="s">
        <v>5813</v>
      </c>
      <c r="C113" s="56" t="s">
        <v>5814</v>
      </c>
      <c r="D113" s="57"/>
      <c r="E113" s="58">
        <v>1</v>
      </c>
      <c r="F113" s="58">
        <v>5</v>
      </c>
      <c r="G113" s="59">
        <v>39359</v>
      </c>
      <c r="H113" s="59">
        <v>39380</v>
      </c>
      <c r="I113" s="60">
        <v>1</v>
      </c>
      <c r="J113" s="58"/>
      <c r="K113" s="58" t="s">
        <v>5502</v>
      </c>
      <c r="L113" s="58"/>
      <c r="M113" s="58"/>
      <c r="N113" s="58"/>
      <c r="O113" s="58"/>
      <c r="P113" s="61">
        <f t="shared" si="1"/>
        <v>5</v>
      </c>
      <c r="Q113" s="62" t="s">
        <v>5815</v>
      </c>
      <c r="R113" s="73"/>
      <c r="S113" s="74"/>
    </row>
    <row r="114" spans="1:19" s="63" customFormat="1" ht="56.25" x14ac:dyDescent="0.25">
      <c r="A114" s="71">
        <v>106</v>
      </c>
      <c r="B114" s="72" t="s">
        <v>5816</v>
      </c>
      <c r="C114" s="56" t="s">
        <v>5817</v>
      </c>
      <c r="D114" s="57"/>
      <c r="E114" s="58">
        <v>1</v>
      </c>
      <c r="F114" s="58">
        <v>7</v>
      </c>
      <c r="G114" s="59">
        <v>39393</v>
      </c>
      <c r="H114" s="59">
        <v>39415</v>
      </c>
      <c r="I114" s="60">
        <v>1</v>
      </c>
      <c r="J114" s="58"/>
      <c r="K114" s="58" t="s">
        <v>5502</v>
      </c>
      <c r="L114" s="58"/>
      <c r="M114" s="58"/>
      <c r="N114" s="58"/>
      <c r="O114" s="58"/>
      <c r="P114" s="61">
        <f t="shared" si="1"/>
        <v>7</v>
      </c>
      <c r="Q114" s="62" t="s">
        <v>5818</v>
      </c>
      <c r="R114" s="73"/>
      <c r="S114" s="74"/>
    </row>
    <row r="115" spans="1:19" s="63" customFormat="1" ht="56.25" x14ac:dyDescent="0.25">
      <c r="A115" s="71">
        <v>107</v>
      </c>
      <c r="B115" s="72" t="s">
        <v>5819</v>
      </c>
      <c r="C115" s="56" t="s">
        <v>5820</v>
      </c>
      <c r="D115" s="57"/>
      <c r="E115" s="58">
        <v>1</v>
      </c>
      <c r="F115" s="58">
        <v>5</v>
      </c>
      <c r="G115" s="59">
        <v>39393</v>
      </c>
      <c r="H115" s="59">
        <v>39415</v>
      </c>
      <c r="I115" s="60">
        <v>1</v>
      </c>
      <c r="J115" s="58"/>
      <c r="K115" s="58" t="s">
        <v>5502</v>
      </c>
      <c r="L115" s="58"/>
      <c r="M115" s="58"/>
      <c r="N115" s="58"/>
      <c r="O115" s="58"/>
      <c r="P115" s="61">
        <f t="shared" si="1"/>
        <v>5</v>
      </c>
      <c r="Q115" s="62" t="s">
        <v>5821</v>
      </c>
      <c r="R115" s="73"/>
      <c r="S115" s="74"/>
    </row>
    <row r="116" spans="1:19" s="63" customFormat="1" ht="45" x14ac:dyDescent="0.25">
      <c r="A116" s="71">
        <v>108</v>
      </c>
      <c r="B116" s="72" t="s">
        <v>5822</v>
      </c>
      <c r="C116" s="56" t="s">
        <v>5823</v>
      </c>
      <c r="D116" s="57"/>
      <c r="E116" s="58">
        <v>1</v>
      </c>
      <c r="F116" s="58">
        <v>5</v>
      </c>
      <c r="G116" s="59">
        <v>39393</v>
      </c>
      <c r="H116" s="59">
        <v>39415</v>
      </c>
      <c r="I116" s="60">
        <v>1</v>
      </c>
      <c r="J116" s="58"/>
      <c r="K116" s="58" t="s">
        <v>5502</v>
      </c>
      <c r="L116" s="58"/>
      <c r="M116" s="58"/>
      <c r="N116" s="58"/>
      <c r="O116" s="58"/>
      <c r="P116" s="61">
        <f t="shared" si="1"/>
        <v>5</v>
      </c>
      <c r="Q116" s="62" t="s">
        <v>5824</v>
      </c>
      <c r="R116" s="73"/>
      <c r="S116" s="74"/>
    </row>
    <row r="117" spans="1:19" s="63" customFormat="1" ht="56.25" x14ac:dyDescent="0.25">
      <c r="A117" s="71">
        <v>109</v>
      </c>
      <c r="B117" s="72" t="s">
        <v>5825</v>
      </c>
      <c r="C117" s="56" t="s">
        <v>5826</v>
      </c>
      <c r="D117" s="57"/>
      <c r="E117" s="58">
        <v>1</v>
      </c>
      <c r="F117" s="58">
        <v>6</v>
      </c>
      <c r="G117" s="59">
        <v>39422</v>
      </c>
      <c r="H117" s="59">
        <v>39436</v>
      </c>
      <c r="I117" s="60">
        <v>1</v>
      </c>
      <c r="J117" s="58"/>
      <c r="K117" s="58" t="s">
        <v>5502</v>
      </c>
      <c r="L117" s="58"/>
      <c r="M117" s="58"/>
      <c r="N117" s="58"/>
      <c r="O117" s="58"/>
      <c r="P117" s="61">
        <f t="shared" si="1"/>
        <v>6</v>
      </c>
      <c r="Q117" s="62" t="s">
        <v>5827</v>
      </c>
      <c r="R117" s="73"/>
      <c r="S117" s="74"/>
    </row>
    <row r="118" spans="1:19" s="63" customFormat="1" ht="45" x14ac:dyDescent="0.25">
      <c r="A118" s="71">
        <v>110</v>
      </c>
      <c r="B118" s="72" t="s">
        <v>5828</v>
      </c>
      <c r="C118" s="56" t="s">
        <v>5829</v>
      </c>
      <c r="D118" s="57"/>
      <c r="E118" s="58">
        <v>1</v>
      </c>
      <c r="F118" s="58">
        <v>6</v>
      </c>
      <c r="G118" s="59">
        <v>39422</v>
      </c>
      <c r="H118" s="59">
        <v>39436</v>
      </c>
      <c r="I118" s="60">
        <v>1</v>
      </c>
      <c r="J118" s="58"/>
      <c r="K118" s="58" t="s">
        <v>5502</v>
      </c>
      <c r="L118" s="58"/>
      <c r="M118" s="58"/>
      <c r="N118" s="58"/>
      <c r="O118" s="58"/>
      <c r="P118" s="61">
        <f t="shared" si="1"/>
        <v>6</v>
      </c>
      <c r="Q118" s="62" t="s">
        <v>5830</v>
      </c>
      <c r="R118" s="73"/>
      <c r="S118" s="74"/>
    </row>
    <row r="119" spans="1:19" s="63" customFormat="1" ht="45" x14ac:dyDescent="0.25">
      <c r="A119" s="71">
        <v>111</v>
      </c>
      <c r="B119" s="72" t="s">
        <v>5831</v>
      </c>
      <c r="C119" s="56" t="s">
        <v>5832</v>
      </c>
      <c r="D119" s="57"/>
      <c r="E119" s="58">
        <v>1</v>
      </c>
      <c r="F119" s="58">
        <v>6</v>
      </c>
      <c r="G119" s="59">
        <v>33708</v>
      </c>
      <c r="H119" s="59">
        <v>33765</v>
      </c>
      <c r="I119" s="60">
        <v>1</v>
      </c>
      <c r="J119" s="58"/>
      <c r="K119" s="58" t="s">
        <v>5502</v>
      </c>
      <c r="L119" s="58"/>
      <c r="M119" s="58"/>
      <c r="N119" s="58"/>
      <c r="O119" s="58"/>
      <c r="P119" s="61">
        <f t="shared" si="1"/>
        <v>6</v>
      </c>
      <c r="Q119" s="62" t="s">
        <v>5833</v>
      </c>
      <c r="R119" s="73"/>
      <c r="S119" s="74"/>
    </row>
    <row r="120" spans="1:19" s="63" customFormat="1" ht="33.75" x14ac:dyDescent="0.25">
      <c r="A120" s="71">
        <v>112</v>
      </c>
      <c r="B120" s="72" t="s">
        <v>5834</v>
      </c>
      <c r="C120" s="56" t="s">
        <v>5835</v>
      </c>
      <c r="D120" s="57"/>
      <c r="E120" s="58">
        <v>1</v>
      </c>
      <c r="F120" s="58">
        <v>7</v>
      </c>
      <c r="G120" s="59">
        <v>33708</v>
      </c>
      <c r="H120" s="59">
        <v>34104</v>
      </c>
      <c r="I120" s="60">
        <v>1</v>
      </c>
      <c r="J120" s="58"/>
      <c r="K120" s="58" t="s">
        <v>5502</v>
      </c>
      <c r="L120" s="58"/>
      <c r="M120" s="58"/>
      <c r="N120" s="58"/>
      <c r="O120" s="58"/>
      <c r="P120" s="61">
        <f t="shared" si="1"/>
        <v>7</v>
      </c>
      <c r="Q120" s="62" t="s">
        <v>5836</v>
      </c>
      <c r="R120" s="73"/>
      <c r="S120" s="74"/>
    </row>
    <row r="121" spans="1:19" s="63" customFormat="1" ht="33.75" x14ac:dyDescent="0.25">
      <c r="A121" s="71">
        <v>113</v>
      </c>
      <c r="B121" s="72" t="s">
        <v>5837</v>
      </c>
      <c r="C121" s="56" t="s">
        <v>5838</v>
      </c>
      <c r="D121" s="57"/>
      <c r="E121" s="58">
        <v>1</v>
      </c>
      <c r="F121" s="58">
        <v>5</v>
      </c>
      <c r="G121" s="59">
        <v>33821</v>
      </c>
      <c r="H121" s="59">
        <v>33864</v>
      </c>
      <c r="I121" s="60">
        <v>1</v>
      </c>
      <c r="J121" s="58"/>
      <c r="K121" s="58" t="s">
        <v>5502</v>
      </c>
      <c r="L121" s="58"/>
      <c r="M121" s="58"/>
      <c r="N121" s="58"/>
      <c r="O121" s="58"/>
      <c r="P121" s="61">
        <f t="shared" si="1"/>
        <v>5</v>
      </c>
      <c r="Q121" s="62" t="s">
        <v>5839</v>
      </c>
      <c r="R121" s="73"/>
      <c r="S121" s="74"/>
    </row>
    <row r="122" spans="1:19" s="63" customFormat="1" ht="56.25" x14ac:dyDescent="0.25">
      <c r="A122" s="71">
        <v>114</v>
      </c>
      <c r="B122" s="72" t="s">
        <v>5840</v>
      </c>
      <c r="C122" s="56" t="s">
        <v>5841</v>
      </c>
      <c r="D122" s="57"/>
      <c r="E122" s="58">
        <v>1</v>
      </c>
      <c r="F122" s="58">
        <v>7</v>
      </c>
      <c r="G122" s="59">
        <v>33849</v>
      </c>
      <c r="H122" s="59">
        <v>33927</v>
      </c>
      <c r="I122" s="60">
        <v>1</v>
      </c>
      <c r="J122" s="58"/>
      <c r="K122" s="58" t="s">
        <v>5502</v>
      </c>
      <c r="L122" s="58"/>
      <c r="M122" s="58"/>
      <c r="N122" s="58"/>
      <c r="O122" s="58"/>
      <c r="P122" s="61">
        <f t="shared" si="1"/>
        <v>7</v>
      </c>
      <c r="Q122" s="62" t="s">
        <v>5842</v>
      </c>
      <c r="R122" s="73"/>
      <c r="S122" s="74"/>
    </row>
    <row r="123" spans="1:19" s="63" customFormat="1" ht="45" x14ac:dyDescent="0.25">
      <c r="A123" s="71">
        <v>115</v>
      </c>
      <c r="B123" s="72" t="s">
        <v>5843</v>
      </c>
      <c r="C123" s="56" t="s">
        <v>5844</v>
      </c>
      <c r="D123" s="57"/>
      <c r="E123" s="58">
        <v>1</v>
      </c>
      <c r="F123" s="58">
        <v>5</v>
      </c>
      <c r="G123" s="59">
        <v>33849</v>
      </c>
      <c r="H123" s="59">
        <v>33927</v>
      </c>
      <c r="I123" s="60">
        <v>1</v>
      </c>
      <c r="J123" s="58"/>
      <c r="K123" s="58" t="s">
        <v>5502</v>
      </c>
      <c r="L123" s="58"/>
      <c r="M123" s="58"/>
      <c r="N123" s="58"/>
      <c r="O123" s="58"/>
      <c r="P123" s="61">
        <f t="shared" si="1"/>
        <v>5</v>
      </c>
      <c r="Q123" s="62" t="s">
        <v>5845</v>
      </c>
      <c r="R123" s="73"/>
      <c r="S123" s="74"/>
    </row>
    <row r="124" spans="1:19" s="63" customFormat="1" ht="45" x14ac:dyDescent="0.25">
      <c r="A124" s="71">
        <v>116</v>
      </c>
      <c r="B124" s="72" t="s">
        <v>5846</v>
      </c>
      <c r="C124" s="56" t="s">
        <v>5847</v>
      </c>
      <c r="D124" s="57"/>
      <c r="E124" s="58">
        <v>1</v>
      </c>
      <c r="F124" s="58">
        <v>5</v>
      </c>
      <c r="G124" s="59">
        <v>33906</v>
      </c>
      <c r="H124" s="59">
        <v>33927</v>
      </c>
      <c r="I124" s="60">
        <v>1</v>
      </c>
      <c r="J124" s="58"/>
      <c r="K124" s="58" t="s">
        <v>5502</v>
      </c>
      <c r="L124" s="58"/>
      <c r="M124" s="58"/>
      <c r="N124" s="58"/>
      <c r="O124" s="58"/>
      <c r="P124" s="61">
        <f t="shared" si="1"/>
        <v>5</v>
      </c>
      <c r="Q124" s="62" t="s">
        <v>5848</v>
      </c>
      <c r="R124" s="73"/>
      <c r="S124" s="74"/>
    </row>
    <row r="125" spans="1:19" s="63" customFormat="1" ht="45" x14ac:dyDescent="0.25">
      <c r="A125" s="71">
        <v>117</v>
      </c>
      <c r="B125" s="72" t="s">
        <v>5849</v>
      </c>
      <c r="C125" s="56" t="s">
        <v>5850</v>
      </c>
      <c r="D125" s="57"/>
      <c r="E125" s="58">
        <v>1</v>
      </c>
      <c r="F125" s="58">
        <v>4</v>
      </c>
      <c r="G125" s="59">
        <v>34071</v>
      </c>
      <c r="H125" s="59">
        <v>34104</v>
      </c>
      <c r="I125" s="60">
        <v>1</v>
      </c>
      <c r="J125" s="58"/>
      <c r="K125" s="58" t="s">
        <v>5502</v>
      </c>
      <c r="L125" s="58"/>
      <c r="M125" s="58"/>
      <c r="N125" s="58"/>
      <c r="O125" s="58"/>
      <c r="P125" s="61">
        <f t="shared" si="1"/>
        <v>4</v>
      </c>
      <c r="Q125" s="62" t="s">
        <v>5851</v>
      </c>
      <c r="R125" s="73"/>
      <c r="S125" s="74"/>
    </row>
    <row r="126" spans="1:19" s="63" customFormat="1" ht="45" x14ac:dyDescent="0.25">
      <c r="A126" s="71">
        <v>118</v>
      </c>
      <c r="B126" s="72" t="s">
        <v>5852</v>
      </c>
      <c r="C126" s="56" t="s">
        <v>5853</v>
      </c>
      <c r="D126" s="57"/>
      <c r="E126" s="58">
        <v>1</v>
      </c>
      <c r="F126" s="58">
        <v>4</v>
      </c>
      <c r="G126" s="59">
        <v>34071</v>
      </c>
      <c r="H126" s="59">
        <v>34104</v>
      </c>
      <c r="I126" s="60">
        <v>1</v>
      </c>
      <c r="J126" s="58"/>
      <c r="K126" s="58" t="s">
        <v>5502</v>
      </c>
      <c r="L126" s="58"/>
      <c r="M126" s="58"/>
      <c r="N126" s="58"/>
      <c r="O126" s="58"/>
      <c r="P126" s="61">
        <f t="shared" si="1"/>
        <v>4</v>
      </c>
      <c r="Q126" s="62" t="s">
        <v>5854</v>
      </c>
      <c r="R126" s="73"/>
      <c r="S126" s="74"/>
    </row>
    <row r="127" spans="1:19" s="63" customFormat="1" ht="56.25" x14ac:dyDescent="0.25">
      <c r="A127" s="71">
        <v>119</v>
      </c>
      <c r="B127" s="72" t="s">
        <v>5855</v>
      </c>
      <c r="C127" s="56" t="s">
        <v>5856</v>
      </c>
      <c r="D127" s="57"/>
      <c r="E127" s="58">
        <v>1</v>
      </c>
      <c r="F127" s="58">
        <v>5</v>
      </c>
      <c r="G127" s="59">
        <v>34071</v>
      </c>
      <c r="H127" s="59">
        <v>34104</v>
      </c>
      <c r="I127" s="60">
        <v>1</v>
      </c>
      <c r="J127" s="58"/>
      <c r="K127" s="58" t="s">
        <v>5502</v>
      </c>
      <c r="L127" s="58"/>
      <c r="M127" s="58"/>
      <c r="N127" s="58"/>
      <c r="O127" s="58"/>
      <c r="P127" s="61">
        <f t="shared" si="1"/>
        <v>5</v>
      </c>
      <c r="Q127" s="62" t="s">
        <v>5857</v>
      </c>
      <c r="R127" s="73"/>
      <c r="S127" s="74"/>
    </row>
    <row r="128" spans="1:19" s="63" customFormat="1" ht="45" x14ac:dyDescent="0.25">
      <c r="A128" s="71">
        <v>120</v>
      </c>
      <c r="B128" s="72" t="s">
        <v>5858</v>
      </c>
      <c r="C128" s="56" t="s">
        <v>5859</v>
      </c>
      <c r="D128" s="57"/>
      <c r="E128" s="58">
        <v>1</v>
      </c>
      <c r="F128" s="58">
        <v>5</v>
      </c>
      <c r="G128" s="59">
        <v>34115</v>
      </c>
      <c r="H128" s="59">
        <v>34200</v>
      </c>
      <c r="I128" s="60">
        <v>1</v>
      </c>
      <c r="J128" s="58"/>
      <c r="K128" s="58" t="s">
        <v>5502</v>
      </c>
      <c r="L128" s="58"/>
      <c r="M128" s="58"/>
      <c r="N128" s="58"/>
      <c r="O128" s="58"/>
      <c r="P128" s="61">
        <f t="shared" si="1"/>
        <v>5</v>
      </c>
      <c r="Q128" s="62" t="s">
        <v>5860</v>
      </c>
      <c r="R128" s="73"/>
      <c r="S128" s="74"/>
    </row>
    <row r="129" spans="1:19" s="63" customFormat="1" ht="56.25" x14ac:dyDescent="0.25">
      <c r="A129" s="71">
        <v>121</v>
      </c>
      <c r="B129" s="72" t="s">
        <v>5861</v>
      </c>
      <c r="C129" s="56" t="s">
        <v>5862</v>
      </c>
      <c r="D129" s="57"/>
      <c r="E129" s="58">
        <v>1</v>
      </c>
      <c r="F129" s="58">
        <v>5</v>
      </c>
      <c r="G129" s="59">
        <v>34115</v>
      </c>
      <c r="H129" s="59">
        <v>34200</v>
      </c>
      <c r="I129" s="60">
        <v>1</v>
      </c>
      <c r="J129" s="58"/>
      <c r="K129" s="58" t="s">
        <v>5502</v>
      </c>
      <c r="L129" s="58"/>
      <c r="M129" s="58"/>
      <c r="N129" s="58"/>
      <c r="O129" s="58"/>
      <c r="P129" s="61">
        <f t="shared" si="1"/>
        <v>5</v>
      </c>
      <c r="Q129" s="62" t="s">
        <v>5863</v>
      </c>
      <c r="R129" s="73"/>
      <c r="S129" s="74"/>
    </row>
    <row r="130" spans="1:19" s="63" customFormat="1" ht="45" x14ac:dyDescent="0.25">
      <c r="A130" s="71">
        <v>122</v>
      </c>
      <c r="B130" s="72" t="s">
        <v>5864</v>
      </c>
      <c r="C130" s="56" t="s">
        <v>5865</v>
      </c>
      <c r="D130" s="57"/>
      <c r="E130" s="58">
        <v>1</v>
      </c>
      <c r="F130" s="58">
        <v>4</v>
      </c>
      <c r="G130" s="59">
        <v>34115</v>
      </c>
      <c r="H130" s="59">
        <v>34200</v>
      </c>
      <c r="I130" s="60">
        <v>1</v>
      </c>
      <c r="J130" s="58"/>
      <c r="K130" s="58" t="s">
        <v>5502</v>
      </c>
      <c r="L130" s="58"/>
      <c r="M130" s="58"/>
      <c r="N130" s="58"/>
      <c r="O130" s="58"/>
      <c r="P130" s="61">
        <f t="shared" si="1"/>
        <v>4</v>
      </c>
      <c r="Q130" s="62" t="s">
        <v>5866</v>
      </c>
      <c r="R130" s="73"/>
      <c r="S130" s="74"/>
    </row>
    <row r="131" spans="1:19" s="63" customFormat="1" ht="45" x14ac:dyDescent="0.25">
      <c r="A131" s="71">
        <v>123</v>
      </c>
      <c r="B131" s="72" t="s">
        <v>5867</v>
      </c>
      <c r="C131" s="56" t="s">
        <v>5868</v>
      </c>
      <c r="D131" s="57"/>
      <c r="E131" s="58">
        <v>1</v>
      </c>
      <c r="F131" s="58">
        <v>6</v>
      </c>
      <c r="G131" s="59">
        <v>34218</v>
      </c>
      <c r="H131" s="59">
        <v>34319</v>
      </c>
      <c r="I131" s="60">
        <v>1</v>
      </c>
      <c r="J131" s="58"/>
      <c r="K131" s="58" t="s">
        <v>5502</v>
      </c>
      <c r="L131" s="58"/>
      <c r="M131" s="58"/>
      <c r="N131" s="58"/>
      <c r="O131" s="58"/>
      <c r="P131" s="61">
        <f t="shared" si="1"/>
        <v>6</v>
      </c>
      <c r="Q131" s="62" t="s">
        <v>5869</v>
      </c>
      <c r="R131" s="73"/>
      <c r="S131" s="74"/>
    </row>
    <row r="132" spans="1:19" s="63" customFormat="1" ht="33.75" x14ac:dyDescent="0.25">
      <c r="A132" s="71">
        <v>124</v>
      </c>
      <c r="B132" s="72" t="s">
        <v>5870</v>
      </c>
      <c r="C132" s="56" t="s">
        <v>5871</v>
      </c>
      <c r="D132" s="57"/>
      <c r="E132" s="58">
        <v>1</v>
      </c>
      <c r="F132" s="58">
        <v>5</v>
      </c>
      <c r="G132" s="59">
        <v>34218</v>
      </c>
      <c r="H132" s="59">
        <v>34319</v>
      </c>
      <c r="I132" s="60">
        <v>1</v>
      </c>
      <c r="J132" s="58"/>
      <c r="K132" s="58" t="s">
        <v>5502</v>
      </c>
      <c r="L132" s="58"/>
      <c r="M132" s="58"/>
      <c r="N132" s="58"/>
      <c r="O132" s="58"/>
      <c r="P132" s="61">
        <f t="shared" si="1"/>
        <v>5</v>
      </c>
      <c r="Q132" s="62" t="s">
        <v>5872</v>
      </c>
      <c r="R132" s="73"/>
      <c r="S132" s="74"/>
    </row>
    <row r="133" spans="1:19" s="63" customFormat="1" ht="45" x14ac:dyDescent="0.25">
      <c r="A133" s="71">
        <v>125</v>
      </c>
      <c r="B133" s="72" t="s">
        <v>5873</v>
      </c>
      <c r="C133" s="56" t="s">
        <v>5874</v>
      </c>
      <c r="D133" s="57"/>
      <c r="E133" s="58">
        <v>1</v>
      </c>
      <c r="F133" s="58">
        <v>5</v>
      </c>
      <c r="G133" s="59">
        <v>34218</v>
      </c>
      <c r="H133" s="59">
        <v>34319</v>
      </c>
      <c r="I133" s="60">
        <v>1</v>
      </c>
      <c r="J133" s="58"/>
      <c r="K133" s="58" t="s">
        <v>5502</v>
      </c>
      <c r="L133" s="58"/>
      <c r="M133" s="58"/>
      <c r="N133" s="58"/>
      <c r="O133" s="58"/>
      <c r="P133" s="61">
        <f t="shared" si="1"/>
        <v>5</v>
      </c>
      <c r="Q133" s="62" t="s">
        <v>5875</v>
      </c>
      <c r="R133" s="73"/>
      <c r="S133" s="74"/>
    </row>
    <row r="134" spans="1:19" s="63" customFormat="1" ht="45" x14ac:dyDescent="0.25">
      <c r="A134" s="71">
        <v>126</v>
      </c>
      <c r="B134" s="72" t="s">
        <v>5876</v>
      </c>
      <c r="C134" s="56" t="s">
        <v>5877</v>
      </c>
      <c r="D134" s="57"/>
      <c r="E134" s="58">
        <v>1</v>
      </c>
      <c r="F134" s="58">
        <v>4</v>
      </c>
      <c r="G134" s="59">
        <v>34218</v>
      </c>
      <c r="H134" s="59">
        <v>34319</v>
      </c>
      <c r="I134" s="60">
        <v>1</v>
      </c>
      <c r="J134" s="58"/>
      <c r="K134" s="58" t="s">
        <v>5502</v>
      </c>
      <c r="L134" s="58"/>
      <c r="M134" s="58"/>
      <c r="N134" s="58"/>
      <c r="O134" s="58"/>
      <c r="P134" s="61">
        <f t="shared" si="1"/>
        <v>4</v>
      </c>
      <c r="Q134" s="62" t="s">
        <v>5878</v>
      </c>
      <c r="R134" s="73"/>
      <c r="S134" s="74"/>
    </row>
    <row r="135" spans="1:19" s="63" customFormat="1" ht="56.25" x14ac:dyDescent="0.25">
      <c r="A135" s="71">
        <v>127</v>
      </c>
      <c r="B135" s="72" t="s">
        <v>5879</v>
      </c>
      <c r="C135" s="56" t="s">
        <v>5880</v>
      </c>
      <c r="D135" s="57"/>
      <c r="E135" s="58">
        <v>1</v>
      </c>
      <c r="F135" s="58">
        <v>4</v>
      </c>
      <c r="G135" s="59">
        <v>34218</v>
      </c>
      <c r="H135" s="59">
        <v>34319</v>
      </c>
      <c r="I135" s="60">
        <v>1</v>
      </c>
      <c r="J135" s="58"/>
      <c r="K135" s="58" t="s">
        <v>5502</v>
      </c>
      <c r="L135" s="58"/>
      <c r="M135" s="58"/>
      <c r="N135" s="58"/>
      <c r="O135" s="58"/>
      <c r="P135" s="61">
        <f t="shared" si="1"/>
        <v>4</v>
      </c>
      <c r="Q135" s="62" t="s">
        <v>5881</v>
      </c>
      <c r="R135" s="73"/>
      <c r="S135" s="74"/>
    </row>
    <row r="136" spans="1:19" s="63" customFormat="1" ht="45" x14ac:dyDescent="0.25">
      <c r="A136" s="71">
        <v>128</v>
      </c>
      <c r="B136" s="72" t="s">
        <v>5882</v>
      </c>
      <c r="C136" s="56" t="s">
        <v>5883</v>
      </c>
      <c r="D136" s="57"/>
      <c r="E136" s="58">
        <v>1</v>
      </c>
      <c r="F136" s="58">
        <v>5</v>
      </c>
      <c r="G136" s="59">
        <v>34218</v>
      </c>
      <c r="H136" s="59">
        <v>34319</v>
      </c>
      <c r="I136" s="60">
        <v>1</v>
      </c>
      <c r="J136" s="58"/>
      <c r="K136" s="58" t="s">
        <v>5502</v>
      </c>
      <c r="L136" s="58"/>
      <c r="M136" s="58"/>
      <c r="N136" s="58"/>
      <c r="O136" s="58"/>
      <c r="P136" s="61">
        <f t="shared" si="1"/>
        <v>5</v>
      </c>
      <c r="Q136" s="62" t="s">
        <v>5884</v>
      </c>
      <c r="R136" s="73"/>
      <c r="S136" s="74"/>
    </row>
    <row r="137" spans="1:19" s="63" customFormat="1" ht="45" x14ac:dyDescent="0.25">
      <c r="A137" s="71">
        <v>129</v>
      </c>
      <c r="B137" s="72" t="s">
        <v>5885</v>
      </c>
      <c r="C137" s="56" t="s">
        <v>5886</v>
      </c>
      <c r="D137" s="57"/>
      <c r="E137" s="58">
        <v>1</v>
      </c>
      <c r="F137" s="58">
        <v>6</v>
      </c>
      <c r="G137" s="59">
        <v>34218</v>
      </c>
      <c r="H137" s="59">
        <v>34319</v>
      </c>
      <c r="I137" s="60">
        <v>1</v>
      </c>
      <c r="J137" s="58"/>
      <c r="K137" s="58" t="s">
        <v>5502</v>
      </c>
      <c r="L137" s="58"/>
      <c r="M137" s="58"/>
      <c r="N137" s="58"/>
      <c r="O137" s="58"/>
      <c r="P137" s="61">
        <f t="shared" ref="P137:P200" si="2">IF(F137="","",IF(ISERR(F137-E137)=TRUE,"",F137-E137+1))</f>
        <v>6</v>
      </c>
      <c r="Q137" s="62" t="s">
        <v>5887</v>
      </c>
      <c r="R137" s="73"/>
      <c r="S137" s="74"/>
    </row>
    <row r="138" spans="1:19" s="63" customFormat="1" ht="56.25" x14ac:dyDescent="0.25">
      <c r="A138" s="71">
        <v>130</v>
      </c>
      <c r="B138" s="72" t="s">
        <v>5888</v>
      </c>
      <c r="C138" s="56" t="s">
        <v>5889</v>
      </c>
      <c r="D138" s="57"/>
      <c r="E138" s="58">
        <v>1</v>
      </c>
      <c r="F138" s="58">
        <v>5</v>
      </c>
      <c r="G138" s="59">
        <v>34218</v>
      </c>
      <c r="H138" s="59">
        <v>34319</v>
      </c>
      <c r="I138" s="60">
        <v>1</v>
      </c>
      <c r="J138" s="58"/>
      <c r="K138" s="58" t="s">
        <v>5502</v>
      </c>
      <c r="L138" s="58"/>
      <c r="M138" s="58"/>
      <c r="N138" s="58"/>
      <c r="O138" s="58"/>
      <c r="P138" s="61">
        <f t="shared" si="2"/>
        <v>5</v>
      </c>
      <c r="Q138" s="62" t="s">
        <v>5890</v>
      </c>
      <c r="R138" s="73"/>
      <c r="S138" s="74"/>
    </row>
    <row r="139" spans="1:19" s="63" customFormat="1" ht="45" x14ac:dyDescent="0.25">
      <c r="A139" s="71">
        <v>131</v>
      </c>
      <c r="B139" s="72" t="s">
        <v>5891</v>
      </c>
      <c r="C139" s="56" t="s">
        <v>5892</v>
      </c>
      <c r="D139" s="57"/>
      <c r="E139" s="58">
        <v>1</v>
      </c>
      <c r="F139" s="58">
        <v>5</v>
      </c>
      <c r="G139" s="59">
        <v>34218</v>
      </c>
      <c r="H139" s="59">
        <v>34319</v>
      </c>
      <c r="I139" s="60">
        <v>1</v>
      </c>
      <c r="J139" s="58"/>
      <c r="K139" s="58" t="s">
        <v>5502</v>
      </c>
      <c r="L139" s="58"/>
      <c r="M139" s="58"/>
      <c r="N139" s="58"/>
      <c r="O139" s="58"/>
      <c r="P139" s="61">
        <f t="shared" si="2"/>
        <v>5</v>
      </c>
      <c r="Q139" s="62" t="s">
        <v>5893</v>
      </c>
      <c r="R139" s="73"/>
      <c r="S139" s="74"/>
    </row>
    <row r="140" spans="1:19" s="63" customFormat="1" ht="56.25" x14ac:dyDescent="0.25">
      <c r="A140" s="71">
        <v>132</v>
      </c>
      <c r="B140" s="72" t="s">
        <v>5894</v>
      </c>
      <c r="C140" s="56" t="s">
        <v>5895</v>
      </c>
      <c r="D140" s="57"/>
      <c r="E140" s="58">
        <v>1</v>
      </c>
      <c r="F140" s="58">
        <v>6</v>
      </c>
      <c r="G140" s="59">
        <v>34218</v>
      </c>
      <c r="H140" s="59">
        <v>34319</v>
      </c>
      <c r="I140" s="60">
        <v>1</v>
      </c>
      <c r="J140" s="58"/>
      <c r="K140" s="58" t="s">
        <v>5502</v>
      </c>
      <c r="L140" s="58"/>
      <c r="M140" s="58"/>
      <c r="N140" s="58"/>
      <c r="O140" s="58"/>
      <c r="P140" s="61">
        <f t="shared" si="2"/>
        <v>6</v>
      </c>
      <c r="Q140" s="62" t="s">
        <v>5896</v>
      </c>
      <c r="R140" s="73"/>
      <c r="S140" s="74"/>
    </row>
    <row r="141" spans="1:19" s="63" customFormat="1" ht="56.25" x14ac:dyDescent="0.25">
      <c r="A141" s="71">
        <v>133</v>
      </c>
      <c r="B141" s="72" t="s">
        <v>5897</v>
      </c>
      <c r="C141" s="56" t="s">
        <v>5898</v>
      </c>
      <c r="D141" s="57"/>
      <c r="E141" s="58">
        <v>1</v>
      </c>
      <c r="F141" s="58">
        <v>5</v>
      </c>
      <c r="G141" s="59">
        <v>34218</v>
      </c>
      <c r="H141" s="59">
        <v>34319</v>
      </c>
      <c r="I141" s="60">
        <v>1</v>
      </c>
      <c r="J141" s="58"/>
      <c r="K141" s="58" t="s">
        <v>5502</v>
      </c>
      <c r="L141" s="58"/>
      <c r="M141" s="58"/>
      <c r="N141" s="58"/>
      <c r="O141" s="58"/>
      <c r="P141" s="61">
        <f t="shared" si="2"/>
        <v>5</v>
      </c>
      <c r="Q141" s="62" t="s">
        <v>5899</v>
      </c>
      <c r="R141" s="73"/>
      <c r="S141" s="74"/>
    </row>
    <row r="142" spans="1:19" s="63" customFormat="1" ht="45" x14ac:dyDescent="0.25">
      <c r="A142" s="71">
        <v>134</v>
      </c>
      <c r="B142" s="72" t="s">
        <v>5900</v>
      </c>
      <c r="C142" s="56" t="s">
        <v>5901</v>
      </c>
      <c r="D142" s="57"/>
      <c r="E142" s="58">
        <v>1</v>
      </c>
      <c r="F142" s="58">
        <v>5</v>
      </c>
      <c r="G142" s="59">
        <v>34277</v>
      </c>
      <c r="H142" s="59">
        <v>34319</v>
      </c>
      <c r="I142" s="60">
        <v>1</v>
      </c>
      <c r="J142" s="58"/>
      <c r="K142" s="58" t="s">
        <v>5502</v>
      </c>
      <c r="L142" s="58"/>
      <c r="M142" s="58"/>
      <c r="N142" s="58"/>
      <c r="O142" s="58"/>
      <c r="P142" s="61">
        <f t="shared" si="2"/>
        <v>5</v>
      </c>
      <c r="Q142" s="62" t="s">
        <v>5902</v>
      </c>
      <c r="R142" s="73"/>
      <c r="S142" s="74"/>
    </row>
    <row r="143" spans="1:19" s="63" customFormat="1" ht="45" x14ac:dyDescent="0.25">
      <c r="A143" s="71">
        <v>135</v>
      </c>
      <c r="B143" s="72" t="s">
        <v>5903</v>
      </c>
      <c r="C143" s="56" t="s">
        <v>5904</v>
      </c>
      <c r="D143" s="57"/>
      <c r="E143" s="58">
        <v>1</v>
      </c>
      <c r="F143" s="58">
        <v>5</v>
      </c>
      <c r="G143" s="59">
        <v>34277</v>
      </c>
      <c r="H143" s="59">
        <v>34319</v>
      </c>
      <c r="I143" s="60">
        <v>1</v>
      </c>
      <c r="J143" s="58"/>
      <c r="K143" s="58" t="s">
        <v>5502</v>
      </c>
      <c r="L143" s="58"/>
      <c r="M143" s="58"/>
      <c r="N143" s="58"/>
      <c r="O143" s="58"/>
      <c r="P143" s="61">
        <f t="shared" si="2"/>
        <v>5</v>
      </c>
      <c r="Q143" s="62" t="s">
        <v>5905</v>
      </c>
      <c r="R143" s="73"/>
      <c r="S143" s="74"/>
    </row>
    <row r="144" spans="1:19" s="63" customFormat="1" ht="45" x14ac:dyDescent="0.25">
      <c r="A144" s="71">
        <v>136</v>
      </c>
      <c r="B144" s="72" t="s">
        <v>5906</v>
      </c>
      <c r="C144" s="56" t="s">
        <v>5907</v>
      </c>
      <c r="D144" s="57"/>
      <c r="E144" s="58">
        <v>1</v>
      </c>
      <c r="F144" s="58">
        <v>5</v>
      </c>
      <c r="G144" s="59">
        <v>34277</v>
      </c>
      <c r="H144" s="59">
        <v>34319</v>
      </c>
      <c r="I144" s="60">
        <v>1</v>
      </c>
      <c r="J144" s="58"/>
      <c r="K144" s="58" t="s">
        <v>5502</v>
      </c>
      <c r="L144" s="58"/>
      <c r="M144" s="58"/>
      <c r="N144" s="58"/>
      <c r="O144" s="58"/>
      <c r="P144" s="61">
        <f t="shared" si="2"/>
        <v>5</v>
      </c>
      <c r="Q144" s="62" t="s">
        <v>5908</v>
      </c>
      <c r="R144" s="73"/>
      <c r="S144" s="74"/>
    </row>
    <row r="145" spans="1:19" s="63" customFormat="1" ht="45" x14ac:dyDescent="0.25">
      <c r="A145" s="71">
        <v>137</v>
      </c>
      <c r="B145" s="72" t="s">
        <v>5909</v>
      </c>
      <c r="C145" s="56" t="s">
        <v>5910</v>
      </c>
      <c r="D145" s="57"/>
      <c r="E145" s="58">
        <v>1</v>
      </c>
      <c r="F145" s="58">
        <v>5</v>
      </c>
      <c r="G145" s="59">
        <v>34277</v>
      </c>
      <c r="H145" s="59">
        <v>34319</v>
      </c>
      <c r="I145" s="60">
        <v>1</v>
      </c>
      <c r="J145" s="58"/>
      <c r="K145" s="58" t="s">
        <v>5502</v>
      </c>
      <c r="L145" s="58"/>
      <c r="M145" s="58"/>
      <c r="N145" s="58"/>
      <c r="O145" s="58"/>
      <c r="P145" s="61">
        <f t="shared" si="2"/>
        <v>5</v>
      </c>
      <c r="Q145" s="62" t="s">
        <v>5911</v>
      </c>
      <c r="R145" s="73"/>
      <c r="S145" s="74"/>
    </row>
    <row r="146" spans="1:19" s="63" customFormat="1" ht="45" x14ac:dyDescent="0.25">
      <c r="A146" s="71">
        <v>138</v>
      </c>
      <c r="B146" s="72" t="s">
        <v>5912</v>
      </c>
      <c r="C146" s="56" t="s">
        <v>5913</v>
      </c>
      <c r="D146" s="57"/>
      <c r="E146" s="58">
        <v>1</v>
      </c>
      <c r="F146" s="58">
        <v>5</v>
      </c>
      <c r="G146" s="59">
        <v>34277</v>
      </c>
      <c r="H146" s="59">
        <v>34319</v>
      </c>
      <c r="I146" s="60">
        <v>1</v>
      </c>
      <c r="J146" s="58"/>
      <c r="K146" s="58" t="s">
        <v>5502</v>
      </c>
      <c r="L146" s="58"/>
      <c r="M146" s="58"/>
      <c r="N146" s="58"/>
      <c r="O146" s="58"/>
      <c r="P146" s="61">
        <f t="shared" si="2"/>
        <v>5</v>
      </c>
      <c r="Q146" s="62" t="s">
        <v>5914</v>
      </c>
      <c r="R146" s="73"/>
      <c r="S146" s="74"/>
    </row>
    <row r="147" spans="1:19" s="63" customFormat="1" ht="56.25" x14ac:dyDescent="0.25">
      <c r="A147" s="71">
        <v>139</v>
      </c>
      <c r="B147" s="72" t="s">
        <v>5915</v>
      </c>
      <c r="C147" s="56" t="s">
        <v>5916</v>
      </c>
      <c r="D147" s="57"/>
      <c r="E147" s="58">
        <v>1</v>
      </c>
      <c r="F147" s="58">
        <v>5</v>
      </c>
      <c r="G147" s="59">
        <v>34277</v>
      </c>
      <c r="H147" s="59">
        <v>34319</v>
      </c>
      <c r="I147" s="60">
        <v>1</v>
      </c>
      <c r="J147" s="58"/>
      <c r="K147" s="58" t="s">
        <v>5502</v>
      </c>
      <c r="L147" s="58"/>
      <c r="M147" s="58"/>
      <c r="N147" s="58"/>
      <c r="O147" s="58"/>
      <c r="P147" s="61">
        <f t="shared" si="2"/>
        <v>5</v>
      </c>
      <c r="Q147" s="62" t="s">
        <v>5917</v>
      </c>
      <c r="R147" s="73"/>
      <c r="S147" s="74"/>
    </row>
    <row r="148" spans="1:19" s="63" customFormat="1" ht="56.25" x14ac:dyDescent="0.25">
      <c r="A148" s="71">
        <v>140</v>
      </c>
      <c r="B148" s="72" t="s">
        <v>5918</v>
      </c>
      <c r="C148" s="56" t="s">
        <v>5919</v>
      </c>
      <c r="D148" s="57"/>
      <c r="E148" s="58">
        <v>1</v>
      </c>
      <c r="F148" s="58">
        <v>6</v>
      </c>
      <c r="G148" s="59">
        <v>34277</v>
      </c>
      <c r="H148" s="59">
        <v>34319</v>
      </c>
      <c r="I148" s="60">
        <v>1</v>
      </c>
      <c r="J148" s="58"/>
      <c r="K148" s="58" t="s">
        <v>5502</v>
      </c>
      <c r="L148" s="58"/>
      <c r="M148" s="58"/>
      <c r="N148" s="58"/>
      <c r="O148" s="58"/>
      <c r="P148" s="61">
        <f t="shared" si="2"/>
        <v>6</v>
      </c>
      <c r="Q148" s="62" t="s">
        <v>5920</v>
      </c>
      <c r="R148" s="73"/>
      <c r="S148" s="74"/>
    </row>
    <row r="149" spans="1:19" s="63" customFormat="1" ht="45" x14ac:dyDescent="0.25">
      <c r="A149" s="71">
        <v>141</v>
      </c>
      <c r="B149" s="72" t="s">
        <v>5921</v>
      </c>
      <c r="C149" s="56" t="s">
        <v>5922</v>
      </c>
      <c r="D149" s="57"/>
      <c r="E149" s="58">
        <v>1</v>
      </c>
      <c r="F149" s="58">
        <v>5</v>
      </c>
      <c r="G149" s="59">
        <v>34277</v>
      </c>
      <c r="H149" s="59">
        <v>34319</v>
      </c>
      <c r="I149" s="60">
        <v>1</v>
      </c>
      <c r="J149" s="58"/>
      <c r="K149" s="58" t="s">
        <v>5502</v>
      </c>
      <c r="L149" s="58"/>
      <c r="M149" s="58"/>
      <c r="N149" s="58"/>
      <c r="O149" s="58"/>
      <c r="P149" s="61">
        <f t="shared" si="2"/>
        <v>5</v>
      </c>
      <c r="Q149" s="62" t="s">
        <v>5923</v>
      </c>
      <c r="R149" s="73"/>
      <c r="S149" s="74"/>
    </row>
    <row r="150" spans="1:19" s="63" customFormat="1" ht="45" x14ac:dyDescent="0.25">
      <c r="A150" s="71">
        <v>142</v>
      </c>
      <c r="B150" s="72" t="s">
        <v>5924</v>
      </c>
      <c r="C150" s="56" t="s">
        <v>5925</v>
      </c>
      <c r="D150" s="57"/>
      <c r="E150" s="58">
        <v>1</v>
      </c>
      <c r="F150" s="58">
        <v>6</v>
      </c>
      <c r="G150" s="59">
        <v>34277</v>
      </c>
      <c r="H150" s="59">
        <v>34319</v>
      </c>
      <c r="I150" s="60">
        <v>1</v>
      </c>
      <c r="J150" s="58"/>
      <c r="K150" s="58" t="s">
        <v>5502</v>
      </c>
      <c r="L150" s="58"/>
      <c r="M150" s="58"/>
      <c r="N150" s="58"/>
      <c r="O150" s="58"/>
      <c r="P150" s="61">
        <f t="shared" si="2"/>
        <v>6</v>
      </c>
      <c r="Q150" s="62" t="s">
        <v>5926</v>
      </c>
      <c r="R150" s="73"/>
      <c r="S150" s="74"/>
    </row>
    <row r="151" spans="1:19" s="63" customFormat="1" ht="56.25" x14ac:dyDescent="0.25">
      <c r="A151" s="71">
        <v>143</v>
      </c>
      <c r="B151" s="72" t="s">
        <v>5927</v>
      </c>
      <c r="C151" s="56" t="s">
        <v>5928</v>
      </c>
      <c r="D151" s="57"/>
      <c r="E151" s="58">
        <v>1</v>
      </c>
      <c r="F151" s="58">
        <v>6</v>
      </c>
      <c r="G151" s="59">
        <v>34277</v>
      </c>
      <c r="H151" s="59">
        <v>34319</v>
      </c>
      <c r="I151" s="60">
        <v>1</v>
      </c>
      <c r="J151" s="58"/>
      <c r="K151" s="58" t="s">
        <v>5502</v>
      </c>
      <c r="L151" s="58"/>
      <c r="M151" s="58"/>
      <c r="N151" s="58"/>
      <c r="O151" s="58"/>
      <c r="P151" s="61">
        <f t="shared" si="2"/>
        <v>6</v>
      </c>
      <c r="Q151" s="62" t="s">
        <v>5929</v>
      </c>
      <c r="R151" s="73"/>
      <c r="S151" s="74"/>
    </row>
    <row r="152" spans="1:19" s="63" customFormat="1" ht="56.25" x14ac:dyDescent="0.25">
      <c r="A152" s="71">
        <v>144</v>
      </c>
      <c r="B152" s="72" t="s">
        <v>5930</v>
      </c>
      <c r="C152" s="56" t="s">
        <v>5931</v>
      </c>
      <c r="D152" s="57"/>
      <c r="E152" s="58">
        <v>1</v>
      </c>
      <c r="F152" s="58">
        <v>5</v>
      </c>
      <c r="G152" s="59">
        <v>34277</v>
      </c>
      <c r="H152" s="59">
        <v>34319</v>
      </c>
      <c r="I152" s="60">
        <v>1</v>
      </c>
      <c r="J152" s="58"/>
      <c r="K152" s="58" t="s">
        <v>5502</v>
      </c>
      <c r="L152" s="58"/>
      <c r="M152" s="58"/>
      <c r="N152" s="58"/>
      <c r="O152" s="58"/>
      <c r="P152" s="61">
        <f t="shared" si="2"/>
        <v>5</v>
      </c>
      <c r="Q152" s="62" t="s">
        <v>5932</v>
      </c>
      <c r="R152" s="73"/>
      <c r="S152" s="74"/>
    </row>
    <row r="153" spans="1:19" s="63" customFormat="1" ht="56.25" x14ac:dyDescent="0.25">
      <c r="A153" s="71">
        <v>145</v>
      </c>
      <c r="B153" s="72" t="s">
        <v>5933</v>
      </c>
      <c r="C153" s="56" t="s">
        <v>5934</v>
      </c>
      <c r="D153" s="57"/>
      <c r="E153" s="58">
        <v>1</v>
      </c>
      <c r="F153" s="58">
        <v>5</v>
      </c>
      <c r="G153" s="59">
        <v>34277</v>
      </c>
      <c r="H153" s="59">
        <v>34319</v>
      </c>
      <c r="I153" s="60">
        <v>1</v>
      </c>
      <c r="J153" s="58"/>
      <c r="K153" s="58" t="s">
        <v>5502</v>
      </c>
      <c r="L153" s="58"/>
      <c r="M153" s="58"/>
      <c r="N153" s="58"/>
      <c r="O153" s="58"/>
      <c r="P153" s="61">
        <f t="shared" si="2"/>
        <v>5</v>
      </c>
      <c r="Q153" s="62" t="s">
        <v>5935</v>
      </c>
      <c r="R153" s="73"/>
      <c r="S153" s="74"/>
    </row>
    <row r="154" spans="1:19" s="63" customFormat="1" ht="45" x14ac:dyDescent="0.25">
      <c r="A154" s="71">
        <v>146</v>
      </c>
      <c r="B154" s="72" t="s">
        <v>5936</v>
      </c>
      <c r="C154" s="56" t="s">
        <v>5937</v>
      </c>
      <c r="D154" s="57"/>
      <c r="E154" s="58">
        <v>1</v>
      </c>
      <c r="F154" s="58">
        <v>5</v>
      </c>
      <c r="G154" s="59">
        <v>34277</v>
      </c>
      <c r="H154" s="59">
        <v>34319</v>
      </c>
      <c r="I154" s="60">
        <v>1</v>
      </c>
      <c r="J154" s="58"/>
      <c r="K154" s="58" t="s">
        <v>5502</v>
      </c>
      <c r="L154" s="58"/>
      <c r="M154" s="58"/>
      <c r="N154" s="58"/>
      <c r="O154" s="58"/>
      <c r="P154" s="61">
        <f t="shared" si="2"/>
        <v>5</v>
      </c>
      <c r="Q154" s="62" t="s">
        <v>5938</v>
      </c>
      <c r="R154" s="73"/>
      <c r="S154" s="74"/>
    </row>
    <row r="155" spans="1:19" s="63" customFormat="1" ht="56.25" x14ac:dyDescent="0.25">
      <c r="A155" s="71">
        <v>147</v>
      </c>
      <c r="B155" s="72" t="s">
        <v>5939</v>
      </c>
      <c r="C155" s="56" t="s">
        <v>5940</v>
      </c>
      <c r="D155" s="57"/>
      <c r="E155" s="58">
        <v>1</v>
      </c>
      <c r="F155" s="58">
        <v>6</v>
      </c>
      <c r="G155" s="59">
        <v>34277</v>
      </c>
      <c r="H155" s="59">
        <v>34319</v>
      </c>
      <c r="I155" s="60">
        <v>1</v>
      </c>
      <c r="J155" s="58"/>
      <c r="K155" s="58" t="s">
        <v>5502</v>
      </c>
      <c r="L155" s="58"/>
      <c r="M155" s="58"/>
      <c r="N155" s="58"/>
      <c r="O155" s="58"/>
      <c r="P155" s="61">
        <f t="shared" si="2"/>
        <v>6</v>
      </c>
      <c r="Q155" s="62" t="s">
        <v>5941</v>
      </c>
      <c r="R155" s="73"/>
      <c r="S155" s="74"/>
    </row>
    <row r="156" spans="1:19" s="63" customFormat="1" ht="56.25" x14ac:dyDescent="0.25">
      <c r="A156" s="71">
        <v>148</v>
      </c>
      <c r="B156" s="72" t="s">
        <v>5942</v>
      </c>
      <c r="C156" s="56" t="s">
        <v>5943</v>
      </c>
      <c r="D156" s="57"/>
      <c r="E156" s="58">
        <v>1</v>
      </c>
      <c r="F156" s="58">
        <v>5</v>
      </c>
      <c r="G156" s="59">
        <v>34277</v>
      </c>
      <c r="H156" s="59">
        <v>34319</v>
      </c>
      <c r="I156" s="60">
        <v>1</v>
      </c>
      <c r="J156" s="58"/>
      <c r="K156" s="58" t="s">
        <v>5502</v>
      </c>
      <c r="L156" s="58"/>
      <c r="M156" s="58"/>
      <c r="N156" s="58"/>
      <c r="O156" s="58"/>
      <c r="P156" s="61">
        <f t="shared" si="2"/>
        <v>5</v>
      </c>
      <c r="Q156" s="62" t="s">
        <v>5944</v>
      </c>
      <c r="R156" s="73"/>
      <c r="S156" s="74"/>
    </row>
    <row r="157" spans="1:19" s="63" customFormat="1" ht="45" x14ac:dyDescent="0.25">
      <c r="A157" s="71">
        <v>149</v>
      </c>
      <c r="B157" s="72" t="s">
        <v>5945</v>
      </c>
      <c r="C157" s="56" t="s">
        <v>5946</v>
      </c>
      <c r="D157" s="57"/>
      <c r="E157" s="58">
        <v>1</v>
      </c>
      <c r="F157" s="58">
        <v>6</v>
      </c>
      <c r="G157" s="59">
        <v>34277</v>
      </c>
      <c r="H157" s="59">
        <v>34319</v>
      </c>
      <c r="I157" s="60">
        <v>1</v>
      </c>
      <c r="J157" s="58"/>
      <c r="K157" s="58" t="s">
        <v>5502</v>
      </c>
      <c r="L157" s="58"/>
      <c r="M157" s="58"/>
      <c r="N157" s="58"/>
      <c r="O157" s="58"/>
      <c r="P157" s="61">
        <f t="shared" si="2"/>
        <v>6</v>
      </c>
      <c r="Q157" s="62" t="s">
        <v>5947</v>
      </c>
      <c r="R157" s="73"/>
      <c r="S157" s="74"/>
    </row>
    <row r="158" spans="1:19" s="63" customFormat="1" ht="56.25" x14ac:dyDescent="0.25">
      <c r="A158" s="71">
        <v>150</v>
      </c>
      <c r="B158" s="72" t="s">
        <v>5948</v>
      </c>
      <c r="C158" s="56" t="s">
        <v>5949</v>
      </c>
      <c r="D158" s="57"/>
      <c r="E158" s="58">
        <v>1</v>
      </c>
      <c r="F158" s="58">
        <v>5</v>
      </c>
      <c r="G158" s="59">
        <v>34277</v>
      </c>
      <c r="H158" s="59">
        <v>34319</v>
      </c>
      <c r="I158" s="60">
        <v>1</v>
      </c>
      <c r="J158" s="58"/>
      <c r="K158" s="58" t="s">
        <v>5502</v>
      </c>
      <c r="L158" s="58"/>
      <c r="M158" s="58"/>
      <c r="N158" s="58"/>
      <c r="O158" s="58"/>
      <c r="P158" s="61">
        <f t="shared" si="2"/>
        <v>5</v>
      </c>
      <c r="Q158" s="62" t="s">
        <v>5950</v>
      </c>
      <c r="R158" s="73"/>
      <c r="S158" s="74"/>
    </row>
    <row r="159" spans="1:19" s="63" customFormat="1" ht="56.25" x14ac:dyDescent="0.25">
      <c r="A159" s="71">
        <v>151</v>
      </c>
      <c r="B159" s="72" t="s">
        <v>5951</v>
      </c>
      <c r="C159" s="56" t="s">
        <v>5952</v>
      </c>
      <c r="D159" s="57"/>
      <c r="E159" s="58">
        <v>1</v>
      </c>
      <c r="F159" s="58">
        <v>5</v>
      </c>
      <c r="G159" s="59">
        <v>34318</v>
      </c>
      <c r="H159" s="59">
        <v>34410</v>
      </c>
      <c r="I159" s="60">
        <v>1</v>
      </c>
      <c r="J159" s="58"/>
      <c r="K159" s="58" t="s">
        <v>5502</v>
      </c>
      <c r="L159" s="58"/>
      <c r="M159" s="58"/>
      <c r="N159" s="58"/>
      <c r="O159" s="58"/>
      <c r="P159" s="61">
        <f t="shared" si="2"/>
        <v>5</v>
      </c>
      <c r="Q159" s="62" t="s">
        <v>5953</v>
      </c>
      <c r="R159" s="73"/>
      <c r="S159" s="74"/>
    </row>
    <row r="160" spans="1:19" s="63" customFormat="1" ht="56.25" x14ac:dyDescent="0.25">
      <c r="A160" s="71">
        <v>152</v>
      </c>
      <c r="B160" s="72" t="s">
        <v>5954</v>
      </c>
      <c r="C160" s="56" t="s">
        <v>5955</v>
      </c>
      <c r="D160" s="57"/>
      <c r="E160" s="58">
        <v>1</v>
      </c>
      <c r="F160" s="58">
        <v>5</v>
      </c>
      <c r="G160" s="59">
        <v>34365</v>
      </c>
      <c r="H160" s="59">
        <v>34410</v>
      </c>
      <c r="I160" s="60">
        <v>1</v>
      </c>
      <c r="J160" s="58"/>
      <c r="K160" s="58" t="s">
        <v>5502</v>
      </c>
      <c r="L160" s="58"/>
      <c r="M160" s="58"/>
      <c r="N160" s="58"/>
      <c r="O160" s="58"/>
      <c r="P160" s="61">
        <f t="shared" si="2"/>
        <v>5</v>
      </c>
      <c r="Q160" s="62" t="s">
        <v>5956</v>
      </c>
      <c r="R160" s="73"/>
      <c r="S160" s="74"/>
    </row>
    <row r="161" spans="1:19" s="63" customFormat="1" ht="56.25" x14ac:dyDescent="0.25">
      <c r="A161" s="71">
        <v>153</v>
      </c>
      <c r="B161" s="72" t="s">
        <v>5957</v>
      </c>
      <c r="C161" s="56" t="s">
        <v>5958</v>
      </c>
      <c r="D161" s="57"/>
      <c r="E161" s="58">
        <v>1</v>
      </c>
      <c r="F161" s="58">
        <v>7</v>
      </c>
      <c r="G161" s="59">
        <v>34365</v>
      </c>
      <c r="H161" s="59">
        <v>34410</v>
      </c>
      <c r="I161" s="60">
        <v>1</v>
      </c>
      <c r="J161" s="58"/>
      <c r="K161" s="58" t="s">
        <v>5502</v>
      </c>
      <c r="L161" s="58"/>
      <c r="M161" s="58"/>
      <c r="N161" s="58"/>
      <c r="O161" s="58"/>
      <c r="P161" s="61">
        <f t="shared" si="2"/>
        <v>7</v>
      </c>
      <c r="Q161" s="62" t="s">
        <v>5959</v>
      </c>
      <c r="R161" s="73"/>
      <c r="S161" s="74"/>
    </row>
    <row r="162" spans="1:19" s="63" customFormat="1" ht="56.25" x14ac:dyDescent="0.25">
      <c r="A162" s="71">
        <v>154</v>
      </c>
      <c r="B162" s="72" t="s">
        <v>5960</v>
      </c>
      <c r="C162" s="56" t="s">
        <v>5961</v>
      </c>
      <c r="D162" s="57"/>
      <c r="E162" s="58">
        <v>1</v>
      </c>
      <c r="F162" s="58">
        <v>5</v>
      </c>
      <c r="G162" s="59">
        <v>34365</v>
      </c>
      <c r="H162" s="59">
        <v>34410</v>
      </c>
      <c r="I162" s="60">
        <v>1</v>
      </c>
      <c r="J162" s="58"/>
      <c r="K162" s="58" t="s">
        <v>5502</v>
      </c>
      <c r="L162" s="58"/>
      <c r="M162" s="58"/>
      <c r="N162" s="58"/>
      <c r="O162" s="58"/>
      <c r="P162" s="61">
        <f t="shared" si="2"/>
        <v>5</v>
      </c>
      <c r="Q162" s="62" t="s">
        <v>5962</v>
      </c>
      <c r="R162" s="73"/>
      <c r="S162" s="74"/>
    </row>
    <row r="163" spans="1:19" s="63" customFormat="1" ht="56.25" x14ac:dyDescent="0.25">
      <c r="A163" s="71">
        <v>155</v>
      </c>
      <c r="B163" s="72" t="s">
        <v>5963</v>
      </c>
      <c r="C163" s="56" t="s">
        <v>5964</v>
      </c>
      <c r="D163" s="57"/>
      <c r="E163" s="58">
        <v>1</v>
      </c>
      <c r="F163" s="58">
        <v>6</v>
      </c>
      <c r="G163" s="59">
        <v>34407</v>
      </c>
      <c r="H163" s="59">
        <v>34445</v>
      </c>
      <c r="I163" s="60">
        <v>1</v>
      </c>
      <c r="J163" s="58"/>
      <c r="K163" s="58" t="s">
        <v>5502</v>
      </c>
      <c r="L163" s="58"/>
      <c r="M163" s="58"/>
      <c r="N163" s="58"/>
      <c r="O163" s="58"/>
      <c r="P163" s="61">
        <f t="shared" si="2"/>
        <v>6</v>
      </c>
      <c r="Q163" s="62" t="s">
        <v>5965</v>
      </c>
      <c r="R163" s="73"/>
      <c r="S163" s="74"/>
    </row>
    <row r="164" spans="1:19" s="63" customFormat="1" ht="56.25" x14ac:dyDescent="0.25">
      <c r="A164" s="71">
        <v>156</v>
      </c>
      <c r="B164" s="72" t="s">
        <v>5966</v>
      </c>
      <c r="C164" s="56" t="s">
        <v>5967</v>
      </c>
      <c r="D164" s="57"/>
      <c r="E164" s="58">
        <v>1</v>
      </c>
      <c r="F164" s="58">
        <v>5</v>
      </c>
      <c r="G164" s="59">
        <v>34407</v>
      </c>
      <c r="H164" s="59">
        <v>34445</v>
      </c>
      <c r="I164" s="60">
        <v>1</v>
      </c>
      <c r="J164" s="58"/>
      <c r="K164" s="58" t="s">
        <v>5502</v>
      </c>
      <c r="L164" s="58"/>
      <c r="M164" s="58"/>
      <c r="N164" s="58"/>
      <c r="O164" s="58"/>
      <c r="P164" s="61">
        <f t="shared" si="2"/>
        <v>5</v>
      </c>
      <c r="Q164" s="62" t="s">
        <v>5968</v>
      </c>
      <c r="R164" s="73"/>
      <c r="S164" s="74"/>
    </row>
    <row r="165" spans="1:19" s="63" customFormat="1" ht="45" x14ac:dyDescent="0.25">
      <c r="A165" s="71">
        <v>157</v>
      </c>
      <c r="B165" s="72" t="s">
        <v>5969</v>
      </c>
      <c r="C165" s="56" t="s">
        <v>5970</v>
      </c>
      <c r="D165" s="57"/>
      <c r="E165" s="58">
        <v>1</v>
      </c>
      <c r="F165" s="58">
        <v>6</v>
      </c>
      <c r="G165" s="59">
        <v>34407</v>
      </c>
      <c r="H165" s="59">
        <v>34445</v>
      </c>
      <c r="I165" s="60">
        <v>1</v>
      </c>
      <c r="J165" s="58"/>
      <c r="K165" s="58" t="s">
        <v>5502</v>
      </c>
      <c r="L165" s="58"/>
      <c r="M165" s="58"/>
      <c r="N165" s="58"/>
      <c r="O165" s="58"/>
      <c r="P165" s="61">
        <f t="shared" si="2"/>
        <v>6</v>
      </c>
      <c r="Q165" s="62" t="s">
        <v>5971</v>
      </c>
      <c r="R165" s="73"/>
      <c r="S165" s="74"/>
    </row>
    <row r="166" spans="1:19" s="63" customFormat="1" ht="45" x14ac:dyDescent="0.25">
      <c r="A166" s="71">
        <v>158</v>
      </c>
      <c r="B166" s="72" t="s">
        <v>5972</v>
      </c>
      <c r="C166" s="56" t="s">
        <v>5973</v>
      </c>
      <c r="D166" s="57"/>
      <c r="E166" s="58">
        <v>1</v>
      </c>
      <c r="F166" s="58">
        <v>4</v>
      </c>
      <c r="G166" s="59">
        <v>34407</v>
      </c>
      <c r="H166" s="59">
        <v>34445</v>
      </c>
      <c r="I166" s="60">
        <v>1</v>
      </c>
      <c r="J166" s="58"/>
      <c r="K166" s="58" t="s">
        <v>5502</v>
      </c>
      <c r="L166" s="58"/>
      <c r="M166" s="58"/>
      <c r="N166" s="58"/>
      <c r="O166" s="58"/>
      <c r="P166" s="61">
        <f t="shared" si="2"/>
        <v>4</v>
      </c>
      <c r="Q166" s="62" t="s">
        <v>5974</v>
      </c>
      <c r="R166" s="73"/>
      <c r="S166" s="74"/>
    </row>
    <row r="167" spans="1:19" s="63" customFormat="1" ht="56.25" x14ac:dyDescent="0.25">
      <c r="A167" s="71">
        <v>159</v>
      </c>
      <c r="B167" s="72" t="s">
        <v>5975</v>
      </c>
      <c r="C167" s="56" t="s">
        <v>5976</v>
      </c>
      <c r="D167" s="57"/>
      <c r="E167" s="58">
        <v>1</v>
      </c>
      <c r="F167" s="58">
        <v>5</v>
      </c>
      <c r="G167" s="59">
        <v>34407</v>
      </c>
      <c r="H167" s="59">
        <v>34445</v>
      </c>
      <c r="I167" s="60">
        <v>1</v>
      </c>
      <c r="J167" s="58"/>
      <c r="K167" s="58" t="s">
        <v>5502</v>
      </c>
      <c r="L167" s="58"/>
      <c r="M167" s="58"/>
      <c r="N167" s="58"/>
      <c r="O167" s="58"/>
      <c r="P167" s="61">
        <f t="shared" si="2"/>
        <v>5</v>
      </c>
      <c r="Q167" s="62" t="s">
        <v>5977</v>
      </c>
      <c r="R167" s="73"/>
      <c r="S167" s="74"/>
    </row>
    <row r="168" spans="1:19" s="63" customFormat="1" ht="45" x14ac:dyDescent="0.25">
      <c r="A168" s="71">
        <v>160</v>
      </c>
      <c r="B168" s="72" t="s">
        <v>5978</v>
      </c>
      <c r="C168" s="56" t="s">
        <v>5979</v>
      </c>
      <c r="D168" s="57"/>
      <c r="E168" s="58">
        <v>1</v>
      </c>
      <c r="F168" s="58">
        <v>5</v>
      </c>
      <c r="G168" s="59">
        <v>34407</v>
      </c>
      <c r="H168" s="59">
        <v>34445</v>
      </c>
      <c r="I168" s="60">
        <v>1</v>
      </c>
      <c r="J168" s="58"/>
      <c r="K168" s="58" t="s">
        <v>5502</v>
      </c>
      <c r="L168" s="58"/>
      <c r="M168" s="58"/>
      <c r="N168" s="58"/>
      <c r="O168" s="58"/>
      <c r="P168" s="61">
        <f t="shared" si="2"/>
        <v>5</v>
      </c>
      <c r="Q168" s="62" t="s">
        <v>5980</v>
      </c>
      <c r="R168" s="73"/>
      <c r="S168" s="74"/>
    </row>
    <row r="169" spans="1:19" s="63" customFormat="1" ht="56.25" x14ac:dyDescent="0.25">
      <c r="A169" s="71">
        <v>161</v>
      </c>
      <c r="B169" s="72" t="s">
        <v>5981</v>
      </c>
      <c r="C169" s="56" t="s">
        <v>5982</v>
      </c>
      <c r="D169" s="57"/>
      <c r="E169" s="58">
        <v>1</v>
      </c>
      <c r="F169" s="58">
        <v>6</v>
      </c>
      <c r="G169" s="59">
        <v>34407</v>
      </c>
      <c r="H169" s="59">
        <v>34445</v>
      </c>
      <c r="I169" s="60">
        <v>1</v>
      </c>
      <c r="J169" s="58"/>
      <c r="K169" s="58" t="s">
        <v>5502</v>
      </c>
      <c r="L169" s="58"/>
      <c r="M169" s="58"/>
      <c r="N169" s="58"/>
      <c r="O169" s="58"/>
      <c r="P169" s="61">
        <f t="shared" si="2"/>
        <v>6</v>
      </c>
      <c r="Q169" s="62" t="s">
        <v>5983</v>
      </c>
      <c r="R169" s="73"/>
      <c r="S169" s="74"/>
    </row>
    <row r="170" spans="1:19" s="63" customFormat="1" ht="45" x14ac:dyDescent="0.25">
      <c r="A170" s="71">
        <v>162</v>
      </c>
      <c r="B170" s="72" t="s">
        <v>5984</v>
      </c>
      <c r="C170" s="56" t="s">
        <v>5985</v>
      </c>
      <c r="D170" s="57"/>
      <c r="E170" s="58">
        <v>1</v>
      </c>
      <c r="F170" s="58">
        <v>5</v>
      </c>
      <c r="G170" s="59">
        <v>34435</v>
      </c>
      <c r="H170" s="59">
        <v>34473</v>
      </c>
      <c r="I170" s="60">
        <v>1</v>
      </c>
      <c r="J170" s="58"/>
      <c r="K170" s="58" t="s">
        <v>5502</v>
      </c>
      <c r="L170" s="58"/>
      <c r="M170" s="58"/>
      <c r="N170" s="58"/>
      <c r="O170" s="58"/>
      <c r="P170" s="61">
        <f t="shared" si="2"/>
        <v>5</v>
      </c>
      <c r="Q170" s="62" t="s">
        <v>5986</v>
      </c>
      <c r="R170" s="73"/>
      <c r="S170" s="74"/>
    </row>
    <row r="171" spans="1:19" s="63" customFormat="1" ht="45" x14ac:dyDescent="0.25">
      <c r="A171" s="71">
        <v>163</v>
      </c>
      <c r="B171" s="72" t="s">
        <v>5987</v>
      </c>
      <c r="C171" s="56" t="s">
        <v>5988</v>
      </c>
      <c r="D171" s="57"/>
      <c r="E171" s="58">
        <v>1</v>
      </c>
      <c r="F171" s="58">
        <v>5</v>
      </c>
      <c r="G171" s="59">
        <v>34435</v>
      </c>
      <c r="H171" s="59">
        <v>34473</v>
      </c>
      <c r="I171" s="60">
        <v>1</v>
      </c>
      <c r="J171" s="58"/>
      <c r="K171" s="58" t="s">
        <v>5502</v>
      </c>
      <c r="L171" s="58"/>
      <c r="M171" s="58"/>
      <c r="N171" s="58"/>
      <c r="O171" s="58"/>
      <c r="P171" s="61">
        <f t="shared" si="2"/>
        <v>5</v>
      </c>
      <c r="Q171" s="62" t="s">
        <v>5989</v>
      </c>
      <c r="R171" s="73"/>
      <c r="S171" s="74"/>
    </row>
    <row r="172" spans="1:19" s="63" customFormat="1" ht="45" x14ac:dyDescent="0.25">
      <c r="A172" s="71">
        <v>164</v>
      </c>
      <c r="B172" s="72" t="s">
        <v>5990</v>
      </c>
      <c r="C172" s="56" t="s">
        <v>5991</v>
      </c>
      <c r="D172" s="57"/>
      <c r="E172" s="58">
        <v>1</v>
      </c>
      <c r="F172" s="58">
        <v>5</v>
      </c>
      <c r="G172" s="59">
        <v>34435</v>
      </c>
      <c r="H172" s="59">
        <v>34473</v>
      </c>
      <c r="I172" s="60">
        <v>1</v>
      </c>
      <c r="J172" s="58"/>
      <c r="K172" s="58" t="s">
        <v>5502</v>
      </c>
      <c r="L172" s="58"/>
      <c r="M172" s="58"/>
      <c r="N172" s="58"/>
      <c r="O172" s="58"/>
      <c r="P172" s="61">
        <f t="shared" si="2"/>
        <v>5</v>
      </c>
      <c r="Q172" s="62" t="s">
        <v>5992</v>
      </c>
      <c r="R172" s="73"/>
      <c r="S172" s="74"/>
    </row>
    <row r="173" spans="1:19" s="63" customFormat="1" ht="33.75" x14ac:dyDescent="0.25">
      <c r="A173" s="71">
        <v>165</v>
      </c>
      <c r="B173" s="72" t="s">
        <v>5993</v>
      </c>
      <c r="C173" s="56" t="s">
        <v>5994</v>
      </c>
      <c r="D173" s="57"/>
      <c r="E173" s="58">
        <v>1</v>
      </c>
      <c r="F173" s="58">
        <v>4</v>
      </c>
      <c r="G173" s="59">
        <v>34435</v>
      </c>
      <c r="H173" s="59">
        <v>34473</v>
      </c>
      <c r="I173" s="60">
        <v>1</v>
      </c>
      <c r="J173" s="58"/>
      <c r="K173" s="58" t="s">
        <v>5502</v>
      </c>
      <c r="L173" s="58"/>
      <c r="M173" s="58"/>
      <c r="N173" s="58"/>
      <c r="O173" s="58"/>
      <c r="P173" s="61">
        <f t="shared" si="2"/>
        <v>4</v>
      </c>
      <c r="Q173" s="62" t="s">
        <v>5995</v>
      </c>
      <c r="R173" s="73"/>
      <c r="S173" s="74"/>
    </row>
    <row r="174" spans="1:19" s="63" customFormat="1" ht="56.25" x14ac:dyDescent="0.25">
      <c r="A174" s="71">
        <v>166</v>
      </c>
      <c r="B174" s="72" t="s">
        <v>5996</v>
      </c>
      <c r="C174" s="56" t="s">
        <v>5997</v>
      </c>
      <c r="D174" s="57"/>
      <c r="E174" s="58">
        <v>1</v>
      </c>
      <c r="F174" s="58">
        <v>5</v>
      </c>
      <c r="G174" s="59">
        <v>34435</v>
      </c>
      <c r="H174" s="59">
        <v>34473</v>
      </c>
      <c r="I174" s="60">
        <v>1</v>
      </c>
      <c r="J174" s="58"/>
      <c r="K174" s="58" t="s">
        <v>5502</v>
      </c>
      <c r="L174" s="58"/>
      <c r="M174" s="58"/>
      <c r="N174" s="58"/>
      <c r="O174" s="58"/>
      <c r="P174" s="61">
        <f t="shared" si="2"/>
        <v>5</v>
      </c>
      <c r="Q174" s="62" t="s">
        <v>5998</v>
      </c>
      <c r="R174" s="73"/>
      <c r="S174" s="74"/>
    </row>
    <row r="175" spans="1:19" s="63" customFormat="1" ht="45" x14ac:dyDescent="0.25">
      <c r="A175" s="71">
        <v>167</v>
      </c>
      <c r="B175" s="72" t="s">
        <v>5999</v>
      </c>
      <c r="C175" s="56" t="s">
        <v>6000</v>
      </c>
      <c r="D175" s="57"/>
      <c r="E175" s="58">
        <v>1</v>
      </c>
      <c r="F175" s="58">
        <v>5</v>
      </c>
      <c r="G175" s="59">
        <v>34486</v>
      </c>
      <c r="H175" s="59">
        <v>34536</v>
      </c>
      <c r="I175" s="60">
        <v>1</v>
      </c>
      <c r="J175" s="58"/>
      <c r="K175" s="58" t="s">
        <v>5502</v>
      </c>
      <c r="L175" s="58"/>
      <c r="M175" s="58"/>
      <c r="N175" s="58"/>
      <c r="O175" s="58"/>
      <c r="P175" s="61">
        <f t="shared" si="2"/>
        <v>5</v>
      </c>
      <c r="Q175" s="62" t="s">
        <v>6001</v>
      </c>
      <c r="R175" s="73"/>
      <c r="S175" s="74"/>
    </row>
    <row r="176" spans="1:19" s="63" customFormat="1" ht="45" x14ac:dyDescent="0.25">
      <c r="A176" s="71">
        <v>168</v>
      </c>
      <c r="B176" s="72" t="s">
        <v>6002</v>
      </c>
      <c r="C176" s="56" t="s">
        <v>6003</v>
      </c>
      <c r="D176" s="57"/>
      <c r="E176" s="58">
        <v>1</v>
      </c>
      <c r="F176" s="58">
        <v>5</v>
      </c>
      <c r="G176" s="59">
        <v>34486</v>
      </c>
      <c r="H176" s="59">
        <v>34536</v>
      </c>
      <c r="I176" s="60">
        <v>1</v>
      </c>
      <c r="J176" s="58"/>
      <c r="K176" s="58" t="s">
        <v>5502</v>
      </c>
      <c r="L176" s="58"/>
      <c r="M176" s="58"/>
      <c r="N176" s="58"/>
      <c r="O176" s="58"/>
      <c r="P176" s="61">
        <f t="shared" si="2"/>
        <v>5</v>
      </c>
      <c r="Q176" s="62" t="s">
        <v>6004</v>
      </c>
      <c r="R176" s="73"/>
      <c r="S176" s="74"/>
    </row>
    <row r="177" spans="1:19" s="63" customFormat="1" ht="45" x14ac:dyDescent="0.25">
      <c r="A177" s="71">
        <v>169</v>
      </c>
      <c r="B177" s="72" t="s">
        <v>6005</v>
      </c>
      <c r="C177" s="56" t="s">
        <v>6006</v>
      </c>
      <c r="D177" s="57"/>
      <c r="E177" s="58">
        <v>1</v>
      </c>
      <c r="F177" s="58">
        <v>5</v>
      </c>
      <c r="G177" s="59">
        <v>34486</v>
      </c>
      <c r="H177" s="59">
        <v>34536</v>
      </c>
      <c r="I177" s="60">
        <v>1</v>
      </c>
      <c r="J177" s="58"/>
      <c r="K177" s="58" t="s">
        <v>5502</v>
      </c>
      <c r="L177" s="58"/>
      <c r="M177" s="58"/>
      <c r="N177" s="58"/>
      <c r="O177" s="58"/>
      <c r="P177" s="61">
        <f t="shared" si="2"/>
        <v>5</v>
      </c>
      <c r="Q177" s="62" t="s">
        <v>6007</v>
      </c>
      <c r="R177" s="73"/>
      <c r="S177" s="74"/>
    </row>
    <row r="178" spans="1:19" s="63" customFormat="1" ht="45" x14ac:dyDescent="0.25">
      <c r="A178" s="71">
        <v>170</v>
      </c>
      <c r="B178" s="72" t="s">
        <v>6008</v>
      </c>
      <c r="C178" s="56" t="s">
        <v>6009</v>
      </c>
      <c r="D178" s="57"/>
      <c r="E178" s="58">
        <v>1</v>
      </c>
      <c r="F178" s="58">
        <v>5</v>
      </c>
      <c r="G178" s="59">
        <v>34486</v>
      </c>
      <c r="H178" s="59">
        <v>34536</v>
      </c>
      <c r="I178" s="60">
        <v>1</v>
      </c>
      <c r="J178" s="58"/>
      <c r="K178" s="58" t="s">
        <v>5502</v>
      </c>
      <c r="L178" s="58"/>
      <c r="M178" s="58"/>
      <c r="N178" s="58"/>
      <c r="O178" s="58"/>
      <c r="P178" s="61">
        <f t="shared" si="2"/>
        <v>5</v>
      </c>
      <c r="Q178" s="62" t="s">
        <v>6010</v>
      </c>
      <c r="R178" s="73"/>
      <c r="S178" s="74"/>
    </row>
    <row r="179" spans="1:19" s="63" customFormat="1" ht="45" x14ac:dyDescent="0.25">
      <c r="A179" s="71">
        <v>171</v>
      </c>
      <c r="B179" s="72" t="s">
        <v>6011</v>
      </c>
      <c r="C179" s="56" t="s">
        <v>6012</v>
      </c>
      <c r="D179" s="57"/>
      <c r="E179" s="58">
        <v>1</v>
      </c>
      <c r="F179" s="58">
        <v>5</v>
      </c>
      <c r="G179" s="59">
        <v>34486</v>
      </c>
      <c r="H179" s="59">
        <v>34536</v>
      </c>
      <c r="I179" s="60">
        <v>1</v>
      </c>
      <c r="J179" s="58"/>
      <c r="K179" s="58" t="s">
        <v>5502</v>
      </c>
      <c r="L179" s="58"/>
      <c r="M179" s="58"/>
      <c r="N179" s="58"/>
      <c r="O179" s="58"/>
      <c r="P179" s="61">
        <f t="shared" si="2"/>
        <v>5</v>
      </c>
      <c r="Q179" s="62" t="s">
        <v>6013</v>
      </c>
      <c r="R179" s="73"/>
      <c r="S179" s="74"/>
    </row>
    <row r="180" spans="1:19" s="63" customFormat="1" ht="33.75" x14ac:dyDescent="0.25">
      <c r="A180" s="71">
        <v>172</v>
      </c>
      <c r="B180" s="72" t="s">
        <v>6014</v>
      </c>
      <c r="C180" s="56" t="s">
        <v>6015</v>
      </c>
      <c r="D180" s="57"/>
      <c r="E180" s="58">
        <v>1</v>
      </c>
      <c r="F180" s="58">
        <v>5</v>
      </c>
      <c r="G180" s="59">
        <v>34486</v>
      </c>
      <c r="H180" s="59">
        <v>34536</v>
      </c>
      <c r="I180" s="60">
        <v>1</v>
      </c>
      <c r="J180" s="58"/>
      <c r="K180" s="58" t="s">
        <v>5502</v>
      </c>
      <c r="L180" s="58"/>
      <c r="M180" s="58"/>
      <c r="N180" s="58"/>
      <c r="O180" s="58"/>
      <c r="P180" s="61">
        <f t="shared" si="2"/>
        <v>5</v>
      </c>
      <c r="Q180" s="62" t="s">
        <v>6016</v>
      </c>
      <c r="R180" s="73"/>
      <c r="S180" s="74"/>
    </row>
    <row r="181" spans="1:19" s="63" customFormat="1" ht="45" x14ac:dyDescent="0.25">
      <c r="A181" s="71">
        <v>173</v>
      </c>
      <c r="B181" s="72" t="s">
        <v>6017</v>
      </c>
      <c r="C181" s="56" t="s">
        <v>6018</v>
      </c>
      <c r="D181" s="57"/>
      <c r="E181" s="58">
        <v>1</v>
      </c>
      <c r="F181" s="58">
        <v>5</v>
      </c>
      <c r="G181" s="59">
        <v>34486</v>
      </c>
      <c r="H181" s="59">
        <v>34536</v>
      </c>
      <c r="I181" s="60">
        <v>1</v>
      </c>
      <c r="J181" s="58"/>
      <c r="K181" s="58" t="s">
        <v>5502</v>
      </c>
      <c r="L181" s="58"/>
      <c r="M181" s="58"/>
      <c r="N181" s="58"/>
      <c r="O181" s="58"/>
      <c r="P181" s="61">
        <f t="shared" si="2"/>
        <v>5</v>
      </c>
      <c r="Q181" s="62" t="s">
        <v>6019</v>
      </c>
      <c r="R181" s="73"/>
      <c r="S181" s="74"/>
    </row>
    <row r="182" spans="1:19" s="63" customFormat="1" ht="45" x14ac:dyDescent="0.25">
      <c r="A182" s="71">
        <v>174</v>
      </c>
      <c r="B182" s="72" t="s">
        <v>6020</v>
      </c>
      <c r="C182" s="56" t="s">
        <v>6021</v>
      </c>
      <c r="D182" s="57"/>
      <c r="E182" s="58">
        <v>1</v>
      </c>
      <c r="F182" s="58">
        <v>5</v>
      </c>
      <c r="G182" s="59">
        <v>34486</v>
      </c>
      <c r="H182" s="59">
        <v>34536</v>
      </c>
      <c r="I182" s="60">
        <v>1</v>
      </c>
      <c r="J182" s="58"/>
      <c r="K182" s="58" t="s">
        <v>5502</v>
      </c>
      <c r="L182" s="58"/>
      <c r="M182" s="58"/>
      <c r="N182" s="58"/>
      <c r="O182" s="58"/>
      <c r="P182" s="61">
        <f t="shared" si="2"/>
        <v>5</v>
      </c>
      <c r="Q182" s="62" t="s">
        <v>6022</v>
      </c>
      <c r="R182" s="73"/>
      <c r="S182" s="74"/>
    </row>
    <row r="183" spans="1:19" s="63" customFormat="1" ht="33.75" x14ac:dyDescent="0.25">
      <c r="A183" s="71">
        <v>175</v>
      </c>
      <c r="B183" s="72" t="s">
        <v>6023</v>
      </c>
      <c r="C183" s="56" t="s">
        <v>6024</v>
      </c>
      <c r="D183" s="57"/>
      <c r="E183" s="58">
        <v>1</v>
      </c>
      <c r="F183" s="58">
        <v>4</v>
      </c>
      <c r="G183" s="59">
        <v>34486</v>
      </c>
      <c r="H183" s="59">
        <v>34536</v>
      </c>
      <c r="I183" s="60">
        <v>1</v>
      </c>
      <c r="J183" s="58"/>
      <c r="K183" s="58" t="s">
        <v>5502</v>
      </c>
      <c r="L183" s="58"/>
      <c r="M183" s="58"/>
      <c r="N183" s="58"/>
      <c r="O183" s="58"/>
      <c r="P183" s="61">
        <f t="shared" si="2"/>
        <v>4</v>
      </c>
      <c r="Q183" s="62" t="s">
        <v>6025</v>
      </c>
      <c r="R183" s="73"/>
      <c r="S183" s="74"/>
    </row>
    <row r="184" spans="1:19" s="63" customFormat="1" ht="56.25" x14ac:dyDescent="0.25">
      <c r="A184" s="71">
        <v>176</v>
      </c>
      <c r="B184" s="72" t="s">
        <v>6026</v>
      </c>
      <c r="C184" s="56" t="s">
        <v>6027</v>
      </c>
      <c r="D184" s="57"/>
      <c r="E184" s="58">
        <v>1</v>
      </c>
      <c r="F184" s="58">
        <v>5</v>
      </c>
      <c r="G184" s="59">
        <v>34486</v>
      </c>
      <c r="H184" s="59">
        <v>34536</v>
      </c>
      <c r="I184" s="60">
        <v>1</v>
      </c>
      <c r="J184" s="58"/>
      <c r="K184" s="58" t="s">
        <v>5502</v>
      </c>
      <c r="L184" s="58"/>
      <c r="M184" s="58"/>
      <c r="N184" s="58"/>
      <c r="O184" s="58"/>
      <c r="P184" s="61">
        <f t="shared" si="2"/>
        <v>5</v>
      </c>
      <c r="Q184" s="62" t="s">
        <v>6028</v>
      </c>
      <c r="R184" s="73"/>
      <c r="S184" s="74"/>
    </row>
    <row r="185" spans="1:19" s="63" customFormat="1" ht="56.25" x14ac:dyDescent="0.25">
      <c r="A185" s="71">
        <v>177</v>
      </c>
      <c r="B185" s="72" t="s">
        <v>6029</v>
      </c>
      <c r="C185" s="56" t="s">
        <v>6030</v>
      </c>
      <c r="D185" s="57"/>
      <c r="E185" s="58">
        <v>1</v>
      </c>
      <c r="F185" s="58">
        <v>5</v>
      </c>
      <c r="G185" s="59">
        <v>34486</v>
      </c>
      <c r="H185" s="59">
        <v>34536</v>
      </c>
      <c r="I185" s="60">
        <v>1</v>
      </c>
      <c r="J185" s="58"/>
      <c r="K185" s="58" t="s">
        <v>5502</v>
      </c>
      <c r="L185" s="58"/>
      <c r="M185" s="58"/>
      <c r="N185" s="58"/>
      <c r="O185" s="58"/>
      <c r="P185" s="61">
        <f t="shared" si="2"/>
        <v>5</v>
      </c>
      <c r="Q185" s="62" t="s">
        <v>6031</v>
      </c>
      <c r="R185" s="73"/>
      <c r="S185" s="74"/>
    </row>
    <row r="186" spans="1:19" s="63" customFormat="1" ht="45" x14ac:dyDescent="0.25">
      <c r="A186" s="71">
        <v>178</v>
      </c>
      <c r="B186" s="72" t="s">
        <v>6032</v>
      </c>
      <c r="C186" s="56" t="s">
        <v>6033</v>
      </c>
      <c r="D186" s="57"/>
      <c r="E186" s="58">
        <v>1</v>
      </c>
      <c r="F186" s="58">
        <v>5</v>
      </c>
      <c r="G186" s="59">
        <v>34486</v>
      </c>
      <c r="H186" s="59">
        <v>34536</v>
      </c>
      <c r="I186" s="60">
        <v>1</v>
      </c>
      <c r="J186" s="58"/>
      <c r="K186" s="58" t="s">
        <v>5502</v>
      </c>
      <c r="L186" s="58"/>
      <c r="M186" s="58"/>
      <c r="N186" s="58"/>
      <c r="O186" s="58"/>
      <c r="P186" s="61">
        <f t="shared" si="2"/>
        <v>5</v>
      </c>
      <c r="Q186" s="62" t="s">
        <v>6034</v>
      </c>
      <c r="R186" s="73"/>
      <c r="S186" s="74"/>
    </row>
    <row r="187" spans="1:19" s="63" customFormat="1" ht="56.25" x14ac:dyDescent="0.25">
      <c r="A187" s="71">
        <v>179</v>
      </c>
      <c r="B187" s="72" t="s">
        <v>6035</v>
      </c>
      <c r="C187" s="56" t="s">
        <v>6036</v>
      </c>
      <c r="D187" s="57"/>
      <c r="E187" s="58">
        <v>1</v>
      </c>
      <c r="F187" s="58">
        <v>5</v>
      </c>
      <c r="G187" s="59">
        <v>34486</v>
      </c>
      <c r="H187" s="59">
        <v>34536</v>
      </c>
      <c r="I187" s="60">
        <v>1</v>
      </c>
      <c r="J187" s="58"/>
      <c r="K187" s="58" t="s">
        <v>5502</v>
      </c>
      <c r="L187" s="58"/>
      <c r="M187" s="58"/>
      <c r="N187" s="58"/>
      <c r="O187" s="58"/>
      <c r="P187" s="61">
        <f t="shared" si="2"/>
        <v>5</v>
      </c>
      <c r="Q187" s="62" t="s">
        <v>6037</v>
      </c>
      <c r="R187" s="73"/>
      <c r="S187" s="74"/>
    </row>
    <row r="188" spans="1:19" s="63" customFormat="1" ht="56.25" x14ac:dyDescent="0.25">
      <c r="A188" s="71">
        <v>180</v>
      </c>
      <c r="B188" s="72" t="s">
        <v>6038</v>
      </c>
      <c r="C188" s="56" t="s">
        <v>6039</v>
      </c>
      <c r="D188" s="57"/>
      <c r="E188" s="58">
        <v>1</v>
      </c>
      <c r="F188" s="58">
        <v>5</v>
      </c>
      <c r="G188" s="59">
        <v>34486</v>
      </c>
      <c r="H188" s="59">
        <v>34536</v>
      </c>
      <c r="I188" s="60">
        <v>1</v>
      </c>
      <c r="J188" s="58"/>
      <c r="K188" s="58" t="s">
        <v>5502</v>
      </c>
      <c r="L188" s="58"/>
      <c r="M188" s="58"/>
      <c r="N188" s="58"/>
      <c r="O188" s="58"/>
      <c r="P188" s="61">
        <f t="shared" si="2"/>
        <v>5</v>
      </c>
      <c r="Q188" s="62" t="s">
        <v>6040</v>
      </c>
      <c r="R188" s="73"/>
      <c r="S188" s="74"/>
    </row>
    <row r="189" spans="1:19" s="63" customFormat="1" ht="56.25" x14ac:dyDescent="0.25">
      <c r="A189" s="71">
        <v>181</v>
      </c>
      <c r="B189" s="72" t="s">
        <v>6041</v>
      </c>
      <c r="C189" s="56" t="s">
        <v>6042</v>
      </c>
      <c r="D189" s="57"/>
      <c r="E189" s="58">
        <v>1</v>
      </c>
      <c r="F189" s="58">
        <v>6</v>
      </c>
      <c r="G189" s="59">
        <v>34578</v>
      </c>
      <c r="H189" s="59">
        <v>34606</v>
      </c>
      <c r="I189" s="60">
        <v>1</v>
      </c>
      <c r="J189" s="58"/>
      <c r="K189" s="58" t="s">
        <v>5502</v>
      </c>
      <c r="L189" s="58"/>
      <c r="M189" s="58"/>
      <c r="N189" s="58"/>
      <c r="O189" s="58"/>
      <c r="P189" s="61">
        <f t="shared" si="2"/>
        <v>6</v>
      </c>
      <c r="Q189" s="62" t="s">
        <v>6043</v>
      </c>
      <c r="R189" s="73"/>
      <c r="S189" s="74"/>
    </row>
    <row r="190" spans="1:19" s="63" customFormat="1" ht="56.25" x14ac:dyDescent="0.25">
      <c r="A190" s="71">
        <v>182</v>
      </c>
      <c r="B190" s="72" t="s">
        <v>6044</v>
      </c>
      <c r="C190" s="56" t="s">
        <v>6045</v>
      </c>
      <c r="D190" s="57"/>
      <c r="E190" s="58">
        <v>1</v>
      </c>
      <c r="F190" s="58">
        <v>6</v>
      </c>
      <c r="G190" s="59">
        <v>34578</v>
      </c>
      <c r="H190" s="59">
        <v>34606</v>
      </c>
      <c r="I190" s="60">
        <v>1</v>
      </c>
      <c r="J190" s="58"/>
      <c r="K190" s="58" t="s">
        <v>5502</v>
      </c>
      <c r="L190" s="58"/>
      <c r="M190" s="58"/>
      <c r="N190" s="58"/>
      <c r="O190" s="58"/>
      <c r="P190" s="61">
        <f t="shared" si="2"/>
        <v>6</v>
      </c>
      <c r="Q190" s="62" t="s">
        <v>6046</v>
      </c>
      <c r="R190" s="73"/>
      <c r="S190" s="74"/>
    </row>
    <row r="191" spans="1:19" s="63" customFormat="1" ht="56.25" x14ac:dyDescent="0.25">
      <c r="A191" s="71">
        <v>183</v>
      </c>
      <c r="B191" s="72" t="s">
        <v>6047</v>
      </c>
      <c r="C191" s="56" t="s">
        <v>6048</v>
      </c>
      <c r="D191" s="57"/>
      <c r="E191" s="58">
        <v>1</v>
      </c>
      <c r="F191" s="58">
        <v>6</v>
      </c>
      <c r="G191" s="59">
        <v>34578</v>
      </c>
      <c r="H191" s="59">
        <v>34606</v>
      </c>
      <c r="I191" s="60">
        <v>1</v>
      </c>
      <c r="J191" s="58"/>
      <c r="K191" s="58" t="s">
        <v>5502</v>
      </c>
      <c r="L191" s="58"/>
      <c r="M191" s="58"/>
      <c r="N191" s="58"/>
      <c r="O191" s="58"/>
      <c r="P191" s="61">
        <f t="shared" si="2"/>
        <v>6</v>
      </c>
      <c r="Q191" s="62" t="s">
        <v>6049</v>
      </c>
      <c r="R191" s="73"/>
      <c r="S191" s="74"/>
    </row>
    <row r="192" spans="1:19" s="63" customFormat="1" ht="56.25" x14ac:dyDescent="0.25">
      <c r="A192" s="71">
        <v>184</v>
      </c>
      <c r="B192" s="72" t="s">
        <v>6050</v>
      </c>
      <c r="C192" s="56" t="s">
        <v>6051</v>
      </c>
      <c r="D192" s="57"/>
      <c r="E192" s="58">
        <v>1</v>
      </c>
      <c r="F192" s="58">
        <v>7</v>
      </c>
      <c r="G192" s="59">
        <v>34578</v>
      </c>
      <c r="H192" s="59">
        <v>34907</v>
      </c>
      <c r="I192" s="60">
        <v>1</v>
      </c>
      <c r="J192" s="58"/>
      <c r="K192" s="58" t="s">
        <v>5502</v>
      </c>
      <c r="L192" s="58"/>
      <c r="M192" s="58"/>
      <c r="N192" s="58"/>
      <c r="O192" s="58"/>
      <c r="P192" s="61">
        <f t="shared" si="2"/>
        <v>7</v>
      </c>
      <c r="Q192" s="62" t="s">
        <v>6052</v>
      </c>
      <c r="R192" s="73"/>
      <c r="S192" s="74"/>
    </row>
    <row r="193" spans="1:19" s="63" customFormat="1" ht="45" x14ac:dyDescent="0.25">
      <c r="A193" s="71">
        <v>185</v>
      </c>
      <c r="B193" s="72" t="s">
        <v>6053</v>
      </c>
      <c r="C193" s="56" t="s">
        <v>6054</v>
      </c>
      <c r="D193" s="57"/>
      <c r="E193" s="58">
        <v>1</v>
      </c>
      <c r="F193" s="58">
        <v>6</v>
      </c>
      <c r="G193" s="59">
        <v>34667</v>
      </c>
      <c r="H193" s="59">
        <v>34683</v>
      </c>
      <c r="I193" s="60">
        <v>1</v>
      </c>
      <c r="J193" s="58"/>
      <c r="K193" s="58" t="s">
        <v>5502</v>
      </c>
      <c r="L193" s="58"/>
      <c r="M193" s="58"/>
      <c r="N193" s="58"/>
      <c r="O193" s="58"/>
      <c r="P193" s="61">
        <f t="shared" si="2"/>
        <v>6</v>
      </c>
      <c r="Q193" s="62" t="s">
        <v>6055</v>
      </c>
      <c r="R193" s="73"/>
      <c r="S193" s="74"/>
    </row>
    <row r="194" spans="1:19" s="63" customFormat="1" ht="56.25" x14ac:dyDescent="0.25">
      <c r="A194" s="71">
        <v>186</v>
      </c>
      <c r="B194" s="72" t="s">
        <v>6056</v>
      </c>
      <c r="C194" s="56" t="s">
        <v>6057</v>
      </c>
      <c r="D194" s="57"/>
      <c r="E194" s="58">
        <v>1</v>
      </c>
      <c r="F194" s="58">
        <v>8</v>
      </c>
      <c r="G194" s="59">
        <v>34667</v>
      </c>
      <c r="H194" s="59">
        <v>34683</v>
      </c>
      <c r="I194" s="60">
        <v>1</v>
      </c>
      <c r="J194" s="58"/>
      <c r="K194" s="58" t="s">
        <v>5502</v>
      </c>
      <c r="L194" s="58"/>
      <c r="M194" s="58"/>
      <c r="N194" s="58"/>
      <c r="O194" s="58"/>
      <c r="P194" s="61">
        <f t="shared" si="2"/>
        <v>8</v>
      </c>
      <c r="Q194" s="62" t="s">
        <v>6058</v>
      </c>
      <c r="R194" s="73"/>
      <c r="S194" s="74"/>
    </row>
    <row r="195" spans="1:19" s="63" customFormat="1" ht="45" x14ac:dyDescent="0.25">
      <c r="A195" s="71">
        <v>187</v>
      </c>
      <c r="B195" s="72" t="s">
        <v>6059</v>
      </c>
      <c r="C195" s="56" t="s">
        <v>6060</v>
      </c>
      <c r="D195" s="57"/>
      <c r="E195" s="58">
        <v>1</v>
      </c>
      <c r="F195" s="58">
        <v>5</v>
      </c>
      <c r="G195" s="59">
        <v>34667</v>
      </c>
      <c r="H195" s="59">
        <v>34683</v>
      </c>
      <c r="I195" s="60">
        <v>1</v>
      </c>
      <c r="J195" s="58"/>
      <c r="K195" s="58" t="s">
        <v>5502</v>
      </c>
      <c r="L195" s="58"/>
      <c r="M195" s="58"/>
      <c r="N195" s="58"/>
      <c r="O195" s="58"/>
      <c r="P195" s="61">
        <f t="shared" si="2"/>
        <v>5</v>
      </c>
      <c r="Q195" s="62" t="s">
        <v>6061</v>
      </c>
      <c r="R195" s="73"/>
      <c r="S195" s="74"/>
    </row>
    <row r="196" spans="1:19" s="63" customFormat="1" ht="45" x14ac:dyDescent="0.25">
      <c r="A196" s="71">
        <v>188</v>
      </c>
      <c r="B196" s="72" t="s">
        <v>6062</v>
      </c>
      <c r="C196" s="56" t="s">
        <v>6063</v>
      </c>
      <c r="D196" s="57"/>
      <c r="E196" s="58">
        <v>1</v>
      </c>
      <c r="F196" s="58">
        <v>5</v>
      </c>
      <c r="G196" s="59">
        <v>34667</v>
      </c>
      <c r="H196" s="59">
        <v>34683</v>
      </c>
      <c r="I196" s="60">
        <v>1</v>
      </c>
      <c r="J196" s="58"/>
      <c r="K196" s="58" t="s">
        <v>5502</v>
      </c>
      <c r="L196" s="58"/>
      <c r="M196" s="58"/>
      <c r="N196" s="58"/>
      <c r="O196" s="58"/>
      <c r="P196" s="61">
        <f t="shared" si="2"/>
        <v>5</v>
      </c>
      <c r="Q196" s="62" t="s">
        <v>6064</v>
      </c>
      <c r="R196" s="73"/>
      <c r="S196" s="74"/>
    </row>
    <row r="197" spans="1:19" s="63" customFormat="1" ht="56.25" x14ac:dyDescent="0.25">
      <c r="A197" s="71">
        <v>189</v>
      </c>
      <c r="B197" s="72" t="s">
        <v>6065</v>
      </c>
      <c r="C197" s="56" t="s">
        <v>6066</v>
      </c>
      <c r="D197" s="57"/>
      <c r="E197" s="58">
        <v>1</v>
      </c>
      <c r="F197" s="58">
        <v>6</v>
      </c>
      <c r="G197" s="59">
        <v>34680</v>
      </c>
      <c r="H197" s="59">
        <v>34746</v>
      </c>
      <c r="I197" s="60">
        <v>1</v>
      </c>
      <c r="J197" s="58"/>
      <c r="K197" s="58" t="s">
        <v>5502</v>
      </c>
      <c r="L197" s="58"/>
      <c r="M197" s="58"/>
      <c r="N197" s="58"/>
      <c r="O197" s="58"/>
      <c r="P197" s="61">
        <f t="shared" si="2"/>
        <v>6</v>
      </c>
      <c r="Q197" s="62" t="s">
        <v>6067</v>
      </c>
      <c r="R197" s="73"/>
      <c r="S197" s="74"/>
    </row>
    <row r="198" spans="1:19" s="63" customFormat="1" ht="45" x14ac:dyDescent="0.25">
      <c r="A198" s="71">
        <v>190</v>
      </c>
      <c r="B198" s="72" t="s">
        <v>6068</v>
      </c>
      <c r="C198" s="56" t="s">
        <v>6069</v>
      </c>
      <c r="D198" s="57"/>
      <c r="E198" s="58">
        <v>1</v>
      </c>
      <c r="F198" s="58">
        <v>6</v>
      </c>
      <c r="G198" s="59">
        <v>34680</v>
      </c>
      <c r="H198" s="59">
        <v>34746</v>
      </c>
      <c r="I198" s="60">
        <v>1</v>
      </c>
      <c r="J198" s="58"/>
      <c r="K198" s="58" t="s">
        <v>5502</v>
      </c>
      <c r="L198" s="58"/>
      <c r="M198" s="58"/>
      <c r="N198" s="58"/>
      <c r="O198" s="58"/>
      <c r="P198" s="61">
        <f t="shared" si="2"/>
        <v>6</v>
      </c>
      <c r="Q198" s="62" t="s">
        <v>6070</v>
      </c>
      <c r="R198" s="73"/>
      <c r="S198" s="74"/>
    </row>
    <row r="199" spans="1:19" s="63" customFormat="1" ht="56.25" x14ac:dyDescent="0.25">
      <c r="A199" s="71">
        <v>191</v>
      </c>
      <c r="B199" s="72" t="s">
        <v>6071</v>
      </c>
      <c r="C199" s="56" t="s">
        <v>6072</v>
      </c>
      <c r="D199" s="57"/>
      <c r="E199" s="58">
        <v>1</v>
      </c>
      <c r="F199" s="58">
        <v>6</v>
      </c>
      <c r="G199" s="59">
        <v>34793</v>
      </c>
      <c r="H199" s="59">
        <v>34837</v>
      </c>
      <c r="I199" s="60">
        <v>1</v>
      </c>
      <c r="J199" s="58"/>
      <c r="K199" s="58" t="s">
        <v>5502</v>
      </c>
      <c r="L199" s="58"/>
      <c r="M199" s="58"/>
      <c r="N199" s="58"/>
      <c r="O199" s="58"/>
      <c r="P199" s="61">
        <f t="shared" si="2"/>
        <v>6</v>
      </c>
      <c r="Q199" s="62" t="s">
        <v>6073</v>
      </c>
      <c r="R199" s="73"/>
      <c r="S199" s="74"/>
    </row>
    <row r="200" spans="1:19" s="63" customFormat="1" ht="56.25" x14ac:dyDescent="0.25">
      <c r="A200" s="71">
        <v>192</v>
      </c>
      <c r="B200" s="72" t="s">
        <v>6074</v>
      </c>
      <c r="C200" s="56" t="s">
        <v>6075</v>
      </c>
      <c r="D200" s="57"/>
      <c r="E200" s="58">
        <v>1</v>
      </c>
      <c r="F200" s="58">
        <v>8</v>
      </c>
      <c r="G200" s="59">
        <v>34793</v>
      </c>
      <c r="H200" s="59">
        <v>34837</v>
      </c>
      <c r="I200" s="60">
        <v>1</v>
      </c>
      <c r="J200" s="58"/>
      <c r="K200" s="58" t="s">
        <v>5502</v>
      </c>
      <c r="L200" s="58"/>
      <c r="M200" s="58"/>
      <c r="N200" s="58"/>
      <c r="O200" s="58"/>
      <c r="P200" s="61">
        <f t="shared" si="2"/>
        <v>8</v>
      </c>
      <c r="Q200" s="62" t="s">
        <v>6076</v>
      </c>
      <c r="R200" s="73"/>
      <c r="S200" s="74"/>
    </row>
    <row r="201" spans="1:19" s="63" customFormat="1" ht="56.25" x14ac:dyDescent="0.25">
      <c r="A201" s="71">
        <v>193</v>
      </c>
      <c r="B201" s="72" t="s">
        <v>6077</v>
      </c>
      <c r="C201" s="56" t="s">
        <v>6078</v>
      </c>
      <c r="D201" s="57"/>
      <c r="E201" s="58">
        <v>1</v>
      </c>
      <c r="F201" s="58">
        <v>6</v>
      </c>
      <c r="G201" s="59">
        <v>34793</v>
      </c>
      <c r="H201" s="59">
        <v>34837</v>
      </c>
      <c r="I201" s="60">
        <v>1</v>
      </c>
      <c r="J201" s="58"/>
      <c r="K201" s="58" t="s">
        <v>5502</v>
      </c>
      <c r="L201" s="58"/>
      <c r="M201" s="58"/>
      <c r="N201" s="58"/>
      <c r="O201" s="58"/>
      <c r="P201" s="61">
        <f t="shared" ref="P201:P264" si="3">IF(F201="","",IF(ISERR(F201-E201)=TRUE,"",F201-E201+1))</f>
        <v>6</v>
      </c>
      <c r="Q201" s="62" t="s">
        <v>6079</v>
      </c>
      <c r="R201" s="73"/>
      <c r="S201" s="74"/>
    </row>
    <row r="202" spans="1:19" s="63" customFormat="1" ht="56.25" x14ac:dyDescent="0.25">
      <c r="A202" s="71">
        <v>194</v>
      </c>
      <c r="B202" s="72" t="s">
        <v>6080</v>
      </c>
      <c r="C202" s="56" t="s">
        <v>6081</v>
      </c>
      <c r="D202" s="57"/>
      <c r="E202" s="58">
        <v>1</v>
      </c>
      <c r="F202" s="58">
        <v>7</v>
      </c>
      <c r="G202" s="59">
        <v>34793</v>
      </c>
      <c r="H202" s="59">
        <v>34837</v>
      </c>
      <c r="I202" s="60">
        <v>1</v>
      </c>
      <c r="J202" s="58"/>
      <c r="K202" s="58" t="s">
        <v>5502</v>
      </c>
      <c r="L202" s="58"/>
      <c r="M202" s="58"/>
      <c r="N202" s="58"/>
      <c r="O202" s="58"/>
      <c r="P202" s="61">
        <f t="shared" si="3"/>
        <v>7</v>
      </c>
      <c r="Q202" s="62" t="s">
        <v>6082</v>
      </c>
      <c r="R202" s="73"/>
      <c r="S202" s="74"/>
    </row>
    <row r="203" spans="1:19" s="63" customFormat="1" ht="56.25" x14ac:dyDescent="0.25">
      <c r="A203" s="71">
        <v>195</v>
      </c>
      <c r="B203" s="72" t="s">
        <v>6083</v>
      </c>
      <c r="C203" s="56" t="s">
        <v>6084</v>
      </c>
      <c r="D203" s="57"/>
      <c r="E203" s="58">
        <v>1</v>
      </c>
      <c r="F203" s="58">
        <v>6</v>
      </c>
      <c r="G203" s="59">
        <v>34793</v>
      </c>
      <c r="H203" s="59">
        <v>34837</v>
      </c>
      <c r="I203" s="60">
        <v>1</v>
      </c>
      <c r="J203" s="58"/>
      <c r="K203" s="58" t="s">
        <v>5502</v>
      </c>
      <c r="L203" s="58"/>
      <c r="M203" s="58"/>
      <c r="N203" s="58"/>
      <c r="O203" s="58"/>
      <c r="P203" s="61">
        <f t="shared" si="3"/>
        <v>6</v>
      </c>
      <c r="Q203" s="62" t="s">
        <v>6085</v>
      </c>
      <c r="R203" s="73"/>
      <c r="S203" s="74"/>
    </row>
    <row r="204" spans="1:19" s="63" customFormat="1" ht="45" x14ac:dyDescent="0.25">
      <c r="A204" s="71">
        <v>196</v>
      </c>
      <c r="B204" s="72" t="s">
        <v>6086</v>
      </c>
      <c r="C204" s="56" t="s">
        <v>6087</v>
      </c>
      <c r="D204" s="57"/>
      <c r="E204" s="58">
        <v>1</v>
      </c>
      <c r="F204" s="58">
        <v>7</v>
      </c>
      <c r="G204" s="59">
        <v>34793</v>
      </c>
      <c r="H204" s="59">
        <v>34837</v>
      </c>
      <c r="I204" s="60">
        <v>1</v>
      </c>
      <c r="J204" s="58"/>
      <c r="K204" s="58" t="s">
        <v>5502</v>
      </c>
      <c r="L204" s="58"/>
      <c r="M204" s="58"/>
      <c r="N204" s="58"/>
      <c r="O204" s="58"/>
      <c r="P204" s="61">
        <f t="shared" si="3"/>
        <v>7</v>
      </c>
      <c r="Q204" s="62" t="s">
        <v>6088</v>
      </c>
      <c r="R204" s="73"/>
      <c r="S204" s="74"/>
    </row>
    <row r="205" spans="1:19" s="63" customFormat="1" ht="45" x14ac:dyDescent="0.25">
      <c r="A205" s="71">
        <v>197</v>
      </c>
      <c r="B205" s="72" t="s">
        <v>6089</v>
      </c>
      <c r="C205" s="56" t="s">
        <v>6090</v>
      </c>
      <c r="D205" s="57"/>
      <c r="E205" s="58">
        <v>1</v>
      </c>
      <c r="F205" s="58">
        <v>6</v>
      </c>
      <c r="G205" s="59">
        <v>34793</v>
      </c>
      <c r="H205" s="59">
        <v>34837</v>
      </c>
      <c r="I205" s="60">
        <v>1</v>
      </c>
      <c r="J205" s="58"/>
      <c r="K205" s="58" t="s">
        <v>5502</v>
      </c>
      <c r="L205" s="58"/>
      <c r="M205" s="58"/>
      <c r="N205" s="58"/>
      <c r="O205" s="58"/>
      <c r="P205" s="61">
        <f t="shared" si="3"/>
        <v>6</v>
      </c>
      <c r="Q205" s="62" t="s">
        <v>6091</v>
      </c>
      <c r="R205" s="73"/>
      <c r="S205" s="74"/>
    </row>
    <row r="206" spans="1:19" s="63" customFormat="1" ht="45" x14ac:dyDescent="0.25">
      <c r="A206" s="71">
        <v>198</v>
      </c>
      <c r="B206" s="72" t="s">
        <v>6092</v>
      </c>
      <c r="C206" s="56" t="s">
        <v>6093</v>
      </c>
      <c r="D206" s="57"/>
      <c r="E206" s="58">
        <v>1</v>
      </c>
      <c r="F206" s="58">
        <v>5</v>
      </c>
      <c r="G206" s="59">
        <v>34793</v>
      </c>
      <c r="H206" s="59">
        <v>34837</v>
      </c>
      <c r="I206" s="60">
        <v>1</v>
      </c>
      <c r="J206" s="58"/>
      <c r="K206" s="58" t="s">
        <v>5502</v>
      </c>
      <c r="L206" s="58"/>
      <c r="M206" s="58"/>
      <c r="N206" s="58"/>
      <c r="O206" s="58"/>
      <c r="P206" s="61">
        <f t="shared" si="3"/>
        <v>5</v>
      </c>
      <c r="Q206" s="62" t="s">
        <v>6094</v>
      </c>
      <c r="R206" s="73"/>
      <c r="S206" s="74"/>
    </row>
    <row r="207" spans="1:19" s="63" customFormat="1" ht="45" x14ac:dyDescent="0.25">
      <c r="A207" s="71">
        <v>199</v>
      </c>
      <c r="B207" s="72" t="s">
        <v>6095</v>
      </c>
      <c r="C207" s="56" t="s">
        <v>6096</v>
      </c>
      <c r="D207" s="57"/>
      <c r="E207" s="58">
        <v>1</v>
      </c>
      <c r="F207" s="58">
        <v>5</v>
      </c>
      <c r="G207" s="59">
        <v>34793</v>
      </c>
      <c r="H207" s="59">
        <v>34837</v>
      </c>
      <c r="I207" s="60">
        <v>1</v>
      </c>
      <c r="J207" s="58"/>
      <c r="K207" s="58" t="s">
        <v>5502</v>
      </c>
      <c r="L207" s="58"/>
      <c r="M207" s="58"/>
      <c r="N207" s="58"/>
      <c r="O207" s="58"/>
      <c r="P207" s="61">
        <f t="shared" si="3"/>
        <v>5</v>
      </c>
      <c r="Q207" s="62" t="s">
        <v>6097</v>
      </c>
      <c r="R207" s="73"/>
      <c r="S207" s="74"/>
    </row>
    <row r="208" spans="1:19" s="63" customFormat="1" ht="45" x14ac:dyDescent="0.25">
      <c r="A208" s="71">
        <v>200</v>
      </c>
      <c r="B208" s="72" t="s">
        <v>6098</v>
      </c>
      <c r="C208" s="56" t="s">
        <v>6099</v>
      </c>
      <c r="D208" s="57"/>
      <c r="E208" s="58">
        <v>1</v>
      </c>
      <c r="F208" s="58">
        <v>5</v>
      </c>
      <c r="G208" s="59">
        <v>34793</v>
      </c>
      <c r="H208" s="59">
        <v>34837</v>
      </c>
      <c r="I208" s="60">
        <v>1</v>
      </c>
      <c r="J208" s="58"/>
      <c r="K208" s="58" t="s">
        <v>5502</v>
      </c>
      <c r="L208" s="58"/>
      <c r="M208" s="58"/>
      <c r="N208" s="58"/>
      <c r="O208" s="58"/>
      <c r="P208" s="61">
        <f t="shared" si="3"/>
        <v>5</v>
      </c>
      <c r="Q208" s="62" t="s">
        <v>6100</v>
      </c>
      <c r="R208" s="73"/>
      <c r="S208" s="74"/>
    </row>
    <row r="209" spans="1:19" s="63" customFormat="1" ht="45" x14ac:dyDescent="0.25">
      <c r="A209" s="71">
        <v>201</v>
      </c>
      <c r="B209" s="72" t="s">
        <v>6101</v>
      </c>
      <c r="C209" s="56" t="s">
        <v>6102</v>
      </c>
      <c r="D209" s="57"/>
      <c r="E209" s="58">
        <v>1</v>
      </c>
      <c r="F209" s="58">
        <v>5</v>
      </c>
      <c r="G209" s="59">
        <v>34793</v>
      </c>
      <c r="H209" s="59">
        <v>34837</v>
      </c>
      <c r="I209" s="60">
        <v>1</v>
      </c>
      <c r="J209" s="58"/>
      <c r="K209" s="58" t="s">
        <v>5502</v>
      </c>
      <c r="L209" s="58"/>
      <c r="M209" s="58"/>
      <c r="N209" s="58"/>
      <c r="O209" s="58"/>
      <c r="P209" s="61">
        <f t="shared" si="3"/>
        <v>5</v>
      </c>
      <c r="Q209" s="62" t="s">
        <v>6103</v>
      </c>
      <c r="R209" s="73"/>
      <c r="S209" s="74"/>
    </row>
    <row r="210" spans="1:19" s="63" customFormat="1" ht="56.25" x14ac:dyDescent="0.25">
      <c r="A210" s="71">
        <v>202</v>
      </c>
      <c r="B210" s="72" t="s">
        <v>6104</v>
      </c>
      <c r="C210" s="56" t="s">
        <v>6105</v>
      </c>
      <c r="D210" s="57"/>
      <c r="E210" s="58">
        <v>1</v>
      </c>
      <c r="F210" s="58">
        <v>5</v>
      </c>
      <c r="G210" s="59">
        <v>34850</v>
      </c>
      <c r="H210" s="59">
        <v>34865</v>
      </c>
      <c r="I210" s="60">
        <v>1</v>
      </c>
      <c r="J210" s="58"/>
      <c r="K210" s="58" t="s">
        <v>5502</v>
      </c>
      <c r="L210" s="58"/>
      <c r="M210" s="58"/>
      <c r="N210" s="58"/>
      <c r="O210" s="58"/>
      <c r="P210" s="61">
        <f t="shared" si="3"/>
        <v>5</v>
      </c>
      <c r="Q210" s="62" t="s">
        <v>6106</v>
      </c>
      <c r="R210" s="73"/>
      <c r="S210" s="74"/>
    </row>
    <row r="211" spans="1:19" s="63" customFormat="1" ht="56.25" x14ac:dyDescent="0.25">
      <c r="A211" s="71">
        <v>203</v>
      </c>
      <c r="B211" s="72" t="s">
        <v>6107</v>
      </c>
      <c r="C211" s="56" t="s">
        <v>6108</v>
      </c>
      <c r="D211" s="57"/>
      <c r="E211" s="58">
        <v>1</v>
      </c>
      <c r="F211" s="58">
        <v>5</v>
      </c>
      <c r="G211" s="59">
        <v>34850</v>
      </c>
      <c r="H211" s="59">
        <v>34865</v>
      </c>
      <c r="I211" s="60">
        <v>1</v>
      </c>
      <c r="J211" s="58"/>
      <c r="K211" s="58" t="s">
        <v>5502</v>
      </c>
      <c r="L211" s="58"/>
      <c r="M211" s="58"/>
      <c r="N211" s="58"/>
      <c r="O211" s="58"/>
      <c r="P211" s="61">
        <f t="shared" si="3"/>
        <v>5</v>
      </c>
      <c r="Q211" s="62" t="s">
        <v>6109</v>
      </c>
      <c r="R211" s="73"/>
      <c r="S211" s="74"/>
    </row>
    <row r="212" spans="1:19" s="63" customFormat="1" ht="45" x14ac:dyDescent="0.25">
      <c r="A212" s="71">
        <v>204</v>
      </c>
      <c r="B212" s="72" t="s">
        <v>6110</v>
      </c>
      <c r="C212" s="56" t="s">
        <v>6111</v>
      </c>
      <c r="D212" s="57"/>
      <c r="E212" s="58">
        <v>1</v>
      </c>
      <c r="F212" s="58">
        <v>6</v>
      </c>
      <c r="G212" s="59">
        <v>34850</v>
      </c>
      <c r="H212" s="59">
        <v>34865</v>
      </c>
      <c r="I212" s="60">
        <v>1</v>
      </c>
      <c r="J212" s="58"/>
      <c r="K212" s="58" t="s">
        <v>5502</v>
      </c>
      <c r="L212" s="58"/>
      <c r="M212" s="58"/>
      <c r="N212" s="58"/>
      <c r="O212" s="58"/>
      <c r="P212" s="61">
        <f t="shared" si="3"/>
        <v>6</v>
      </c>
      <c r="Q212" s="62" t="s">
        <v>6112</v>
      </c>
      <c r="R212" s="73"/>
      <c r="S212" s="74"/>
    </row>
    <row r="213" spans="1:19" s="63" customFormat="1" ht="45" x14ac:dyDescent="0.25">
      <c r="A213" s="71">
        <v>205</v>
      </c>
      <c r="B213" s="72" t="s">
        <v>6113</v>
      </c>
      <c r="C213" s="56" t="s">
        <v>6114</v>
      </c>
      <c r="D213" s="57"/>
      <c r="E213" s="58">
        <v>1</v>
      </c>
      <c r="F213" s="58">
        <v>5</v>
      </c>
      <c r="G213" s="59">
        <v>34850</v>
      </c>
      <c r="H213" s="59">
        <v>34865</v>
      </c>
      <c r="I213" s="60">
        <v>1</v>
      </c>
      <c r="J213" s="58"/>
      <c r="K213" s="58" t="s">
        <v>5502</v>
      </c>
      <c r="L213" s="58"/>
      <c r="M213" s="58"/>
      <c r="N213" s="58"/>
      <c r="O213" s="58"/>
      <c r="P213" s="61">
        <f t="shared" si="3"/>
        <v>5</v>
      </c>
      <c r="Q213" s="62" t="s">
        <v>6115</v>
      </c>
      <c r="R213" s="73"/>
      <c r="S213" s="74"/>
    </row>
    <row r="214" spans="1:19" s="63" customFormat="1" ht="56.25" x14ac:dyDescent="0.25">
      <c r="A214" s="71">
        <v>206</v>
      </c>
      <c r="B214" s="72" t="s">
        <v>6116</v>
      </c>
      <c r="C214" s="56" t="s">
        <v>6117</v>
      </c>
      <c r="D214" s="57"/>
      <c r="E214" s="58">
        <v>1</v>
      </c>
      <c r="F214" s="58">
        <v>5</v>
      </c>
      <c r="G214" s="59">
        <v>35019</v>
      </c>
      <c r="H214" s="59">
        <v>35145</v>
      </c>
      <c r="I214" s="60">
        <v>1</v>
      </c>
      <c r="J214" s="58"/>
      <c r="K214" s="58" t="s">
        <v>5502</v>
      </c>
      <c r="L214" s="58"/>
      <c r="M214" s="58"/>
      <c r="N214" s="58"/>
      <c r="O214" s="58"/>
      <c r="P214" s="61">
        <f t="shared" si="3"/>
        <v>5</v>
      </c>
      <c r="Q214" s="62" t="s">
        <v>6118</v>
      </c>
      <c r="R214" s="73"/>
      <c r="S214" s="74"/>
    </row>
    <row r="215" spans="1:19" s="63" customFormat="1" ht="56.25" x14ac:dyDescent="0.25">
      <c r="A215" s="71">
        <v>207</v>
      </c>
      <c r="B215" s="72" t="s">
        <v>6119</v>
      </c>
      <c r="C215" s="56" t="s">
        <v>6120</v>
      </c>
      <c r="D215" s="57"/>
      <c r="E215" s="58">
        <v>1</v>
      </c>
      <c r="F215" s="58">
        <v>5</v>
      </c>
      <c r="G215" s="59">
        <v>35019</v>
      </c>
      <c r="H215" s="59">
        <v>35145</v>
      </c>
      <c r="I215" s="60">
        <v>1</v>
      </c>
      <c r="J215" s="58"/>
      <c r="K215" s="58" t="s">
        <v>5502</v>
      </c>
      <c r="L215" s="58"/>
      <c r="M215" s="58"/>
      <c r="N215" s="58"/>
      <c r="O215" s="58"/>
      <c r="P215" s="61">
        <f t="shared" si="3"/>
        <v>5</v>
      </c>
      <c r="Q215" s="62" t="s">
        <v>6121</v>
      </c>
      <c r="R215" s="73"/>
      <c r="S215" s="74"/>
    </row>
    <row r="216" spans="1:19" s="63" customFormat="1" ht="56.25" x14ac:dyDescent="0.25">
      <c r="A216" s="71">
        <v>208</v>
      </c>
      <c r="B216" s="72" t="s">
        <v>6122</v>
      </c>
      <c r="C216" s="56" t="s">
        <v>6123</v>
      </c>
      <c r="D216" s="57"/>
      <c r="E216" s="58">
        <v>1</v>
      </c>
      <c r="F216" s="58">
        <v>5</v>
      </c>
      <c r="G216" s="59">
        <v>35019</v>
      </c>
      <c r="H216" s="59">
        <v>35145</v>
      </c>
      <c r="I216" s="60">
        <v>1</v>
      </c>
      <c r="J216" s="58"/>
      <c r="K216" s="58" t="s">
        <v>5502</v>
      </c>
      <c r="L216" s="58"/>
      <c r="M216" s="58"/>
      <c r="N216" s="58"/>
      <c r="O216" s="58"/>
      <c r="P216" s="61">
        <f t="shared" si="3"/>
        <v>5</v>
      </c>
      <c r="Q216" s="62" t="s">
        <v>6124</v>
      </c>
      <c r="R216" s="73"/>
      <c r="S216" s="74"/>
    </row>
    <row r="217" spans="1:19" s="63" customFormat="1" ht="56.25" x14ac:dyDescent="0.25">
      <c r="A217" s="71">
        <v>209</v>
      </c>
      <c r="B217" s="72" t="s">
        <v>6125</v>
      </c>
      <c r="C217" s="56" t="s">
        <v>6126</v>
      </c>
      <c r="D217" s="57"/>
      <c r="E217" s="58">
        <v>1</v>
      </c>
      <c r="F217" s="58">
        <v>5</v>
      </c>
      <c r="G217" s="59">
        <v>35019</v>
      </c>
      <c r="H217" s="59">
        <v>35145</v>
      </c>
      <c r="I217" s="60">
        <v>1</v>
      </c>
      <c r="J217" s="58"/>
      <c r="K217" s="58" t="s">
        <v>5502</v>
      </c>
      <c r="L217" s="58"/>
      <c r="M217" s="58"/>
      <c r="N217" s="58"/>
      <c r="O217" s="58"/>
      <c r="P217" s="61">
        <f t="shared" si="3"/>
        <v>5</v>
      </c>
      <c r="Q217" s="62" t="s">
        <v>6127</v>
      </c>
      <c r="R217" s="73"/>
      <c r="S217" s="74"/>
    </row>
    <row r="218" spans="1:19" s="63" customFormat="1" ht="45" x14ac:dyDescent="0.25">
      <c r="A218" s="71">
        <v>210</v>
      </c>
      <c r="B218" s="72" t="s">
        <v>6128</v>
      </c>
      <c r="C218" s="56" t="s">
        <v>6129</v>
      </c>
      <c r="D218" s="57"/>
      <c r="E218" s="58">
        <v>1</v>
      </c>
      <c r="F218" s="58">
        <v>5</v>
      </c>
      <c r="G218" s="59">
        <v>35019</v>
      </c>
      <c r="H218" s="59">
        <v>35145</v>
      </c>
      <c r="I218" s="60">
        <v>1</v>
      </c>
      <c r="J218" s="58"/>
      <c r="K218" s="58" t="s">
        <v>5502</v>
      </c>
      <c r="L218" s="58"/>
      <c r="M218" s="58"/>
      <c r="N218" s="58"/>
      <c r="O218" s="58"/>
      <c r="P218" s="61">
        <f t="shared" si="3"/>
        <v>5</v>
      </c>
      <c r="Q218" s="62" t="s">
        <v>6130</v>
      </c>
      <c r="R218" s="73"/>
      <c r="S218" s="74"/>
    </row>
    <row r="219" spans="1:19" s="63" customFormat="1" ht="56.25" x14ac:dyDescent="0.25">
      <c r="A219" s="71">
        <v>211</v>
      </c>
      <c r="B219" s="72" t="s">
        <v>6131</v>
      </c>
      <c r="C219" s="56" t="s">
        <v>6132</v>
      </c>
      <c r="D219" s="57"/>
      <c r="E219" s="58">
        <v>1</v>
      </c>
      <c r="F219" s="58">
        <v>6</v>
      </c>
      <c r="G219" s="59">
        <v>35019</v>
      </c>
      <c r="H219" s="59">
        <v>35145</v>
      </c>
      <c r="I219" s="60">
        <v>1</v>
      </c>
      <c r="J219" s="58"/>
      <c r="K219" s="58" t="s">
        <v>5502</v>
      </c>
      <c r="L219" s="58"/>
      <c r="M219" s="58"/>
      <c r="N219" s="58"/>
      <c r="O219" s="58"/>
      <c r="P219" s="61">
        <f t="shared" si="3"/>
        <v>6</v>
      </c>
      <c r="Q219" s="62" t="s">
        <v>6133</v>
      </c>
      <c r="R219" s="73"/>
      <c r="S219" s="74"/>
    </row>
    <row r="220" spans="1:19" s="63" customFormat="1" ht="45" x14ac:dyDescent="0.25">
      <c r="A220" s="71">
        <v>212</v>
      </c>
      <c r="B220" s="72" t="s">
        <v>6134</v>
      </c>
      <c r="C220" s="56" t="s">
        <v>6135</v>
      </c>
      <c r="D220" s="57"/>
      <c r="E220" s="58">
        <v>1</v>
      </c>
      <c r="F220" s="58">
        <v>5</v>
      </c>
      <c r="G220" s="59">
        <v>35019</v>
      </c>
      <c r="H220" s="59">
        <v>35145</v>
      </c>
      <c r="I220" s="60">
        <v>1</v>
      </c>
      <c r="J220" s="58"/>
      <c r="K220" s="58" t="s">
        <v>5502</v>
      </c>
      <c r="L220" s="58"/>
      <c r="M220" s="58"/>
      <c r="N220" s="58"/>
      <c r="O220" s="58"/>
      <c r="P220" s="61">
        <f t="shared" si="3"/>
        <v>5</v>
      </c>
      <c r="Q220" s="62" t="s">
        <v>6136</v>
      </c>
      <c r="R220" s="73"/>
      <c r="S220" s="74"/>
    </row>
    <row r="221" spans="1:19" s="63" customFormat="1" ht="45" x14ac:dyDescent="0.25">
      <c r="A221" s="71">
        <v>213</v>
      </c>
      <c r="B221" s="72" t="s">
        <v>6137</v>
      </c>
      <c r="C221" s="56" t="s">
        <v>6138</v>
      </c>
      <c r="D221" s="57"/>
      <c r="E221" s="58">
        <v>1</v>
      </c>
      <c r="F221" s="58">
        <v>6</v>
      </c>
      <c r="G221" s="59">
        <v>35019</v>
      </c>
      <c r="H221" s="59">
        <v>35145</v>
      </c>
      <c r="I221" s="60">
        <v>1</v>
      </c>
      <c r="J221" s="58"/>
      <c r="K221" s="58" t="s">
        <v>5502</v>
      </c>
      <c r="L221" s="58"/>
      <c r="M221" s="58"/>
      <c r="N221" s="58"/>
      <c r="O221" s="58"/>
      <c r="P221" s="61">
        <f t="shared" si="3"/>
        <v>6</v>
      </c>
      <c r="Q221" s="62" t="s">
        <v>6139</v>
      </c>
      <c r="R221" s="73"/>
      <c r="S221" s="74"/>
    </row>
    <row r="222" spans="1:19" s="63" customFormat="1" ht="45" x14ac:dyDescent="0.25">
      <c r="A222" s="71">
        <v>214</v>
      </c>
      <c r="B222" s="72" t="s">
        <v>6140</v>
      </c>
      <c r="C222" s="56" t="s">
        <v>6141</v>
      </c>
      <c r="D222" s="57"/>
      <c r="E222" s="58">
        <v>1</v>
      </c>
      <c r="F222" s="58">
        <v>5</v>
      </c>
      <c r="G222" s="59">
        <v>35019</v>
      </c>
      <c r="H222" s="59">
        <v>35145</v>
      </c>
      <c r="I222" s="60">
        <v>1</v>
      </c>
      <c r="J222" s="58"/>
      <c r="K222" s="58" t="s">
        <v>5502</v>
      </c>
      <c r="L222" s="58"/>
      <c r="M222" s="58"/>
      <c r="N222" s="58"/>
      <c r="O222" s="58"/>
      <c r="P222" s="61">
        <f t="shared" si="3"/>
        <v>5</v>
      </c>
      <c r="Q222" s="62" t="s">
        <v>6142</v>
      </c>
      <c r="R222" s="73"/>
      <c r="S222" s="74"/>
    </row>
    <row r="223" spans="1:19" s="63" customFormat="1" ht="45" x14ac:dyDescent="0.25">
      <c r="A223" s="71">
        <v>215</v>
      </c>
      <c r="B223" s="72" t="s">
        <v>6143</v>
      </c>
      <c r="C223" s="56" t="s">
        <v>6144</v>
      </c>
      <c r="D223" s="57"/>
      <c r="E223" s="58">
        <v>1</v>
      </c>
      <c r="F223" s="58">
        <v>5</v>
      </c>
      <c r="G223" s="59">
        <v>35019</v>
      </c>
      <c r="H223" s="59">
        <v>35145</v>
      </c>
      <c r="I223" s="60">
        <v>1</v>
      </c>
      <c r="J223" s="58"/>
      <c r="K223" s="58" t="s">
        <v>5502</v>
      </c>
      <c r="L223" s="58"/>
      <c r="M223" s="58"/>
      <c r="N223" s="58"/>
      <c r="O223" s="58"/>
      <c r="P223" s="61">
        <f t="shared" si="3"/>
        <v>5</v>
      </c>
      <c r="Q223" s="62" t="s">
        <v>6145</v>
      </c>
      <c r="R223" s="73"/>
      <c r="S223" s="74"/>
    </row>
    <row r="224" spans="1:19" s="63" customFormat="1" ht="45" x14ac:dyDescent="0.25">
      <c r="A224" s="71">
        <v>216</v>
      </c>
      <c r="B224" s="72" t="s">
        <v>6146</v>
      </c>
      <c r="C224" s="56" t="s">
        <v>6147</v>
      </c>
      <c r="D224" s="57"/>
      <c r="E224" s="58">
        <v>1</v>
      </c>
      <c r="F224" s="58">
        <v>5</v>
      </c>
      <c r="G224" s="59">
        <v>35019</v>
      </c>
      <c r="H224" s="59">
        <v>35145</v>
      </c>
      <c r="I224" s="60">
        <v>1</v>
      </c>
      <c r="J224" s="58"/>
      <c r="K224" s="58" t="s">
        <v>5502</v>
      </c>
      <c r="L224" s="58"/>
      <c r="M224" s="58"/>
      <c r="N224" s="58"/>
      <c r="O224" s="58"/>
      <c r="P224" s="61">
        <f t="shared" si="3"/>
        <v>5</v>
      </c>
      <c r="Q224" s="62" t="s">
        <v>6148</v>
      </c>
      <c r="R224" s="73"/>
      <c r="S224" s="74"/>
    </row>
    <row r="225" spans="1:19" s="63" customFormat="1" ht="45" x14ac:dyDescent="0.25">
      <c r="A225" s="71">
        <v>217</v>
      </c>
      <c r="B225" s="72" t="s">
        <v>6149</v>
      </c>
      <c r="C225" s="56" t="s">
        <v>6150</v>
      </c>
      <c r="D225" s="57"/>
      <c r="E225" s="58">
        <v>1</v>
      </c>
      <c r="F225" s="58">
        <v>5</v>
      </c>
      <c r="G225" s="59">
        <v>35019</v>
      </c>
      <c r="H225" s="59">
        <v>35145</v>
      </c>
      <c r="I225" s="60">
        <v>1</v>
      </c>
      <c r="J225" s="58"/>
      <c r="K225" s="58" t="s">
        <v>5502</v>
      </c>
      <c r="L225" s="58"/>
      <c r="M225" s="58"/>
      <c r="N225" s="58"/>
      <c r="O225" s="58"/>
      <c r="P225" s="61">
        <f t="shared" si="3"/>
        <v>5</v>
      </c>
      <c r="Q225" s="62" t="s">
        <v>6151</v>
      </c>
      <c r="R225" s="73"/>
      <c r="S225" s="74"/>
    </row>
    <row r="226" spans="1:19" s="63" customFormat="1" ht="45" x14ac:dyDescent="0.25">
      <c r="A226" s="71">
        <v>218</v>
      </c>
      <c r="B226" s="72" t="s">
        <v>6152</v>
      </c>
      <c r="C226" s="56" t="s">
        <v>6153</v>
      </c>
      <c r="D226" s="57"/>
      <c r="E226" s="58">
        <v>1</v>
      </c>
      <c r="F226" s="58">
        <v>5</v>
      </c>
      <c r="G226" s="59">
        <v>35019</v>
      </c>
      <c r="H226" s="59">
        <v>35145</v>
      </c>
      <c r="I226" s="60">
        <v>1</v>
      </c>
      <c r="J226" s="58"/>
      <c r="K226" s="58" t="s">
        <v>5502</v>
      </c>
      <c r="L226" s="58"/>
      <c r="M226" s="58"/>
      <c r="N226" s="58"/>
      <c r="O226" s="58"/>
      <c r="P226" s="61">
        <f t="shared" si="3"/>
        <v>5</v>
      </c>
      <c r="Q226" s="62" t="s">
        <v>6154</v>
      </c>
      <c r="R226" s="73"/>
      <c r="S226" s="74"/>
    </row>
    <row r="227" spans="1:19" s="63" customFormat="1" ht="45" x14ac:dyDescent="0.25">
      <c r="A227" s="71">
        <v>219</v>
      </c>
      <c r="B227" s="72" t="s">
        <v>6155</v>
      </c>
      <c r="C227" s="56" t="s">
        <v>6156</v>
      </c>
      <c r="D227" s="57"/>
      <c r="E227" s="58">
        <v>1</v>
      </c>
      <c r="F227" s="58">
        <v>5</v>
      </c>
      <c r="G227" s="59">
        <v>35019</v>
      </c>
      <c r="H227" s="59">
        <v>35145</v>
      </c>
      <c r="I227" s="60">
        <v>1</v>
      </c>
      <c r="J227" s="58"/>
      <c r="K227" s="58" t="s">
        <v>5502</v>
      </c>
      <c r="L227" s="58"/>
      <c r="M227" s="58"/>
      <c r="N227" s="58"/>
      <c r="O227" s="58"/>
      <c r="P227" s="61">
        <f t="shared" si="3"/>
        <v>5</v>
      </c>
      <c r="Q227" s="62" t="s">
        <v>6157</v>
      </c>
      <c r="R227" s="73"/>
      <c r="S227" s="74"/>
    </row>
    <row r="228" spans="1:19" s="63" customFormat="1" ht="45" x14ac:dyDescent="0.25">
      <c r="A228" s="71">
        <v>220</v>
      </c>
      <c r="B228" s="72" t="s">
        <v>6158</v>
      </c>
      <c r="C228" s="56" t="s">
        <v>6159</v>
      </c>
      <c r="D228" s="57"/>
      <c r="E228" s="58">
        <v>1</v>
      </c>
      <c r="F228" s="58">
        <v>4</v>
      </c>
      <c r="G228" s="59">
        <v>35019</v>
      </c>
      <c r="H228" s="59">
        <v>35145</v>
      </c>
      <c r="I228" s="60">
        <v>1</v>
      </c>
      <c r="J228" s="58"/>
      <c r="K228" s="58" t="s">
        <v>5502</v>
      </c>
      <c r="L228" s="58"/>
      <c r="M228" s="58"/>
      <c r="N228" s="58"/>
      <c r="O228" s="58"/>
      <c r="P228" s="61">
        <f t="shared" si="3"/>
        <v>4</v>
      </c>
      <c r="Q228" s="62" t="s">
        <v>6160</v>
      </c>
      <c r="R228" s="73"/>
      <c r="S228" s="74"/>
    </row>
    <row r="229" spans="1:19" s="63" customFormat="1" ht="45" x14ac:dyDescent="0.25">
      <c r="A229" s="71">
        <v>221</v>
      </c>
      <c r="B229" s="72" t="s">
        <v>6161</v>
      </c>
      <c r="C229" s="56" t="s">
        <v>6162</v>
      </c>
      <c r="D229" s="57"/>
      <c r="E229" s="58">
        <v>1</v>
      </c>
      <c r="F229" s="58">
        <v>6</v>
      </c>
      <c r="G229" s="59">
        <v>35019</v>
      </c>
      <c r="H229" s="59">
        <v>35145</v>
      </c>
      <c r="I229" s="60">
        <v>1</v>
      </c>
      <c r="J229" s="58"/>
      <c r="K229" s="58" t="s">
        <v>5502</v>
      </c>
      <c r="L229" s="58"/>
      <c r="M229" s="58"/>
      <c r="N229" s="58"/>
      <c r="O229" s="58"/>
      <c r="P229" s="61">
        <f t="shared" si="3"/>
        <v>6</v>
      </c>
      <c r="Q229" s="62" t="s">
        <v>6163</v>
      </c>
      <c r="R229" s="73"/>
      <c r="S229" s="74"/>
    </row>
    <row r="230" spans="1:19" s="63" customFormat="1" ht="45" x14ac:dyDescent="0.25">
      <c r="A230" s="71">
        <v>222</v>
      </c>
      <c r="B230" s="72" t="s">
        <v>6164</v>
      </c>
      <c r="C230" s="56" t="s">
        <v>6165</v>
      </c>
      <c r="D230" s="57"/>
      <c r="E230" s="58">
        <v>1</v>
      </c>
      <c r="F230" s="58">
        <v>5</v>
      </c>
      <c r="G230" s="59">
        <v>35019</v>
      </c>
      <c r="H230" s="59">
        <v>35145</v>
      </c>
      <c r="I230" s="60">
        <v>1</v>
      </c>
      <c r="J230" s="58"/>
      <c r="K230" s="58" t="s">
        <v>5502</v>
      </c>
      <c r="L230" s="58"/>
      <c r="M230" s="58"/>
      <c r="N230" s="58"/>
      <c r="O230" s="58"/>
      <c r="P230" s="61">
        <f t="shared" si="3"/>
        <v>5</v>
      </c>
      <c r="Q230" s="62" t="s">
        <v>6166</v>
      </c>
      <c r="R230" s="73"/>
      <c r="S230" s="74"/>
    </row>
    <row r="231" spans="1:19" s="63" customFormat="1" ht="45" x14ac:dyDescent="0.25">
      <c r="A231" s="71">
        <v>223</v>
      </c>
      <c r="B231" s="72" t="s">
        <v>6167</v>
      </c>
      <c r="C231" s="56" t="s">
        <v>6168</v>
      </c>
      <c r="D231" s="57"/>
      <c r="E231" s="58">
        <v>1</v>
      </c>
      <c r="F231" s="58">
        <v>5</v>
      </c>
      <c r="G231" s="59">
        <v>35019</v>
      </c>
      <c r="H231" s="59">
        <v>35145</v>
      </c>
      <c r="I231" s="60">
        <v>1</v>
      </c>
      <c r="J231" s="58"/>
      <c r="K231" s="58" t="s">
        <v>5502</v>
      </c>
      <c r="L231" s="58"/>
      <c r="M231" s="58"/>
      <c r="N231" s="58"/>
      <c r="O231" s="58"/>
      <c r="P231" s="61">
        <f t="shared" si="3"/>
        <v>5</v>
      </c>
      <c r="Q231" s="62" t="s">
        <v>6169</v>
      </c>
      <c r="R231" s="73"/>
      <c r="S231" s="74"/>
    </row>
    <row r="232" spans="1:19" s="63" customFormat="1" ht="45" x14ac:dyDescent="0.25">
      <c r="A232" s="71">
        <v>224</v>
      </c>
      <c r="B232" s="72" t="s">
        <v>6170</v>
      </c>
      <c r="C232" s="56" t="s">
        <v>6171</v>
      </c>
      <c r="D232" s="57"/>
      <c r="E232" s="58">
        <v>1</v>
      </c>
      <c r="F232" s="58">
        <v>6</v>
      </c>
      <c r="G232" s="59">
        <v>35019</v>
      </c>
      <c r="H232" s="59">
        <v>35145</v>
      </c>
      <c r="I232" s="60">
        <v>1</v>
      </c>
      <c r="J232" s="58"/>
      <c r="K232" s="58" t="s">
        <v>5502</v>
      </c>
      <c r="L232" s="58"/>
      <c r="M232" s="58"/>
      <c r="N232" s="58"/>
      <c r="O232" s="58"/>
      <c r="P232" s="61">
        <f t="shared" si="3"/>
        <v>6</v>
      </c>
      <c r="Q232" s="62" t="s">
        <v>6172</v>
      </c>
      <c r="R232" s="73"/>
      <c r="S232" s="74"/>
    </row>
    <row r="233" spans="1:19" s="63" customFormat="1" ht="45" x14ac:dyDescent="0.25">
      <c r="A233" s="71">
        <v>225</v>
      </c>
      <c r="B233" s="72" t="s">
        <v>6173</v>
      </c>
      <c r="C233" s="56" t="s">
        <v>6174</v>
      </c>
      <c r="D233" s="57"/>
      <c r="E233" s="58">
        <v>1</v>
      </c>
      <c r="F233" s="58">
        <v>5</v>
      </c>
      <c r="G233" s="59">
        <v>35019</v>
      </c>
      <c r="H233" s="59">
        <v>35145</v>
      </c>
      <c r="I233" s="60">
        <v>1</v>
      </c>
      <c r="J233" s="58"/>
      <c r="K233" s="58" t="s">
        <v>5502</v>
      </c>
      <c r="L233" s="58"/>
      <c r="M233" s="58"/>
      <c r="N233" s="58"/>
      <c r="O233" s="58"/>
      <c r="P233" s="61">
        <f t="shared" si="3"/>
        <v>5</v>
      </c>
      <c r="Q233" s="62" t="s">
        <v>6175</v>
      </c>
      <c r="R233" s="73"/>
      <c r="S233" s="74"/>
    </row>
    <row r="234" spans="1:19" s="63" customFormat="1" ht="45" x14ac:dyDescent="0.25">
      <c r="A234" s="71">
        <v>226</v>
      </c>
      <c r="B234" s="72" t="s">
        <v>6176</v>
      </c>
      <c r="C234" s="56" t="s">
        <v>6177</v>
      </c>
      <c r="D234" s="57"/>
      <c r="E234" s="58">
        <v>1</v>
      </c>
      <c r="F234" s="58">
        <v>4</v>
      </c>
      <c r="G234" s="59">
        <v>35019</v>
      </c>
      <c r="H234" s="59">
        <v>35145</v>
      </c>
      <c r="I234" s="60">
        <v>1</v>
      </c>
      <c r="J234" s="58"/>
      <c r="K234" s="58" t="s">
        <v>5502</v>
      </c>
      <c r="L234" s="58"/>
      <c r="M234" s="58"/>
      <c r="N234" s="58"/>
      <c r="O234" s="58"/>
      <c r="P234" s="61">
        <f t="shared" si="3"/>
        <v>4</v>
      </c>
      <c r="Q234" s="62" t="s">
        <v>6178</v>
      </c>
      <c r="R234" s="73"/>
      <c r="S234" s="74"/>
    </row>
    <row r="235" spans="1:19" s="63" customFormat="1" ht="45" x14ac:dyDescent="0.25">
      <c r="A235" s="71">
        <v>227</v>
      </c>
      <c r="B235" s="72" t="s">
        <v>6179</v>
      </c>
      <c r="C235" s="56" t="s">
        <v>6180</v>
      </c>
      <c r="D235" s="57"/>
      <c r="E235" s="58">
        <v>1</v>
      </c>
      <c r="F235" s="58">
        <v>5</v>
      </c>
      <c r="G235" s="59">
        <v>35019</v>
      </c>
      <c r="H235" s="59">
        <v>35145</v>
      </c>
      <c r="I235" s="60">
        <v>1</v>
      </c>
      <c r="J235" s="58"/>
      <c r="K235" s="58" t="s">
        <v>5502</v>
      </c>
      <c r="L235" s="58"/>
      <c r="M235" s="58"/>
      <c r="N235" s="58"/>
      <c r="O235" s="58"/>
      <c r="P235" s="61">
        <f t="shared" si="3"/>
        <v>5</v>
      </c>
      <c r="Q235" s="62" t="s">
        <v>6181</v>
      </c>
      <c r="R235" s="73"/>
      <c r="S235" s="74"/>
    </row>
    <row r="236" spans="1:19" s="63" customFormat="1" ht="56.25" x14ac:dyDescent="0.25">
      <c r="A236" s="71">
        <v>228</v>
      </c>
      <c r="B236" s="72" t="s">
        <v>6182</v>
      </c>
      <c r="C236" s="56" t="s">
        <v>6183</v>
      </c>
      <c r="D236" s="57"/>
      <c r="E236" s="58">
        <v>1</v>
      </c>
      <c r="F236" s="58">
        <v>6</v>
      </c>
      <c r="G236" s="59">
        <v>35019</v>
      </c>
      <c r="H236" s="59">
        <v>35089</v>
      </c>
      <c r="I236" s="60">
        <v>1</v>
      </c>
      <c r="J236" s="58"/>
      <c r="K236" s="58" t="s">
        <v>5502</v>
      </c>
      <c r="L236" s="58"/>
      <c r="M236" s="58"/>
      <c r="N236" s="58"/>
      <c r="O236" s="58"/>
      <c r="P236" s="61">
        <f t="shared" si="3"/>
        <v>6</v>
      </c>
      <c r="Q236" s="62" t="s">
        <v>6184</v>
      </c>
      <c r="R236" s="73"/>
      <c r="S236" s="74"/>
    </row>
    <row r="237" spans="1:19" s="63" customFormat="1" ht="56.25" x14ac:dyDescent="0.25">
      <c r="A237" s="71">
        <v>229</v>
      </c>
      <c r="B237" s="72" t="s">
        <v>6185</v>
      </c>
      <c r="C237" s="56" t="s">
        <v>6186</v>
      </c>
      <c r="D237" s="57"/>
      <c r="E237" s="58">
        <v>1</v>
      </c>
      <c r="F237" s="58">
        <v>5</v>
      </c>
      <c r="G237" s="59">
        <v>35019</v>
      </c>
      <c r="H237" s="59">
        <v>35089</v>
      </c>
      <c r="I237" s="60">
        <v>1</v>
      </c>
      <c r="J237" s="58"/>
      <c r="K237" s="58" t="s">
        <v>5502</v>
      </c>
      <c r="L237" s="58"/>
      <c r="M237" s="58"/>
      <c r="N237" s="58"/>
      <c r="O237" s="58"/>
      <c r="P237" s="61">
        <f t="shared" si="3"/>
        <v>5</v>
      </c>
      <c r="Q237" s="62" t="s">
        <v>6187</v>
      </c>
      <c r="R237" s="73"/>
      <c r="S237" s="74"/>
    </row>
    <row r="238" spans="1:19" s="63" customFormat="1" ht="56.25" x14ac:dyDescent="0.25">
      <c r="A238" s="71">
        <v>230</v>
      </c>
      <c r="B238" s="72" t="s">
        <v>6188</v>
      </c>
      <c r="C238" s="56" t="s">
        <v>6189</v>
      </c>
      <c r="D238" s="57"/>
      <c r="E238" s="58">
        <v>1</v>
      </c>
      <c r="F238" s="58">
        <v>6</v>
      </c>
      <c r="G238" s="59">
        <v>35019</v>
      </c>
      <c r="H238" s="59">
        <v>35089</v>
      </c>
      <c r="I238" s="60">
        <v>1</v>
      </c>
      <c r="J238" s="58"/>
      <c r="K238" s="58" t="s">
        <v>5502</v>
      </c>
      <c r="L238" s="58"/>
      <c r="M238" s="58"/>
      <c r="N238" s="58"/>
      <c r="O238" s="58"/>
      <c r="P238" s="61">
        <f t="shared" si="3"/>
        <v>6</v>
      </c>
      <c r="Q238" s="62" t="s">
        <v>6190</v>
      </c>
      <c r="R238" s="73"/>
      <c r="S238" s="74"/>
    </row>
    <row r="239" spans="1:19" s="63" customFormat="1" ht="45" x14ac:dyDescent="0.25">
      <c r="A239" s="71">
        <v>231</v>
      </c>
      <c r="B239" s="72" t="s">
        <v>6191</v>
      </c>
      <c r="C239" s="56" t="s">
        <v>6192</v>
      </c>
      <c r="D239" s="57"/>
      <c r="E239" s="58">
        <v>1</v>
      </c>
      <c r="F239" s="58">
        <v>5</v>
      </c>
      <c r="G239" s="59">
        <v>35019</v>
      </c>
      <c r="H239" s="59">
        <v>35089</v>
      </c>
      <c r="I239" s="60">
        <v>1</v>
      </c>
      <c r="J239" s="58"/>
      <c r="K239" s="58" t="s">
        <v>5502</v>
      </c>
      <c r="L239" s="58"/>
      <c r="M239" s="58"/>
      <c r="N239" s="58"/>
      <c r="O239" s="58"/>
      <c r="P239" s="61">
        <f t="shared" si="3"/>
        <v>5</v>
      </c>
      <c r="Q239" s="62" t="s">
        <v>6193</v>
      </c>
      <c r="R239" s="73"/>
      <c r="S239" s="74"/>
    </row>
    <row r="240" spans="1:19" s="63" customFormat="1" ht="45" x14ac:dyDescent="0.25">
      <c r="A240" s="71">
        <v>232</v>
      </c>
      <c r="B240" s="72" t="s">
        <v>6194</v>
      </c>
      <c r="C240" s="56" t="s">
        <v>6195</v>
      </c>
      <c r="D240" s="57"/>
      <c r="E240" s="58">
        <v>1</v>
      </c>
      <c r="F240" s="58">
        <v>6</v>
      </c>
      <c r="G240" s="59">
        <v>35019</v>
      </c>
      <c r="H240" s="59">
        <v>35089</v>
      </c>
      <c r="I240" s="60">
        <v>1</v>
      </c>
      <c r="J240" s="58"/>
      <c r="K240" s="58" t="s">
        <v>5502</v>
      </c>
      <c r="L240" s="58"/>
      <c r="M240" s="58"/>
      <c r="N240" s="58"/>
      <c r="O240" s="58"/>
      <c r="P240" s="61">
        <f t="shared" si="3"/>
        <v>6</v>
      </c>
      <c r="Q240" s="62" t="s">
        <v>6196</v>
      </c>
      <c r="R240" s="73"/>
      <c r="S240" s="74"/>
    </row>
    <row r="241" spans="1:19" s="63" customFormat="1" ht="56.25" x14ac:dyDescent="0.25">
      <c r="A241" s="71">
        <v>233</v>
      </c>
      <c r="B241" s="72" t="s">
        <v>6197</v>
      </c>
      <c r="C241" s="56" t="s">
        <v>6198</v>
      </c>
      <c r="D241" s="57"/>
      <c r="E241" s="58">
        <v>1</v>
      </c>
      <c r="F241" s="58">
        <v>6</v>
      </c>
      <c r="G241" s="59">
        <v>35019</v>
      </c>
      <c r="H241" s="59">
        <v>35089</v>
      </c>
      <c r="I241" s="60">
        <v>1</v>
      </c>
      <c r="J241" s="58"/>
      <c r="K241" s="58" t="s">
        <v>5502</v>
      </c>
      <c r="L241" s="58"/>
      <c r="M241" s="58"/>
      <c r="N241" s="58"/>
      <c r="O241" s="58"/>
      <c r="P241" s="61">
        <f t="shared" si="3"/>
        <v>6</v>
      </c>
      <c r="Q241" s="62" t="s">
        <v>6199</v>
      </c>
      <c r="R241" s="73"/>
      <c r="S241" s="74"/>
    </row>
    <row r="242" spans="1:19" s="63" customFormat="1" ht="56.25" x14ac:dyDescent="0.25">
      <c r="A242" s="71">
        <v>234</v>
      </c>
      <c r="B242" s="72" t="s">
        <v>6200</v>
      </c>
      <c r="C242" s="56" t="s">
        <v>6201</v>
      </c>
      <c r="D242" s="57"/>
      <c r="E242" s="58">
        <v>1</v>
      </c>
      <c r="F242" s="58">
        <v>5</v>
      </c>
      <c r="G242" s="59">
        <v>35019</v>
      </c>
      <c r="H242" s="59">
        <v>35089</v>
      </c>
      <c r="I242" s="60">
        <v>1</v>
      </c>
      <c r="J242" s="58"/>
      <c r="K242" s="58" t="s">
        <v>5502</v>
      </c>
      <c r="L242" s="58"/>
      <c r="M242" s="58"/>
      <c r="N242" s="58"/>
      <c r="O242" s="58"/>
      <c r="P242" s="61">
        <f t="shared" si="3"/>
        <v>5</v>
      </c>
      <c r="Q242" s="62" t="s">
        <v>6202</v>
      </c>
      <c r="R242" s="73"/>
      <c r="S242" s="74"/>
    </row>
    <row r="243" spans="1:19" s="63" customFormat="1" ht="45" x14ac:dyDescent="0.25">
      <c r="A243" s="71">
        <v>235</v>
      </c>
      <c r="B243" s="72" t="s">
        <v>6203</v>
      </c>
      <c r="C243" s="56" t="s">
        <v>6204</v>
      </c>
      <c r="D243" s="57"/>
      <c r="E243" s="58">
        <v>1</v>
      </c>
      <c r="F243" s="58">
        <v>7</v>
      </c>
      <c r="G243" s="59">
        <v>35019</v>
      </c>
      <c r="H243" s="59">
        <v>35089</v>
      </c>
      <c r="I243" s="60">
        <v>1</v>
      </c>
      <c r="J243" s="58"/>
      <c r="K243" s="58" t="s">
        <v>5502</v>
      </c>
      <c r="L243" s="58"/>
      <c r="M243" s="58"/>
      <c r="N243" s="58"/>
      <c r="O243" s="58"/>
      <c r="P243" s="61">
        <f t="shared" si="3"/>
        <v>7</v>
      </c>
      <c r="Q243" s="62" t="s">
        <v>6205</v>
      </c>
      <c r="R243" s="73"/>
      <c r="S243" s="74"/>
    </row>
    <row r="244" spans="1:19" s="63" customFormat="1" ht="45" x14ac:dyDescent="0.25">
      <c r="A244" s="71">
        <v>236</v>
      </c>
      <c r="B244" s="72" t="s">
        <v>6206</v>
      </c>
      <c r="C244" s="56" t="s">
        <v>6207</v>
      </c>
      <c r="D244" s="57"/>
      <c r="E244" s="58">
        <v>1</v>
      </c>
      <c r="F244" s="58">
        <v>6</v>
      </c>
      <c r="G244" s="59">
        <v>35019</v>
      </c>
      <c r="H244" s="59">
        <v>35089</v>
      </c>
      <c r="I244" s="60">
        <v>1</v>
      </c>
      <c r="J244" s="58"/>
      <c r="K244" s="58" t="s">
        <v>5502</v>
      </c>
      <c r="L244" s="58"/>
      <c r="M244" s="58"/>
      <c r="N244" s="58"/>
      <c r="O244" s="58"/>
      <c r="P244" s="61">
        <f t="shared" si="3"/>
        <v>6</v>
      </c>
      <c r="Q244" s="62" t="s">
        <v>6208</v>
      </c>
      <c r="R244" s="73"/>
      <c r="S244" s="74"/>
    </row>
    <row r="245" spans="1:19" s="63" customFormat="1" ht="45" x14ac:dyDescent="0.25">
      <c r="A245" s="71">
        <v>237</v>
      </c>
      <c r="B245" s="72" t="s">
        <v>6209</v>
      </c>
      <c r="C245" s="56" t="s">
        <v>6210</v>
      </c>
      <c r="D245" s="57"/>
      <c r="E245" s="58">
        <v>1</v>
      </c>
      <c r="F245" s="58">
        <v>5</v>
      </c>
      <c r="G245" s="59">
        <v>35019</v>
      </c>
      <c r="H245" s="59">
        <v>35089</v>
      </c>
      <c r="I245" s="60">
        <v>1</v>
      </c>
      <c r="J245" s="58"/>
      <c r="K245" s="58" t="s">
        <v>5502</v>
      </c>
      <c r="L245" s="58"/>
      <c r="M245" s="58"/>
      <c r="N245" s="58"/>
      <c r="O245" s="58"/>
      <c r="P245" s="61">
        <f t="shared" si="3"/>
        <v>5</v>
      </c>
      <c r="Q245" s="62" t="s">
        <v>6211</v>
      </c>
      <c r="R245" s="73"/>
      <c r="S245" s="74"/>
    </row>
    <row r="246" spans="1:19" s="63" customFormat="1" ht="56.25" x14ac:dyDescent="0.25">
      <c r="A246" s="71">
        <v>238</v>
      </c>
      <c r="B246" s="72" t="s">
        <v>6212</v>
      </c>
      <c r="C246" s="56" t="s">
        <v>6213</v>
      </c>
      <c r="D246" s="57"/>
      <c r="E246" s="58">
        <v>1</v>
      </c>
      <c r="F246" s="58">
        <v>5</v>
      </c>
      <c r="G246" s="59">
        <v>35019</v>
      </c>
      <c r="H246" s="59">
        <v>35089</v>
      </c>
      <c r="I246" s="60">
        <v>1</v>
      </c>
      <c r="J246" s="58"/>
      <c r="K246" s="58" t="s">
        <v>5502</v>
      </c>
      <c r="L246" s="58"/>
      <c r="M246" s="58"/>
      <c r="N246" s="58"/>
      <c r="O246" s="58"/>
      <c r="P246" s="61">
        <f t="shared" si="3"/>
        <v>5</v>
      </c>
      <c r="Q246" s="62" t="s">
        <v>6214</v>
      </c>
      <c r="R246" s="73"/>
      <c r="S246" s="74"/>
    </row>
    <row r="247" spans="1:19" s="63" customFormat="1" ht="56.25" x14ac:dyDescent="0.25">
      <c r="A247" s="71">
        <v>239</v>
      </c>
      <c r="B247" s="72" t="s">
        <v>6215</v>
      </c>
      <c r="C247" s="56" t="s">
        <v>6216</v>
      </c>
      <c r="D247" s="57"/>
      <c r="E247" s="58">
        <v>1</v>
      </c>
      <c r="F247" s="58">
        <v>6</v>
      </c>
      <c r="G247" s="59">
        <v>35038</v>
      </c>
      <c r="H247" s="59">
        <v>35145</v>
      </c>
      <c r="I247" s="60">
        <v>1</v>
      </c>
      <c r="J247" s="58"/>
      <c r="K247" s="58" t="s">
        <v>5502</v>
      </c>
      <c r="L247" s="58"/>
      <c r="M247" s="58"/>
      <c r="N247" s="58"/>
      <c r="O247" s="58"/>
      <c r="P247" s="61">
        <f t="shared" si="3"/>
        <v>6</v>
      </c>
      <c r="Q247" s="62" t="s">
        <v>6217</v>
      </c>
      <c r="R247" s="73"/>
      <c r="S247" s="74"/>
    </row>
    <row r="248" spans="1:19" s="63" customFormat="1" ht="45" x14ac:dyDescent="0.25">
      <c r="A248" s="71">
        <v>240</v>
      </c>
      <c r="B248" s="72" t="s">
        <v>6218</v>
      </c>
      <c r="C248" s="56" t="s">
        <v>6219</v>
      </c>
      <c r="D248" s="57"/>
      <c r="E248" s="58">
        <v>1</v>
      </c>
      <c r="F248" s="58">
        <v>5</v>
      </c>
      <c r="G248" s="59">
        <v>35038</v>
      </c>
      <c r="H248" s="59">
        <v>35145</v>
      </c>
      <c r="I248" s="60">
        <v>1</v>
      </c>
      <c r="J248" s="58"/>
      <c r="K248" s="58" t="s">
        <v>5502</v>
      </c>
      <c r="L248" s="58"/>
      <c r="M248" s="58"/>
      <c r="N248" s="58"/>
      <c r="O248" s="58"/>
      <c r="P248" s="61">
        <f t="shared" si="3"/>
        <v>5</v>
      </c>
      <c r="Q248" s="62" t="s">
        <v>6220</v>
      </c>
      <c r="R248" s="73"/>
      <c r="S248" s="74"/>
    </row>
    <row r="249" spans="1:19" s="63" customFormat="1" ht="56.25" x14ac:dyDescent="0.25">
      <c r="A249" s="71">
        <v>241</v>
      </c>
      <c r="B249" s="72" t="s">
        <v>6221</v>
      </c>
      <c r="C249" s="56" t="s">
        <v>6222</v>
      </c>
      <c r="D249" s="57"/>
      <c r="E249" s="58">
        <v>1</v>
      </c>
      <c r="F249" s="58">
        <v>5</v>
      </c>
      <c r="G249" s="59">
        <v>35038</v>
      </c>
      <c r="H249" s="59">
        <v>35145</v>
      </c>
      <c r="I249" s="60">
        <v>1</v>
      </c>
      <c r="J249" s="58"/>
      <c r="K249" s="58" t="s">
        <v>5502</v>
      </c>
      <c r="L249" s="58"/>
      <c r="M249" s="58"/>
      <c r="N249" s="58"/>
      <c r="O249" s="58"/>
      <c r="P249" s="61">
        <f t="shared" si="3"/>
        <v>5</v>
      </c>
      <c r="Q249" s="62" t="s">
        <v>6223</v>
      </c>
      <c r="R249" s="73"/>
      <c r="S249" s="74"/>
    </row>
    <row r="250" spans="1:19" s="63" customFormat="1" ht="56.25" x14ac:dyDescent="0.25">
      <c r="A250" s="71">
        <v>242</v>
      </c>
      <c r="B250" s="72" t="s">
        <v>6224</v>
      </c>
      <c r="C250" s="56" t="s">
        <v>6225</v>
      </c>
      <c r="D250" s="57"/>
      <c r="E250" s="58">
        <v>1</v>
      </c>
      <c r="F250" s="58">
        <v>5</v>
      </c>
      <c r="G250" s="59">
        <v>35038</v>
      </c>
      <c r="H250" s="59">
        <v>35145</v>
      </c>
      <c r="I250" s="60">
        <v>1</v>
      </c>
      <c r="J250" s="58"/>
      <c r="K250" s="58" t="s">
        <v>5502</v>
      </c>
      <c r="L250" s="58"/>
      <c r="M250" s="58"/>
      <c r="N250" s="58"/>
      <c r="O250" s="58"/>
      <c r="P250" s="61">
        <f t="shared" si="3"/>
        <v>5</v>
      </c>
      <c r="Q250" s="62" t="s">
        <v>6226</v>
      </c>
      <c r="R250" s="73"/>
      <c r="S250" s="74"/>
    </row>
    <row r="251" spans="1:19" s="63" customFormat="1" ht="45" x14ac:dyDescent="0.25">
      <c r="A251" s="71">
        <v>243</v>
      </c>
      <c r="B251" s="72" t="s">
        <v>6227</v>
      </c>
      <c r="C251" s="56" t="s">
        <v>6228</v>
      </c>
      <c r="D251" s="57"/>
      <c r="E251" s="58">
        <v>1</v>
      </c>
      <c r="F251" s="58">
        <v>5</v>
      </c>
      <c r="G251" s="59">
        <v>35038</v>
      </c>
      <c r="H251" s="59">
        <v>35145</v>
      </c>
      <c r="I251" s="60">
        <v>1</v>
      </c>
      <c r="J251" s="58"/>
      <c r="K251" s="58" t="s">
        <v>5502</v>
      </c>
      <c r="L251" s="58"/>
      <c r="M251" s="58"/>
      <c r="N251" s="58"/>
      <c r="O251" s="58"/>
      <c r="P251" s="61">
        <f t="shared" si="3"/>
        <v>5</v>
      </c>
      <c r="Q251" s="62" t="s">
        <v>6229</v>
      </c>
      <c r="R251" s="73"/>
      <c r="S251" s="74"/>
    </row>
    <row r="252" spans="1:19" s="63" customFormat="1" ht="45" x14ac:dyDescent="0.25">
      <c r="A252" s="71">
        <v>244</v>
      </c>
      <c r="B252" s="72" t="s">
        <v>6230</v>
      </c>
      <c r="C252" s="56" t="s">
        <v>6231</v>
      </c>
      <c r="D252" s="57"/>
      <c r="E252" s="58">
        <v>1</v>
      </c>
      <c r="F252" s="58">
        <v>5</v>
      </c>
      <c r="G252" s="59">
        <v>35038</v>
      </c>
      <c r="H252" s="59">
        <v>35145</v>
      </c>
      <c r="I252" s="60">
        <v>1</v>
      </c>
      <c r="J252" s="58"/>
      <c r="K252" s="58" t="s">
        <v>5502</v>
      </c>
      <c r="L252" s="58"/>
      <c r="M252" s="58"/>
      <c r="N252" s="58"/>
      <c r="O252" s="58"/>
      <c r="P252" s="61">
        <f t="shared" si="3"/>
        <v>5</v>
      </c>
      <c r="Q252" s="62" t="s">
        <v>6232</v>
      </c>
      <c r="R252" s="73"/>
      <c r="S252" s="74"/>
    </row>
    <row r="253" spans="1:19" s="63" customFormat="1" ht="56.25" x14ac:dyDescent="0.25">
      <c r="A253" s="71">
        <v>245</v>
      </c>
      <c r="B253" s="72" t="s">
        <v>6233</v>
      </c>
      <c r="C253" s="56" t="s">
        <v>6234</v>
      </c>
      <c r="D253" s="57"/>
      <c r="E253" s="58">
        <v>1</v>
      </c>
      <c r="F253" s="58">
        <v>5</v>
      </c>
      <c r="G253" s="59">
        <v>35038</v>
      </c>
      <c r="H253" s="59">
        <v>35145</v>
      </c>
      <c r="I253" s="60">
        <v>1</v>
      </c>
      <c r="J253" s="58"/>
      <c r="K253" s="58" t="s">
        <v>5502</v>
      </c>
      <c r="L253" s="58"/>
      <c r="M253" s="58"/>
      <c r="N253" s="58"/>
      <c r="O253" s="58"/>
      <c r="P253" s="61">
        <f t="shared" si="3"/>
        <v>5</v>
      </c>
      <c r="Q253" s="62" t="s">
        <v>6235</v>
      </c>
      <c r="R253" s="73"/>
      <c r="S253" s="74"/>
    </row>
    <row r="254" spans="1:19" s="63" customFormat="1" ht="45" x14ac:dyDescent="0.25">
      <c r="A254" s="71">
        <v>246</v>
      </c>
      <c r="B254" s="72" t="s">
        <v>6236</v>
      </c>
      <c r="C254" s="56" t="s">
        <v>6237</v>
      </c>
      <c r="D254" s="57"/>
      <c r="E254" s="58">
        <v>1</v>
      </c>
      <c r="F254" s="58">
        <v>5</v>
      </c>
      <c r="G254" s="59">
        <v>35038</v>
      </c>
      <c r="H254" s="59">
        <v>35145</v>
      </c>
      <c r="I254" s="60">
        <v>1</v>
      </c>
      <c r="J254" s="58"/>
      <c r="K254" s="58" t="s">
        <v>5502</v>
      </c>
      <c r="L254" s="58"/>
      <c r="M254" s="58"/>
      <c r="N254" s="58"/>
      <c r="O254" s="58"/>
      <c r="P254" s="61">
        <f t="shared" si="3"/>
        <v>5</v>
      </c>
      <c r="Q254" s="62" t="s">
        <v>6238</v>
      </c>
      <c r="R254" s="73"/>
      <c r="S254" s="74"/>
    </row>
    <row r="255" spans="1:19" s="63" customFormat="1" ht="45" x14ac:dyDescent="0.25">
      <c r="A255" s="71">
        <v>247</v>
      </c>
      <c r="B255" s="72" t="s">
        <v>6239</v>
      </c>
      <c r="C255" s="56" t="s">
        <v>6240</v>
      </c>
      <c r="D255" s="57"/>
      <c r="E255" s="58">
        <v>1</v>
      </c>
      <c r="F255" s="58">
        <v>6</v>
      </c>
      <c r="G255" s="59">
        <v>35038</v>
      </c>
      <c r="H255" s="59">
        <v>35145</v>
      </c>
      <c r="I255" s="60">
        <v>1</v>
      </c>
      <c r="J255" s="58"/>
      <c r="K255" s="58" t="s">
        <v>5502</v>
      </c>
      <c r="L255" s="58"/>
      <c r="M255" s="58"/>
      <c r="N255" s="58"/>
      <c r="O255" s="58"/>
      <c r="P255" s="61">
        <f t="shared" si="3"/>
        <v>6</v>
      </c>
      <c r="Q255" s="62" t="s">
        <v>6241</v>
      </c>
      <c r="R255" s="73"/>
      <c r="S255" s="74"/>
    </row>
    <row r="256" spans="1:19" s="63" customFormat="1" ht="45" x14ac:dyDescent="0.25">
      <c r="A256" s="71">
        <v>248</v>
      </c>
      <c r="B256" s="72" t="s">
        <v>6242</v>
      </c>
      <c r="C256" s="56" t="s">
        <v>6243</v>
      </c>
      <c r="D256" s="57"/>
      <c r="E256" s="58">
        <v>1</v>
      </c>
      <c r="F256" s="58">
        <v>6</v>
      </c>
      <c r="G256" s="59">
        <v>35038</v>
      </c>
      <c r="H256" s="59">
        <v>35145</v>
      </c>
      <c r="I256" s="60">
        <v>1</v>
      </c>
      <c r="J256" s="58"/>
      <c r="K256" s="58" t="s">
        <v>5502</v>
      </c>
      <c r="L256" s="58"/>
      <c r="M256" s="58"/>
      <c r="N256" s="58"/>
      <c r="O256" s="58"/>
      <c r="P256" s="61">
        <f t="shared" si="3"/>
        <v>6</v>
      </c>
      <c r="Q256" s="62" t="s">
        <v>6244</v>
      </c>
      <c r="R256" s="73"/>
      <c r="S256" s="74"/>
    </row>
    <row r="257" spans="1:19" s="63" customFormat="1" ht="45" x14ac:dyDescent="0.25">
      <c r="A257" s="71">
        <v>249</v>
      </c>
      <c r="B257" s="72" t="s">
        <v>6245</v>
      </c>
      <c r="C257" s="56" t="s">
        <v>6246</v>
      </c>
      <c r="D257" s="57"/>
      <c r="E257" s="58">
        <v>1</v>
      </c>
      <c r="F257" s="58">
        <v>5</v>
      </c>
      <c r="G257" s="59">
        <v>35038</v>
      </c>
      <c r="H257" s="59">
        <v>35145</v>
      </c>
      <c r="I257" s="60">
        <v>1</v>
      </c>
      <c r="J257" s="58"/>
      <c r="K257" s="58" t="s">
        <v>5502</v>
      </c>
      <c r="L257" s="58"/>
      <c r="M257" s="58"/>
      <c r="N257" s="58"/>
      <c r="O257" s="58"/>
      <c r="P257" s="61">
        <f t="shared" si="3"/>
        <v>5</v>
      </c>
      <c r="Q257" s="62" t="s">
        <v>6247</v>
      </c>
      <c r="R257" s="73"/>
      <c r="S257" s="74"/>
    </row>
    <row r="258" spans="1:19" s="63" customFormat="1" ht="45" x14ac:dyDescent="0.25">
      <c r="A258" s="71">
        <v>250</v>
      </c>
      <c r="B258" s="72" t="s">
        <v>6248</v>
      </c>
      <c r="C258" s="56" t="s">
        <v>6249</v>
      </c>
      <c r="D258" s="57"/>
      <c r="E258" s="58">
        <v>1</v>
      </c>
      <c r="F258" s="58">
        <v>5</v>
      </c>
      <c r="G258" s="59">
        <v>35038</v>
      </c>
      <c r="H258" s="59">
        <v>35145</v>
      </c>
      <c r="I258" s="60">
        <v>1</v>
      </c>
      <c r="J258" s="58"/>
      <c r="K258" s="58" t="s">
        <v>5502</v>
      </c>
      <c r="L258" s="58"/>
      <c r="M258" s="58"/>
      <c r="N258" s="58"/>
      <c r="O258" s="58"/>
      <c r="P258" s="61">
        <f t="shared" si="3"/>
        <v>5</v>
      </c>
      <c r="Q258" s="62" t="s">
        <v>6250</v>
      </c>
      <c r="R258" s="73"/>
      <c r="S258" s="74"/>
    </row>
    <row r="259" spans="1:19" s="63" customFormat="1" ht="45" x14ac:dyDescent="0.25">
      <c r="A259" s="71">
        <v>251</v>
      </c>
      <c r="B259" s="72" t="s">
        <v>6251</v>
      </c>
      <c r="C259" s="56" t="s">
        <v>6252</v>
      </c>
      <c r="D259" s="57"/>
      <c r="E259" s="58">
        <v>1</v>
      </c>
      <c r="F259" s="58">
        <v>5</v>
      </c>
      <c r="G259" s="59">
        <v>35038</v>
      </c>
      <c r="H259" s="59">
        <v>35145</v>
      </c>
      <c r="I259" s="60">
        <v>1</v>
      </c>
      <c r="J259" s="58"/>
      <c r="K259" s="58" t="s">
        <v>5502</v>
      </c>
      <c r="L259" s="58"/>
      <c r="M259" s="58"/>
      <c r="N259" s="58"/>
      <c r="O259" s="58"/>
      <c r="P259" s="61">
        <f t="shared" si="3"/>
        <v>5</v>
      </c>
      <c r="Q259" s="62" t="s">
        <v>6253</v>
      </c>
      <c r="R259" s="73"/>
      <c r="S259" s="74"/>
    </row>
    <row r="260" spans="1:19" s="63" customFormat="1" ht="45" x14ac:dyDescent="0.25">
      <c r="A260" s="71">
        <v>252</v>
      </c>
      <c r="B260" s="72" t="s">
        <v>6254</v>
      </c>
      <c r="C260" s="56" t="s">
        <v>6255</v>
      </c>
      <c r="D260" s="57"/>
      <c r="E260" s="58">
        <v>1</v>
      </c>
      <c r="F260" s="58">
        <v>5</v>
      </c>
      <c r="G260" s="59">
        <v>35185</v>
      </c>
      <c r="H260" s="59">
        <v>35201</v>
      </c>
      <c r="I260" s="60">
        <v>1</v>
      </c>
      <c r="J260" s="58"/>
      <c r="K260" s="58" t="s">
        <v>5502</v>
      </c>
      <c r="L260" s="58"/>
      <c r="M260" s="58"/>
      <c r="N260" s="58"/>
      <c r="O260" s="58"/>
      <c r="P260" s="61">
        <f t="shared" si="3"/>
        <v>5</v>
      </c>
      <c r="Q260" s="62" t="s">
        <v>6256</v>
      </c>
      <c r="R260" s="73"/>
      <c r="S260" s="74"/>
    </row>
    <row r="261" spans="1:19" s="63" customFormat="1" ht="45" x14ac:dyDescent="0.25">
      <c r="A261" s="71">
        <v>253</v>
      </c>
      <c r="B261" s="72" t="s">
        <v>6257</v>
      </c>
      <c r="C261" s="56" t="s">
        <v>6258</v>
      </c>
      <c r="D261" s="57"/>
      <c r="E261" s="58">
        <v>1</v>
      </c>
      <c r="F261" s="58">
        <v>7</v>
      </c>
      <c r="G261" s="59">
        <v>35185</v>
      </c>
      <c r="H261" s="59">
        <v>35201</v>
      </c>
      <c r="I261" s="60">
        <v>1</v>
      </c>
      <c r="J261" s="58"/>
      <c r="K261" s="58" t="s">
        <v>5502</v>
      </c>
      <c r="L261" s="58"/>
      <c r="M261" s="58"/>
      <c r="N261" s="58"/>
      <c r="O261" s="58"/>
      <c r="P261" s="61">
        <f t="shared" si="3"/>
        <v>7</v>
      </c>
      <c r="Q261" s="62" t="s">
        <v>6259</v>
      </c>
      <c r="R261" s="73"/>
      <c r="S261" s="74"/>
    </row>
    <row r="262" spans="1:19" s="63" customFormat="1" ht="45" x14ac:dyDescent="0.25">
      <c r="A262" s="71">
        <v>254</v>
      </c>
      <c r="B262" s="72" t="s">
        <v>6260</v>
      </c>
      <c r="C262" s="56" t="s">
        <v>6261</v>
      </c>
      <c r="D262" s="57"/>
      <c r="E262" s="58">
        <v>1</v>
      </c>
      <c r="F262" s="58">
        <v>5</v>
      </c>
      <c r="G262" s="59">
        <v>35185</v>
      </c>
      <c r="H262" s="59">
        <v>35201</v>
      </c>
      <c r="I262" s="60">
        <v>1</v>
      </c>
      <c r="J262" s="58"/>
      <c r="K262" s="58" t="s">
        <v>5502</v>
      </c>
      <c r="L262" s="58"/>
      <c r="M262" s="58"/>
      <c r="N262" s="58"/>
      <c r="O262" s="58"/>
      <c r="P262" s="61">
        <f t="shared" si="3"/>
        <v>5</v>
      </c>
      <c r="Q262" s="62" t="s">
        <v>6262</v>
      </c>
      <c r="R262" s="73"/>
      <c r="S262" s="74"/>
    </row>
    <row r="263" spans="1:19" s="63" customFormat="1" ht="56.25" x14ac:dyDescent="0.25">
      <c r="A263" s="71">
        <v>255</v>
      </c>
      <c r="B263" s="72" t="s">
        <v>6263</v>
      </c>
      <c r="C263" s="56" t="s">
        <v>6264</v>
      </c>
      <c r="D263" s="57"/>
      <c r="E263" s="58">
        <v>1</v>
      </c>
      <c r="F263" s="58">
        <v>5</v>
      </c>
      <c r="G263" s="59">
        <v>35185</v>
      </c>
      <c r="H263" s="59">
        <v>35201</v>
      </c>
      <c r="I263" s="60">
        <v>1</v>
      </c>
      <c r="J263" s="58"/>
      <c r="K263" s="58" t="s">
        <v>5502</v>
      </c>
      <c r="L263" s="58"/>
      <c r="M263" s="58"/>
      <c r="N263" s="58"/>
      <c r="O263" s="58"/>
      <c r="P263" s="61">
        <f t="shared" si="3"/>
        <v>5</v>
      </c>
      <c r="Q263" s="62" t="s">
        <v>6265</v>
      </c>
      <c r="R263" s="73"/>
      <c r="S263" s="74"/>
    </row>
    <row r="264" spans="1:19" s="63" customFormat="1" ht="45" x14ac:dyDescent="0.25">
      <c r="A264" s="71">
        <v>256</v>
      </c>
      <c r="B264" s="72" t="s">
        <v>6266</v>
      </c>
      <c r="C264" s="56" t="s">
        <v>6267</v>
      </c>
      <c r="D264" s="57"/>
      <c r="E264" s="58">
        <v>1</v>
      </c>
      <c r="F264" s="58">
        <v>5</v>
      </c>
      <c r="G264" s="59">
        <v>35185</v>
      </c>
      <c r="H264" s="59">
        <v>35201</v>
      </c>
      <c r="I264" s="60">
        <v>1</v>
      </c>
      <c r="J264" s="58"/>
      <c r="K264" s="58" t="s">
        <v>5502</v>
      </c>
      <c r="L264" s="58"/>
      <c r="M264" s="58"/>
      <c r="N264" s="58"/>
      <c r="O264" s="58"/>
      <c r="P264" s="61">
        <f t="shared" si="3"/>
        <v>5</v>
      </c>
      <c r="Q264" s="62" t="s">
        <v>6268</v>
      </c>
      <c r="R264" s="73"/>
      <c r="S264" s="74"/>
    </row>
    <row r="265" spans="1:19" s="63" customFormat="1" ht="56.25" x14ac:dyDescent="0.25">
      <c r="A265" s="71">
        <v>257</v>
      </c>
      <c r="B265" s="72" t="s">
        <v>6269</v>
      </c>
      <c r="C265" s="56" t="s">
        <v>6270</v>
      </c>
      <c r="D265" s="57"/>
      <c r="E265" s="58">
        <v>1</v>
      </c>
      <c r="F265" s="58">
        <v>5</v>
      </c>
      <c r="G265" s="59">
        <v>35185</v>
      </c>
      <c r="H265" s="59">
        <v>35201</v>
      </c>
      <c r="I265" s="60">
        <v>1</v>
      </c>
      <c r="J265" s="58"/>
      <c r="K265" s="58" t="s">
        <v>5502</v>
      </c>
      <c r="L265" s="58"/>
      <c r="M265" s="58"/>
      <c r="N265" s="58"/>
      <c r="O265" s="58"/>
      <c r="P265" s="61">
        <f t="shared" ref="P265:P328" si="4">IF(F265="","",IF(ISERR(F265-E265)=TRUE,"",F265-E265+1))</f>
        <v>5</v>
      </c>
      <c r="Q265" s="62" t="s">
        <v>6271</v>
      </c>
      <c r="R265" s="73"/>
      <c r="S265" s="74"/>
    </row>
    <row r="266" spans="1:19" s="63" customFormat="1" ht="56.25" x14ac:dyDescent="0.25">
      <c r="A266" s="71">
        <v>258</v>
      </c>
      <c r="B266" s="72" t="s">
        <v>6272</v>
      </c>
      <c r="C266" s="56" t="s">
        <v>6273</v>
      </c>
      <c r="D266" s="57"/>
      <c r="E266" s="58">
        <v>1</v>
      </c>
      <c r="F266" s="58">
        <v>5</v>
      </c>
      <c r="G266" s="59">
        <v>35249</v>
      </c>
      <c r="H266" s="59">
        <v>35278</v>
      </c>
      <c r="I266" s="60">
        <v>1</v>
      </c>
      <c r="J266" s="58"/>
      <c r="K266" s="58" t="s">
        <v>5502</v>
      </c>
      <c r="L266" s="58"/>
      <c r="M266" s="58"/>
      <c r="N266" s="58"/>
      <c r="O266" s="58"/>
      <c r="P266" s="61">
        <f t="shared" si="4"/>
        <v>5</v>
      </c>
      <c r="Q266" s="62" t="s">
        <v>6274</v>
      </c>
      <c r="R266" s="73"/>
      <c r="S266" s="74"/>
    </row>
    <row r="267" spans="1:19" s="63" customFormat="1" ht="45" x14ac:dyDescent="0.25">
      <c r="A267" s="71">
        <v>259</v>
      </c>
      <c r="B267" s="72" t="s">
        <v>6275</v>
      </c>
      <c r="C267" s="56" t="s">
        <v>6276</v>
      </c>
      <c r="D267" s="57"/>
      <c r="E267" s="58">
        <v>1</v>
      </c>
      <c r="F267" s="58">
        <v>5</v>
      </c>
      <c r="G267" s="59">
        <v>35340</v>
      </c>
      <c r="H267" s="59">
        <v>35394</v>
      </c>
      <c r="I267" s="60">
        <v>1</v>
      </c>
      <c r="J267" s="58"/>
      <c r="K267" s="58" t="s">
        <v>5502</v>
      </c>
      <c r="L267" s="58"/>
      <c r="M267" s="58"/>
      <c r="N267" s="58"/>
      <c r="O267" s="58"/>
      <c r="P267" s="61">
        <f t="shared" si="4"/>
        <v>5</v>
      </c>
      <c r="Q267" s="62" t="s">
        <v>6277</v>
      </c>
      <c r="R267" s="73"/>
      <c r="S267" s="74"/>
    </row>
    <row r="268" spans="1:19" s="63" customFormat="1" ht="56.25" x14ac:dyDescent="0.25">
      <c r="A268" s="71">
        <v>260</v>
      </c>
      <c r="B268" s="72" t="s">
        <v>6278</v>
      </c>
      <c r="C268" s="56" t="s">
        <v>6279</v>
      </c>
      <c r="D268" s="57"/>
      <c r="E268" s="58">
        <v>1</v>
      </c>
      <c r="F268" s="58">
        <v>6</v>
      </c>
      <c r="G268" s="59">
        <v>35340</v>
      </c>
      <c r="H268" s="59">
        <v>35394</v>
      </c>
      <c r="I268" s="60">
        <v>1</v>
      </c>
      <c r="J268" s="58"/>
      <c r="K268" s="58" t="s">
        <v>5502</v>
      </c>
      <c r="L268" s="58"/>
      <c r="M268" s="58"/>
      <c r="N268" s="58"/>
      <c r="O268" s="58"/>
      <c r="P268" s="61">
        <f t="shared" si="4"/>
        <v>6</v>
      </c>
      <c r="Q268" s="62" t="s">
        <v>6280</v>
      </c>
      <c r="R268" s="73"/>
      <c r="S268" s="74"/>
    </row>
    <row r="269" spans="1:19" s="63" customFormat="1" ht="45" x14ac:dyDescent="0.25">
      <c r="A269" s="71">
        <v>261</v>
      </c>
      <c r="B269" s="72" t="s">
        <v>6281</v>
      </c>
      <c r="C269" s="56" t="s">
        <v>6282</v>
      </c>
      <c r="D269" s="57"/>
      <c r="E269" s="58">
        <v>1</v>
      </c>
      <c r="F269" s="58">
        <v>5</v>
      </c>
      <c r="G269" s="59">
        <v>35340</v>
      </c>
      <c r="H269" s="59">
        <v>35394</v>
      </c>
      <c r="I269" s="60">
        <v>1</v>
      </c>
      <c r="J269" s="58"/>
      <c r="K269" s="58" t="s">
        <v>5502</v>
      </c>
      <c r="L269" s="58"/>
      <c r="M269" s="58"/>
      <c r="N269" s="58"/>
      <c r="O269" s="58"/>
      <c r="P269" s="61">
        <f t="shared" si="4"/>
        <v>5</v>
      </c>
      <c r="Q269" s="62" t="s">
        <v>6283</v>
      </c>
      <c r="R269" s="73"/>
      <c r="S269" s="74"/>
    </row>
    <row r="270" spans="1:19" s="63" customFormat="1" ht="45" x14ac:dyDescent="0.25">
      <c r="A270" s="71">
        <v>262</v>
      </c>
      <c r="B270" s="72" t="s">
        <v>6284</v>
      </c>
      <c r="C270" s="56" t="s">
        <v>6285</v>
      </c>
      <c r="D270" s="57"/>
      <c r="E270" s="58">
        <v>1</v>
      </c>
      <c r="F270" s="58">
        <v>5</v>
      </c>
      <c r="G270" s="59">
        <v>35370</v>
      </c>
      <c r="H270" s="59">
        <v>35394</v>
      </c>
      <c r="I270" s="60">
        <v>1</v>
      </c>
      <c r="J270" s="58"/>
      <c r="K270" s="58" t="s">
        <v>5502</v>
      </c>
      <c r="L270" s="58"/>
      <c r="M270" s="58"/>
      <c r="N270" s="58"/>
      <c r="O270" s="58"/>
      <c r="P270" s="61">
        <f t="shared" si="4"/>
        <v>5</v>
      </c>
      <c r="Q270" s="62" t="s">
        <v>6286</v>
      </c>
      <c r="R270" s="73"/>
      <c r="S270" s="74"/>
    </row>
    <row r="271" spans="1:19" s="63" customFormat="1" ht="56.25" x14ac:dyDescent="0.25">
      <c r="A271" s="71">
        <v>263</v>
      </c>
      <c r="B271" s="72" t="s">
        <v>6287</v>
      </c>
      <c r="C271" s="56" t="s">
        <v>6288</v>
      </c>
      <c r="D271" s="57"/>
      <c r="E271" s="58">
        <v>1</v>
      </c>
      <c r="F271" s="58">
        <v>5</v>
      </c>
      <c r="G271" s="59">
        <v>35370</v>
      </c>
      <c r="H271" s="59">
        <v>35394</v>
      </c>
      <c r="I271" s="60">
        <v>1</v>
      </c>
      <c r="J271" s="58"/>
      <c r="K271" s="58" t="s">
        <v>5502</v>
      </c>
      <c r="L271" s="58"/>
      <c r="M271" s="58"/>
      <c r="N271" s="58"/>
      <c r="O271" s="58"/>
      <c r="P271" s="61">
        <f t="shared" si="4"/>
        <v>5</v>
      </c>
      <c r="Q271" s="62" t="s">
        <v>6289</v>
      </c>
      <c r="R271" s="73"/>
      <c r="S271" s="74"/>
    </row>
    <row r="272" spans="1:19" s="63" customFormat="1" ht="56.25" x14ac:dyDescent="0.25">
      <c r="A272" s="71">
        <v>264</v>
      </c>
      <c r="B272" s="72" t="s">
        <v>6290</v>
      </c>
      <c r="C272" s="56" t="s">
        <v>6291</v>
      </c>
      <c r="D272" s="57"/>
      <c r="E272" s="58">
        <v>1</v>
      </c>
      <c r="F272" s="58">
        <v>5</v>
      </c>
      <c r="G272" s="59">
        <v>35370</v>
      </c>
      <c r="H272" s="59">
        <v>35394</v>
      </c>
      <c r="I272" s="60">
        <v>1</v>
      </c>
      <c r="J272" s="58"/>
      <c r="K272" s="58" t="s">
        <v>5502</v>
      </c>
      <c r="L272" s="58"/>
      <c r="M272" s="58"/>
      <c r="N272" s="58"/>
      <c r="O272" s="58"/>
      <c r="P272" s="61">
        <f t="shared" si="4"/>
        <v>5</v>
      </c>
      <c r="Q272" s="62" t="s">
        <v>6292</v>
      </c>
      <c r="R272" s="73"/>
      <c r="S272" s="74"/>
    </row>
    <row r="273" spans="1:19" s="63" customFormat="1" ht="56.25" x14ac:dyDescent="0.25">
      <c r="A273" s="71">
        <v>265</v>
      </c>
      <c r="B273" s="72" t="s">
        <v>6293</v>
      </c>
      <c r="C273" s="56" t="s">
        <v>6294</v>
      </c>
      <c r="D273" s="57"/>
      <c r="E273" s="58">
        <v>1</v>
      </c>
      <c r="F273" s="58">
        <v>6</v>
      </c>
      <c r="G273" s="59">
        <v>35410</v>
      </c>
      <c r="H273" s="59">
        <v>35416</v>
      </c>
      <c r="I273" s="60">
        <v>1</v>
      </c>
      <c r="J273" s="58"/>
      <c r="K273" s="58" t="s">
        <v>5502</v>
      </c>
      <c r="L273" s="58"/>
      <c r="M273" s="58"/>
      <c r="N273" s="58"/>
      <c r="O273" s="58"/>
      <c r="P273" s="61">
        <f t="shared" si="4"/>
        <v>6</v>
      </c>
      <c r="Q273" s="62" t="s">
        <v>6295</v>
      </c>
      <c r="R273" s="73"/>
      <c r="S273" s="74"/>
    </row>
    <row r="274" spans="1:19" s="63" customFormat="1" ht="45" x14ac:dyDescent="0.25">
      <c r="A274" s="71">
        <v>266</v>
      </c>
      <c r="B274" s="72" t="s">
        <v>6296</v>
      </c>
      <c r="C274" s="56" t="s">
        <v>6297</v>
      </c>
      <c r="D274" s="57"/>
      <c r="E274" s="58">
        <v>1</v>
      </c>
      <c r="F274" s="58">
        <v>8</v>
      </c>
      <c r="G274" s="59">
        <v>35419</v>
      </c>
      <c r="H274" s="59">
        <v>35459</v>
      </c>
      <c r="I274" s="60">
        <v>1</v>
      </c>
      <c r="J274" s="58"/>
      <c r="K274" s="58" t="s">
        <v>5502</v>
      </c>
      <c r="L274" s="58"/>
      <c r="M274" s="58"/>
      <c r="N274" s="58"/>
      <c r="O274" s="58"/>
      <c r="P274" s="61">
        <f t="shared" si="4"/>
        <v>8</v>
      </c>
      <c r="Q274" s="62" t="s">
        <v>6298</v>
      </c>
      <c r="R274" s="73"/>
      <c r="S274" s="74"/>
    </row>
    <row r="275" spans="1:19" s="63" customFormat="1" ht="45" x14ac:dyDescent="0.25">
      <c r="A275" s="71">
        <v>267</v>
      </c>
      <c r="B275" s="72" t="s">
        <v>6299</v>
      </c>
      <c r="C275" s="56" t="s">
        <v>6300</v>
      </c>
      <c r="D275" s="57"/>
      <c r="E275" s="58">
        <v>1</v>
      </c>
      <c r="F275" s="58">
        <v>5</v>
      </c>
      <c r="G275" s="59">
        <v>35472</v>
      </c>
      <c r="H275" s="59">
        <v>35508</v>
      </c>
      <c r="I275" s="60">
        <v>1</v>
      </c>
      <c r="J275" s="58"/>
      <c r="K275" s="58" t="s">
        <v>5502</v>
      </c>
      <c r="L275" s="58"/>
      <c r="M275" s="58"/>
      <c r="N275" s="58"/>
      <c r="O275" s="58"/>
      <c r="P275" s="61">
        <f t="shared" si="4"/>
        <v>5</v>
      </c>
      <c r="Q275" s="62" t="s">
        <v>6301</v>
      </c>
      <c r="R275" s="73"/>
      <c r="S275" s="74"/>
    </row>
    <row r="276" spans="1:19" s="63" customFormat="1" ht="45" x14ac:dyDescent="0.25">
      <c r="A276" s="71">
        <v>268</v>
      </c>
      <c r="B276" s="72" t="s">
        <v>6302</v>
      </c>
      <c r="C276" s="56" t="s">
        <v>6303</v>
      </c>
      <c r="D276" s="57"/>
      <c r="E276" s="58">
        <v>1</v>
      </c>
      <c r="F276" s="58">
        <v>5</v>
      </c>
      <c r="G276" s="59">
        <v>35472</v>
      </c>
      <c r="H276" s="59">
        <v>35508</v>
      </c>
      <c r="I276" s="60">
        <v>1</v>
      </c>
      <c r="J276" s="58"/>
      <c r="K276" s="58" t="s">
        <v>5502</v>
      </c>
      <c r="L276" s="58"/>
      <c r="M276" s="58"/>
      <c r="N276" s="58"/>
      <c r="O276" s="58"/>
      <c r="P276" s="61">
        <f t="shared" si="4"/>
        <v>5</v>
      </c>
      <c r="Q276" s="62" t="s">
        <v>6304</v>
      </c>
      <c r="R276" s="73"/>
      <c r="S276" s="74"/>
    </row>
    <row r="277" spans="1:19" s="63" customFormat="1" ht="45" x14ac:dyDescent="0.25">
      <c r="A277" s="71">
        <v>269</v>
      </c>
      <c r="B277" s="72" t="s">
        <v>6305</v>
      </c>
      <c r="C277" s="56" t="s">
        <v>6306</v>
      </c>
      <c r="D277" s="57"/>
      <c r="E277" s="58">
        <v>1</v>
      </c>
      <c r="F277" s="58">
        <v>6</v>
      </c>
      <c r="G277" s="59">
        <v>35472</v>
      </c>
      <c r="H277" s="59">
        <v>35508</v>
      </c>
      <c r="I277" s="60">
        <v>1</v>
      </c>
      <c r="J277" s="58"/>
      <c r="K277" s="58" t="s">
        <v>5502</v>
      </c>
      <c r="L277" s="58"/>
      <c r="M277" s="58"/>
      <c r="N277" s="58"/>
      <c r="O277" s="58"/>
      <c r="P277" s="61">
        <f t="shared" si="4"/>
        <v>6</v>
      </c>
      <c r="Q277" s="62" t="s">
        <v>6307</v>
      </c>
      <c r="R277" s="73"/>
      <c r="S277" s="74"/>
    </row>
    <row r="278" spans="1:19" s="63" customFormat="1" ht="45" x14ac:dyDescent="0.25">
      <c r="A278" s="71">
        <v>270</v>
      </c>
      <c r="B278" s="72" t="s">
        <v>6308</v>
      </c>
      <c r="C278" s="56" t="s">
        <v>6309</v>
      </c>
      <c r="D278" s="57"/>
      <c r="E278" s="58">
        <v>1</v>
      </c>
      <c r="F278" s="58">
        <v>5</v>
      </c>
      <c r="G278" s="59">
        <v>35472</v>
      </c>
      <c r="H278" s="59">
        <v>35508</v>
      </c>
      <c r="I278" s="60">
        <v>1</v>
      </c>
      <c r="J278" s="58"/>
      <c r="K278" s="58" t="s">
        <v>5502</v>
      </c>
      <c r="L278" s="58"/>
      <c r="M278" s="58"/>
      <c r="N278" s="58"/>
      <c r="O278" s="58"/>
      <c r="P278" s="61">
        <f t="shared" si="4"/>
        <v>5</v>
      </c>
      <c r="Q278" s="62" t="s">
        <v>6310</v>
      </c>
      <c r="R278" s="73"/>
      <c r="S278" s="74"/>
    </row>
    <row r="279" spans="1:19" s="63" customFormat="1" ht="56.25" x14ac:dyDescent="0.25">
      <c r="A279" s="71">
        <v>271</v>
      </c>
      <c r="B279" s="72" t="s">
        <v>6311</v>
      </c>
      <c r="C279" s="56" t="s">
        <v>6312</v>
      </c>
      <c r="D279" s="57"/>
      <c r="E279" s="58">
        <v>1</v>
      </c>
      <c r="F279" s="58">
        <v>5</v>
      </c>
      <c r="G279" s="59">
        <v>35472</v>
      </c>
      <c r="H279" s="59">
        <v>35508</v>
      </c>
      <c r="I279" s="60">
        <v>1</v>
      </c>
      <c r="J279" s="58"/>
      <c r="K279" s="58" t="s">
        <v>5502</v>
      </c>
      <c r="L279" s="58"/>
      <c r="M279" s="58"/>
      <c r="N279" s="58"/>
      <c r="O279" s="58"/>
      <c r="P279" s="61">
        <f t="shared" si="4"/>
        <v>5</v>
      </c>
      <c r="Q279" s="62" t="s">
        <v>6313</v>
      </c>
      <c r="R279" s="73"/>
      <c r="S279" s="74"/>
    </row>
    <row r="280" spans="1:19" s="63" customFormat="1" ht="45" x14ac:dyDescent="0.25">
      <c r="A280" s="71">
        <v>272</v>
      </c>
      <c r="B280" s="72" t="s">
        <v>6314</v>
      </c>
      <c r="C280" s="56" t="s">
        <v>6315</v>
      </c>
      <c r="D280" s="57"/>
      <c r="E280" s="58">
        <v>1</v>
      </c>
      <c r="F280" s="58">
        <v>5</v>
      </c>
      <c r="G280" s="59">
        <v>35487</v>
      </c>
      <c r="H280" s="59">
        <v>35508</v>
      </c>
      <c r="I280" s="60">
        <v>1</v>
      </c>
      <c r="J280" s="58"/>
      <c r="K280" s="58" t="s">
        <v>5502</v>
      </c>
      <c r="L280" s="58"/>
      <c r="M280" s="58"/>
      <c r="N280" s="58"/>
      <c r="O280" s="58"/>
      <c r="P280" s="61">
        <f t="shared" si="4"/>
        <v>5</v>
      </c>
      <c r="Q280" s="62" t="s">
        <v>6316</v>
      </c>
      <c r="R280" s="73"/>
      <c r="S280" s="74"/>
    </row>
    <row r="281" spans="1:19" s="63" customFormat="1" ht="56.25" x14ac:dyDescent="0.25">
      <c r="A281" s="71">
        <v>273</v>
      </c>
      <c r="B281" s="72" t="s">
        <v>6317</v>
      </c>
      <c r="C281" s="56" t="s">
        <v>6318</v>
      </c>
      <c r="D281" s="57"/>
      <c r="E281" s="58">
        <v>1</v>
      </c>
      <c r="F281" s="58">
        <v>5</v>
      </c>
      <c r="G281" s="59">
        <v>35487</v>
      </c>
      <c r="H281" s="59">
        <v>35508</v>
      </c>
      <c r="I281" s="60">
        <v>1</v>
      </c>
      <c r="J281" s="58"/>
      <c r="K281" s="58" t="s">
        <v>5502</v>
      </c>
      <c r="L281" s="58"/>
      <c r="M281" s="58"/>
      <c r="N281" s="58"/>
      <c r="O281" s="58"/>
      <c r="P281" s="61">
        <f t="shared" si="4"/>
        <v>5</v>
      </c>
      <c r="Q281" s="62" t="s">
        <v>6319</v>
      </c>
      <c r="R281" s="73"/>
      <c r="S281" s="74"/>
    </row>
    <row r="282" spans="1:19" s="63" customFormat="1" ht="45" x14ac:dyDescent="0.25">
      <c r="A282" s="71">
        <v>274</v>
      </c>
      <c r="B282" s="72" t="s">
        <v>6320</v>
      </c>
      <c r="C282" s="56" t="s">
        <v>6321</v>
      </c>
      <c r="D282" s="57"/>
      <c r="E282" s="58">
        <v>1</v>
      </c>
      <c r="F282" s="58">
        <v>5</v>
      </c>
      <c r="G282" s="59">
        <v>35487</v>
      </c>
      <c r="H282" s="59">
        <v>35508</v>
      </c>
      <c r="I282" s="60">
        <v>1</v>
      </c>
      <c r="J282" s="58"/>
      <c r="K282" s="58" t="s">
        <v>5502</v>
      </c>
      <c r="L282" s="58"/>
      <c r="M282" s="58"/>
      <c r="N282" s="58"/>
      <c r="O282" s="58"/>
      <c r="P282" s="61">
        <f t="shared" si="4"/>
        <v>5</v>
      </c>
      <c r="Q282" s="62" t="s">
        <v>6322</v>
      </c>
      <c r="R282" s="73"/>
      <c r="S282" s="74"/>
    </row>
    <row r="283" spans="1:19" s="63" customFormat="1" ht="56.25" x14ac:dyDescent="0.25">
      <c r="A283" s="71">
        <v>275</v>
      </c>
      <c r="B283" s="72" t="s">
        <v>6323</v>
      </c>
      <c r="C283" s="56" t="s">
        <v>6324</v>
      </c>
      <c r="D283" s="57"/>
      <c r="E283" s="58">
        <v>1</v>
      </c>
      <c r="F283" s="58">
        <v>5</v>
      </c>
      <c r="G283" s="59">
        <v>35502</v>
      </c>
      <c r="H283" s="59">
        <v>35537</v>
      </c>
      <c r="I283" s="60">
        <v>1</v>
      </c>
      <c r="J283" s="58"/>
      <c r="K283" s="58" t="s">
        <v>5502</v>
      </c>
      <c r="L283" s="58"/>
      <c r="M283" s="58"/>
      <c r="N283" s="58"/>
      <c r="O283" s="58"/>
      <c r="P283" s="61">
        <f t="shared" si="4"/>
        <v>5</v>
      </c>
      <c r="Q283" s="62" t="s">
        <v>6325</v>
      </c>
      <c r="R283" s="73"/>
      <c r="S283" s="74"/>
    </row>
    <row r="284" spans="1:19" s="63" customFormat="1" ht="56.25" x14ac:dyDescent="0.25">
      <c r="A284" s="71">
        <v>276</v>
      </c>
      <c r="B284" s="72" t="s">
        <v>6326</v>
      </c>
      <c r="C284" s="56" t="s">
        <v>6327</v>
      </c>
      <c r="D284" s="57"/>
      <c r="E284" s="58">
        <v>1</v>
      </c>
      <c r="F284" s="58">
        <v>6</v>
      </c>
      <c r="G284" s="59">
        <v>35550</v>
      </c>
      <c r="H284" s="59">
        <v>35600</v>
      </c>
      <c r="I284" s="60">
        <v>1</v>
      </c>
      <c r="J284" s="58"/>
      <c r="K284" s="58" t="s">
        <v>5502</v>
      </c>
      <c r="L284" s="58"/>
      <c r="M284" s="58"/>
      <c r="N284" s="58"/>
      <c r="O284" s="58"/>
      <c r="P284" s="61">
        <f t="shared" si="4"/>
        <v>6</v>
      </c>
      <c r="Q284" s="62" t="s">
        <v>6328</v>
      </c>
      <c r="R284" s="73"/>
      <c r="S284" s="74"/>
    </row>
    <row r="285" spans="1:19" s="63" customFormat="1" ht="45" x14ac:dyDescent="0.25">
      <c r="A285" s="71">
        <v>277</v>
      </c>
      <c r="B285" s="72" t="s">
        <v>6329</v>
      </c>
      <c r="C285" s="56" t="s">
        <v>6330</v>
      </c>
      <c r="D285" s="57"/>
      <c r="E285" s="58">
        <v>1</v>
      </c>
      <c r="F285" s="58">
        <v>5</v>
      </c>
      <c r="G285" s="59">
        <v>35550</v>
      </c>
      <c r="H285" s="59">
        <v>35600</v>
      </c>
      <c r="I285" s="60">
        <v>1</v>
      </c>
      <c r="J285" s="58"/>
      <c r="K285" s="58" t="s">
        <v>5502</v>
      </c>
      <c r="L285" s="58"/>
      <c r="M285" s="58"/>
      <c r="N285" s="58"/>
      <c r="O285" s="58"/>
      <c r="P285" s="61">
        <f t="shared" si="4"/>
        <v>5</v>
      </c>
      <c r="Q285" s="62" t="s">
        <v>6331</v>
      </c>
      <c r="R285" s="73"/>
      <c r="S285" s="74"/>
    </row>
    <row r="286" spans="1:19" s="63" customFormat="1" ht="56.25" x14ac:dyDescent="0.25">
      <c r="A286" s="71">
        <v>278</v>
      </c>
      <c r="B286" s="72" t="s">
        <v>6332</v>
      </c>
      <c r="C286" s="56" t="s">
        <v>6333</v>
      </c>
      <c r="D286" s="57"/>
      <c r="E286" s="58">
        <v>1</v>
      </c>
      <c r="F286" s="58">
        <v>5</v>
      </c>
      <c r="G286" s="59">
        <v>35550</v>
      </c>
      <c r="H286" s="59">
        <v>35600</v>
      </c>
      <c r="I286" s="60">
        <v>1</v>
      </c>
      <c r="J286" s="58"/>
      <c r="K286" s="58" t="s">
        <v>5502</v>
      </c>
      <c r="L286" s="58"/>
      <c r="M286" s="58"/>
      <c r="N286" s="58"/>
      <c r="O286" s="58"/>
      <c r="P286" s="61">
        <f t="shared" si="4"/>
        <v>5</v>
      </c>
      <c r="Q286" s="62" t="s">
        <v>6334</v>
      </c>
      <c r="R286" s="73"/>
      <c r="S286" s="74"/>
    </row>
    <row r="287" spans="1:19" s="63" customFormat="1" ht="56.25" x14ac:dyDescent="0.25">
      <c r="A287" s="71">
        <v>279</v>
      </c>
      <c r="B287" s="72" t="s">
        <v>6335</v>
      </c>
      <c r="C287" s="56" t="s">
        <v>6336</v>
      </c>
      <c r="D287" s="57"/>
      <c r="E287" s="58">
        <v>1</v>
      </c>
      <c r="F287" s="58">
        <v>6</v>
      </c>
      <c r="G287" s="59">
        <v>35550</v>
      </c>
      <c r="H287" s="59">
        <v>35600</v>
      </c>
      <c r="I287" s="60">
        <v>1</v>
      </c>
      <c r="J287" s="58"/>
      <c r="K287" s="58" t="s">
        <v>5502</v>
      </c>
      <c r="L287" s="58"/>
      <c r="M287" s="58"/>
      <c r="N287" s="58"/>
      <c r="O287" s="58"/>
      <c r="P287" s="61">
        <f t="shared" si="4"/>
        <v>6</v>
      </c>
      <c r="Q287" s="62" t="s">
        <v>6337</v>
      </c>
      <c r="R287" s="73"/>
      <c r="S287" s="74"/>
    </row>
    <row r="288" spans="1:19" s="63" customFormat="1" ht="45" x14ac:dyDescent="0.25">
      <c r="A288" s="71">
        <v>280</v>
      </c>
      <c r="B288" s="72" t="s">
        <v>6338</v>
      </c>
      <c r="C288" s="56" t="s">
        <v>6339</v>
      </c>
      <c r="D288" s="57"/>
      <c r="E288" s="58">
        <v>1</v>
      </c>
      <c r="F288" s="58">
        <v>5</v>
      </c>
      <c r="G288" s="59">
        <v>35550</v>
      </c>
      <c r="H288" s="59">
        <v>35600</v>
      </c>
      <c r="I288" s="60">
        <v>1</v>
      </c>
      <c r="J288" s="58"/>
      <c r="K288" s="58" t="s">
        <v>5502</v>
      </c>
      <c r="L288" s="58"/>
      <c r="M288" s="58"/>
      <c r="N288" s="58"/>
      <c r="O288" s="58"/>
      <c r="P288" s="61">
        <f t="shared" si="4"/>
        <v>5</v>
      </c>
      <c r="Q288" s="62" t="s">
        <v>6340</v>
      </c>
      <c r="R288" s="73"/>
      <c r="S288" s="74"/>
    </row>
    <row r="289" spans="1:19" s="63" customFormat="1" ht="45" x14ac:dyDescent="0.25">
      <c r="A289" s="71">
        <v>281</v>
      </c>
      <c r="B289" s="72" t="s">
        <v>6341</v>
      </c>
      <c r="C289" s="56" t="s">
        <v>6342</v>
      </c>
      <c r="D289" s="57"/>
      <c r="E289" s="58">
        <v>1</v>
      </c>
      <c r="F289" s="58">
        <v>6</v>
      </c>
      <c r="G289" s="59">
        <v>35597</v>
      </c>
      <c r="H289" s="59">
        <v>35635</v>
      </c>
      <c r="I289" s="60">
        <v>1</v>
      </c>
      <c r="J289" s="58"/>
      <c r="K289" s="58" t="s">
        <v>5502</v>
      </c>
      <c r="L289" s="58"/>
      <c r="M289" s="58"/>
      <c r="N289" s="58"/>
      <c r="O289" s="58"/>
      <c r="P289" s="61">
        <f t="shared" si="4"/>
        <v>6</v>
      </c>
      <c r="Q289" s="62" t="s">
        <v>6343</v>
      </c>
      <c r="R289" s="73"/>
      <c r="S289" s="74"/>
    </row>
    <row r="290" spans="1:19" s="63" customFormat="1" ht="45" x14ac:dyDescent="0.25">
      <c r="A290" s="71">
        <v>282</v>
      </c>
      <c r="B290" s="72" t="s">
        <v>6344</v>
      </c>
      <c r="C290" s="56" t="s">
        <v>6345</v>
      </c>
      <c r="D290" s="57"/>
      <c r="E290" s="58">
        <v>1</v>
      </c>
      <c r="F290" s="58">
        <v>6</v>
      </c>
      <c r="G290" s="59">
        <v>35674</v>
      </c>
      <c r="H290" s="59">
        <v>35688</v>
      </c>
      <c r="I290" s="60">
        <v>1</v>
      </c>
      <c r="J290" s="58"/>
      <c r="K290" s="58" t="s">
        <v>5502</v>
      </c>
      <c r="L290" s="58"/>
      <c r="M290" s="58"/>
      <c r="N290" s="58"/>
      <c r="O290" s="58"/>
      <c r="P290" s="61">
        <f t="shared" si="4"/>
        <v>6</v>
      </c>
      <c r="Q290" s="62" t="s">
        <v>6346</v>
      </c>
      <c r="R290" s="73"/>
      <c r="S290" s="74"/>
    </row>
    <row r="291" spans="1:19" s="63" customFormat="1" ht="56.25" x14ac:dyDescent="0.25">
      <c r="A291" s="71">
        <v>283</v>
      </c>
      <c r="B291" s="72" t="s">
        <v>6347</v>
      </c>
      <c r="C291" s="56" t="s">
        <v>6348</v>
      </c>
      <c r="D291" s="57"/>
      <c r="E291" s="58">
        <v>1</v>
      </c>
      <c r="F291" s="58">
        <v>5</v>
      </c>
      <c r="G291" s="59">
        <v>35674</v>
      </c>
      <c r="H291" s="59">
        <v>35688</v>
      </c>
      <c r="I291" s="60">
        <v>1</v>
      </c>
      <c r="J291" s="58"/>
      <c r="K291" s="58" t="s">
        <v>5502</v>
      </c>
      <c r="L291" s="58"/>
      <c r="M291" s="58"/>
      <c r="N291" s="58"/>
      <c r="O291" s="58"/>
      <c r="P291" s="61">
        <f t="shared" si="4"/>
        <v>5</v>
      </c>
      <c r="Q291" s="62" t="s">
        <v>6349</v>
      </c>
      <c r="R291" s="73"/>
      <c r="S291" s="74"/>
    </row>
    <row r="292" spans="1:19" s="63" customFormat="1" ht="56.25" x14ac:dyDescent="0.25">
      <c r="A292" s="71">
        <v>284</v>
      </c>
      <c r="B292" s="72" t="s">
        <v>6350</v>
      </c>
      <c r="C292" s="56" t="s">
        <v>6351</v>
      </c>
      <c r="D292" s="57"/>
      <c r="E292" s="58">
        <v>1</v>
      </c>
      <c r="F292" s="58">
        <v>5</v>
      </c>
      <c r="G292" s="59">
        <v>35739</v>
      </c>
      <c r="H292" s="59">
        <v>35752</v>
      </c>
      <c r="I292" s="60">
        <v>1</v>
      </c>
      <c r="J292" s="58"/>
      <c r="K292" s="58" t="s">
        <v>5502</v>
      </c>
      <c r="L292" s="58"/>
      <c r="M292" s="58"/>
      <c r="N292" s="58"/>
      <c r="O292" s="58"/>
      <c r="P292" s="61">
        <f t="shared" si="4"/>
        <v>5</v>
      </c>
      <c r="Q292" s="62" t="s">
        <v>6352</v>
      </c>
      <c r="R292" s="73"/>
      <c r="S292" s="74"/>
    </row>
    <row r="293" spans="1:19" s="63" customFormat="1" ht="56.25" x14ac:dyDescent="0.25">
      <c r="A293" s="71">
        <v>285</v>
      </c>
      <c r="B293" s="72" t="s">
        <v>6353</v>
      </c>
      <c r="C293" s="56" t="s">
        <v>6354</v>
      </c>
      <c r="D293" s="57"/>
      <c r="E293" s="58">
        <v>1</v>
      </c>
      <c r="F293" s="58">
        <v>5</v>
      </c>
      <c r="G293" s="59">
        <v>35739</v>
      </c>
      <c r="H293" s="59">
        <v>35752</v>
      </c>
      <c r="I293" s="60">
        <v>1</v>
      </c>
      <c r="J293" s="58"/>
      <c r="K293" s="58" t="s">
        <v>5502</v>
      </c>
      <c r="L293" s="58"/>
      <c r="M293" s="58"/>
      <c r="N293" s="58"/>
      <c r="O293" s="58"/>
      <c r="P293" s="61">
        <f t="shared" si="4"/>
        <v>5</v>
      </c>
      <c r="Q293" s="62" t="s">
        <v>6355</v>
      </c>
      <c r="R293" s="73"/>
      <c r="S293" s="74"/>
    </row>
    <row r="294" spans="1:19" s="63" customFormat="1" ht="56.25" x14ac:dyDescent="0.25">
      <c r="A294" s="71">
        <v>286</v>
      </c>
      <c r="B294" s="72" t="s">
        <v>6356</v>
      </c>
      <c r="C294" s="56" t="s">
        <v>6357</v>
      </c>
      <c r="D294" s="57"/>
      <c r="E294" s="58">
        <v>1</v>
      </c>
      <c r="F294" s="58">
        <v>5</v>
      </c>
      <c r="G294" s="59">
        <v>35776</v>
      </c>
      <c r="H294" s="59">
        <v>35783</v>
      </c>
      <c r="I294" s="60">
        <v>1</v>
      </c>
      <c r="J294" s="58"/>
      <c r="K294" s="58" t="s">
        <v>5502</v>
      </c>
      <c r="L294" s="58"/>
      <c r="M294" s="58"/>
      <c r="N294" s="58"/>
      <c r="O294" s="58"/>
      <c r="P294" s="61">
        <f t="shared" si="4"/>
        <v>5</v>
      </c>
      <c r="Q294" s="62" t="s">
        <v>6358</v>
      </c>
      <c r="R294" s="73"/>
      <c r="S294" s="74"/>
    </row>
    <row r="295" spans="1:19" s="63" customFormat="1" ht="45" x14ac:dyDescent="0.25">
      <c r="A295" s="71">
        <v>287</v>
      </c>
      <c r="B295" s="72" t="s">
        <v>6359</v>
      </c>
      <c r="C295" s="56" t="s">
        <v>6360</v>
      </c>
      <c r="D295" s="57"/>
      <c r="E295" s="58">
        <v>1</v>
      </c>
      <c r="F295" s="58">
        <v>5</v>
      </c>
      <c r="G295" s="59">
        <v>35776</v>
      </c>
      <c r="H295" s="59">
        <v>35783</v>
      </c>
      <c r="I295" s="60">
        <v>1</v>
      </c>
      <c r="J295" s="58"/>
      <c r="K295" s="58" t="s">
        <v>5502</v>
      </c>
      <c r="L295" s="58"/>
      <c r="M295" s="58"/>
      <c r="N295" s="58"/>
      <c r="O295" s="58"/>
      <c r="P295" s="61">
        <f t="shared" si="4"/>
        <v>5</v>
      </c>
      <c r="Q295" s="62" t="s">
        <v>6361</v>
      </c>
      <c r="R295" s="73"/>
      <c r="S295" s="74"/>
    </row>
    <row r="296" spans="1:19" s="63" customFormat="1" ht="45" x14ac:dyDescent="0.25">
      <c r="A296" s="71">
        <v>288</v>
      </c>
      <c r="B296" s="72" t="s">
        <v>6362</v>
      </c>
      <c r="C296" s="56" t="s">
        <v>6363</v>
      </c>
      <c r="D296" s="57"/>
      <c r="E296" s="58">
        <v>1</v>
      </c>
      <c r="F296" s="58">
        <v>5</v>
      </c>
      <c r="G296" s="59">
        <v>35776</v>
      </c>
      <c r="H296" s="59">
        <v>35783</v>
      </c>
      <c r="I296" s="60">
        <v>1</v>
      </c>
      <c r="J296" s="58"/>
      <c r="K296" s="58" t="s">
        <v>5502</v>
      </c>
      <c r="L296" s="58"/>
      <c r="M296" s="58"/>
      <c r="N296" s="58"/>
      <c r="O296" s="58"/>
      <c r="P296" s="61">
        <f t="shared" si="4"/>
        <v>5</v>
      </c>
      <c r="Q296" s="62" t="s">
        <v>6364</v>
      </c>
      <c r="R296" s="73"/>
      <c r="S296" s="74"/>
    </row>
    <row r="297" spans="1:19" s="63" customFormat="1" ht="56.25" x14ac:dyDescent="0.25">
      <c r="A297" s="71">
        <v>289</v>
      </c>
      <c r="B297" s="72" t="s">
        <v>6365</v>
      </c>
      <c r="C297" s="56" t="s">
        <v>6366</v>
      </c>
      <c r="D297" s="57"/>
      <c r="E297" s="58">
        <v>1</v>
      </c>
      <c r="F297" s="58">
        <v>5</v>
      </c>
      <c r="G297" s="59">
        <v>35782</v>
      </c>
      <c r="H297" s="59">
        <v>35818</v>
      </c>
      <c r="I297" s="60">
        <v>1</v>
      </c>
      <c r="J297" s="58"/>
      <c r="K297" s="58" t="s">
        <v>5502</v>
      </c>
      <c r="L297" s="58"/>
      <c r="M297" s="58"/>
      <c r="N297" s="58"/>
      <c r="O297" s="58"/>
      <c r="P297" s="61">
        <f t="shared" si="4"/>
        <v>5</v>
      </c>
      <c r="Q297" s="62" t="s">
        <v>6367</v>
      </c>
      <c r="R297" s="73"/>
      <c r="S297" s="74"/>
    </row>
    <row r="298" spans="1:19" s="63" customFormat="1" ht="45" x14ac:dyDescent="0.25">
      <c r="A298" s="71">
        <v>290</v>
      </c>
      <c r="B298" s="72" t="s">
        <v>6368</v>
      </c>
      <c r="C298" s="56" t="s">
        <v>6369</v>
      </c>
      <c r="D298" s="57"/>
      <c r="E298" s="58">
        <v>1</v>
      </c>
      <c r="F298" s="58">
        <v>6</v>
      </c>
      <c r="G298" s="59">
        <v>35922</v>
      </c>
      <c r="H298" s="59">
        <v>35929</v>
      </c>
      <c r="I298" s="60">
        <v>1</v>
      </c>
      <c r="J298" s="58"/>
      <c r="K298" s="58" t="s">
        <v>5502</v>
      </c>
      <c r="L298" s="58"/>
      <c r="M298" s="58"/>
      <c r="N298" s="58"/>
      <c r="O298" s="58"/>
      <c r="P298" s="61">
        <f t="shared" si="4"/>
        <v>6</v>
      </c>
      <c r="Q298" s="62" t="s">
        <v>6370</v>
      </c>
      <c r="R298" s="73"/>
      <c r="S298" s="74"/>
    </row>
    <row r="299" spans="1:19" s="63" customFormat="1" ht="45" x14ac:dyDescent="0.25">
      <c r="A299" s="71">
        <v>291</v>
      </c>
      <c r="B299" s="72" t="s">
        <v>6371</v>
      </c>
      <c r="C299" s="56" t="s">
        <v>6372</v>
      </c>
      <c r="D299" s="57"/>
      <c r="E299" s="58">
        <v>1</v>
      </c>
      <c r="F299" s="58">
        <v>7</v>
      </c>
      <c r="G299" s="59">
        <v>35922</v>
      </c>
      <c r="H299" s="59">
        <v>35929</v>
      </c>
      <c r="I299" s="60">
        <v>1</v>
      </c>
      <c r="J299" s="58"/>
      <c r="K299" s="58" t="s">
        <v>5502</v>
      </c>
      <c r="L299" s="58"/>
      <c r="M299" s="58"/>
      <c r="N299" s="58"/>
      <c r="O299" s="58"/>
      <c r="P299" s="61">
        <f t="shared" si="4"/>
        <v>7</v>
      </c>
      <c r="Q299" s="62" t="s">
        <v>6373</v>
      </c>
      <c r="R299" s="73"/>
      <c r="S299" s="74"/>
    </row>
    <row r="300" spans="1:19" s="63" customFormat="1" ht="45" x14ac:dyDescent="0.25">
      <c r="A300" s="71">
        <v>292</v>
      </c>
      <c r="B300" s="72" t="s">
        <v>6374</v>
      </c>
      <c r="C300" s="56" t="s">
        <v>6375</v>
      </c>
      <c r="D300" s="57"/>
      <c r="E300" s="58">
        <v>1</v>
      </c>
      <c r="F300" s="58">
        <v>5</v>
      </c>
      <c r="G300" s="59">
        <v>35985</v>
      </c>
      <c r="H300" s="59">
        <v>35999</v>
      </c>
      <c r="I300" s="60">
        <v>1</v>
      </c>
      <c r="J300" s="58"/>
      <c r="K300" s="58" t="s">
        <v>5502</v>
      </c>
      <c r="L300" s="58"/>
      <c r="M300" s="58"/>
      <c r="N300" s="58"/>
      <c r="O300" s="58"/>
      <c r="P300" s="61">
        <f t="shared" si="4"/>
        <v>5</v>
      </c>
      <c r="Q300" s="62" t="s">
        <v>6376</v>
      </c>
      <c r="R300" s="73"/>
      <c r="S300" s="74"/>
    </row>
    <row r="301" spans="1:19" s="63" customFormat="1" ht="45" x14ac:dyDescent="0.25">
      <c r="A301" s="71">
        <v>293</v>
      </c>
      <c r="B301" s="72" t="s">
        <v>6377</v>
      </c>
      <c r="C301" s="56" t="s">
        <v>6378</v>
      </c>
      <c r="D301" s="57"/>
      <c r="E301" s="58">
        <v>1</v>
      </c>
      <c r="F301" s="58">
        <v>6</v>
      </c>
      <c r="G301" s="59">
        <v>35985</v>
      </c>
      <c r="H301" s="59">
        <v>35999</v>
      </c>
      <c r="I301" s="60">
        <v>1</v>
      </c>
      <c r="J301" s="58"/>
      <c r="K301" s="58" t="s">
        <v>5502</v>
      </c>
      <c r="L301" s="58"/>
      <c r="M301" s="58"/>
      <c r="N301" s="58"/>
      <c r="O301" s="58"/>
      <c r="P301" s="61">
        <f t="shared" si="4"/>
        <v>6</v>
      </c>
      <c r="Q301" s="62" t="s">
        <v>6379</v>
      </c>
      <c r="R301" s="73"/>
      <c r="S301" s="74"/>
    </row>
    <row r="302" spans="1:19" s="63" customFormat="1" ht="56.25" x14ac:dyDescent="0.25">
      <c r="A302" s="71">
        <v>294</v>
      </c>
      <c r="B302" s="72" t="s">
        <v>6380</v>
      </c>
      <c r="C302" s="56" t="s">
        <v>6381</v>
      </c>
      <c r="D302" s="57"/>
      <c r="E302" s="58">
        <v>1</v>
      </c>
      <c r="F302" s="58">
        <v>4</v>
      </c>
      <c r="G302" s="59">
        <v>35985</v>
      </c>
      <c r="H302" s="59">
        <v>35999</v>
      </c>
      <c r="I302" s="60">
        <v>1</v>
      </c>
      <c r="J302" s="58"/>
      <c r="K302" s="58" t="s">
        <v>5502</v>
      </c>
      <c r="L302" s="58"/>
      <c r="M302" s="58"/>
      <c r="N302" s="58"/>
      <c r="O302" s="58"/>
      <c r="P302" s="61">
        <f t="shared" si="4"/>
        <v>4</v>
      </c>
      <c r="Q302" s="62" t="s">
        <v>6382</v>
      </c>
      <c r="R302" s="73"/>
      <c r="S302" s="74"/>
    </row>
    <row r="303" spans="1:19" s="63" customFormat="1" ht="33.75" x14ac:dyDescent="0.25">
      <c r="A303" s="71">
        <v>295</v>
      </c>
      <c r="B303" s="72" t="s">
        <v>6383</v>
      </c>
      <c r="C303" s="56" t="s">
        <v>6384</v>
      </c>
      <c r="D303" s="57"/>
      <c r="E303" s="58">
        <v>1</v>
      </c>
      <c r="F303" s="58">
        <v>5</v>
      </c>
      <c r="G303" s="59">
        <v>36041</v>
      </c>
      <c r="H303" s="59">
        <v>36062</v>
      </c>
      <c r="I303" s="60">
        <v>1</v>
      </c>
      <c r="J303" s="58"/>
      <c r="K303" s="58" t="s">
        <v>5502</v>
      </c>
      <c r="L303" s="58"/>
      <c r="M303" s="58"/>
      <c r="N303" s="58"/>
      <c r="O303" s="58"/>
      <c r="P303" s="61">
        <f t="shared" si="4"/>
        <v>5</v>
      </c>
      <c r="Q303" s="62" t="s">
        <v>6385</v>
      </c>
      <c r="R303" s="73"/>
      <c r="S303" s="74"/>
    </row>
    <row r="304" spans="1:19" s="63" customFormat="1" ht="45" x14ac:dyDescent="0.25">
      <c r="A304" s="71">
        <v>296</v>
      </c>
      <c r="B304" s="72" t="s">
        <v>6386</v>
      </c>
      <c r="C304" s="56" t="s">
        <v>6387</v>
      </c>
      <c r="D304" s="57"/>
      <c r="E304" s="58">
        <v>1</v>
      </c>
      <c r="F304" s="58">
        <v>5</v>
      </c>
      <c r="G304" s="59">
        <v>36104</v>
      </c>
      <c r="H304" s="59">
        <v>36122</v>
      </c>
      <c r="I304" s="60">
        <v>1</v>
      </c>
      <c r="J304" s="58"/>
      <c r="K304" s="58" t="s">
        <v>5502</v>
      </c>
      <c r="L304" s="58"/>
      <c r="M304" s="58"/>
      <c r="N304" s="58"/>
      <c r="O304" s="58"/>
      <c r="P304" s="61">
        <f t="shared" si="4"/>
        <v>5</v>
      </c>
      <c r="Q304" s="62" t="s">
        <v>6388</v>
      </c>
      <c r="R304" s="73"/>
      <c r="S304" s="74"/>
    </row>
    <row r="305" spans="1:19" s="63" customFormat="1" ht="56.25" x14ac:dyDescent="0.25">
      <c r="A305" s="71">
        <v>297</v>
      </c>
      <c r="B305" s="72" t="s">
        <v>6389</v>
      </c>
      <c r="C305" s="56" t="s">
        <v>6390</v>
      </c>
      <c r="D305" s="57"/>
      <c r="E305" s="58">
        <v>1</v>
      </c>
      <c r="F305" s="58">
        <v>6</v>
      </c>
      <c r="G305" s="59">
        <v>36104</v>
      </c>
      <c r="H305" s="59">
        <v>36122</v>
      </c>
      <c r="I305" s="60">
        <v>1</v>
      </c>
      <c r="J305" s="58"/>
      <c r="K305" s="58" t="s">
        <v>5502</v>
      </c>
      <c r="L305" s="58"/>
      <c r="M305" s="58"/>
      <c r="N305" s="58"/>
      <c r="O305" s="58"/>
      <c r="P305" s="61">
        <f t="shared" si="4"/>
        <v>6</v>
      </c>
      <c r="Q305" s="62" t="s">
        <v>6391</v>
      </c>
      <c r="R305" s="73"/>
      <c r="S305" s="74"/>
    </row>
    <row r="306" spans="1:19" s="63" customFormat="1" ht="45" x14ac:dyDescent="0.25">
      <c r="A306" s="71">
        <v>298</v>
      </c>
      <c r="B306" s="72" t="s">
        <v>6392</v>
      </c>
      <c r="C306" s="56" t="s">
        <v>6393</v>
      </c>
      <c r="D306" s="57"/>
      <c r="E306" s="58">
        <v>1</v>
      </c>
      <c r="F306" s="58">
        <v>5</v>
      </c>
      <c r="G306" s="59">
        <v>36104</v>
      </c>
      <c r="H306" s="59">
        <v>36122</v>
      </c>
      <c r="I306" s="60">
        <v>1</v>
      </c>
      <c r="J306" s="58"/>
      <c r="K306" s="58" t="s">
        <v>5502</v>
      </c>
      <c r="L306" s="58"/>
      <c r="M306" s="58"/>
      <c r="N306" s="58"/>
      <c r="O306" s="58"/>
      <c r="P306" s="61">
        <f t="shared" si="4"/>
        <v>5</v>
      </c>
      <c r="Q306" s="62" t="s">
        <v>6394</v>
      </c>
      <c r="R306" s="73"/>
      <c r="S306" s="74"/>
    </row>
    <row r="307" spans="1:19" s="63" customFormat="1" ht="45" x14ac:dyDescent="0.25">
      <c r="A307" s="71">
        <v>299</v>
      </c>
      <c r="B307" s="72" t="s">
        <v>6395</v>
      </c>
      <c r="C307" s="56" t="s">
        <v>6396</v>
      </c>
      <c r="D307" s="57"/>
      <c r="E307" s="58">
        <v>1</v>
      </c>
      <c r="F307" s="58">
        <v>5</v>
      </c>
      <c r="G307" s="59">
        <v>36104</v>
      </c>
      <c r="H307" s="59">
        <v>36122</v>
      </c>
      <c r="I307" s="60">
        <v>1</v>
      </c>
      <c r="J307" s="58"/>
      <c r="K307" s="58" t="s">
        <v>5502</v>
      </c>
      <c r="L307" s="58"/>
      <c r="M307" s="58"/>
      <c r="N307" s="58"/>
      <c r="O307" s="58"/>
      <c r="P307" s="61">
        <f t="shared" si="4"/>
        <v>5</v>
      </c>
      <c r="Q307" s="62" t="s">
        <v>6397</v>
      </c>
      <c r="R307" s="73"/>
      <c r="S307" s="74"/>
    </row>
    <row r="308" spans="1:19" s="63" customFormat="1" ht="45" x14ac:dyDescent="0.25">
      <c r="A308" s="71">
        <v>300</v>
      </c>
      <c r="B308" s="72" t="s">
        <v>6398</v>
      </c>
      <c r="C308" s="56" t="s">
        <v>6399</v>
      </c>
      <c r="D308" s="57"/>
      <c r="E308" s="58">
        <v>1</v>
      </c>
      <c r="F308" s="58">
        <v>5</v>
      </c>
      <c r="G308" s="59">
        <v>36104</v>
      </c>
      <c r="H308" s="59">
        <v>36122</v>
      </c>
      <c r="I308" s="60">
        <v>1</v>
      </c>
      <c r="J308" s="58"/>
      <c r="K308" s="58" t="s">
        <v>5502</v>
      </c>
      <c r="L308" s="58"/>
      <c r="M308" s="58"/>
      <c r="N308" s="58"/>
      <c r="O308" s="58"/>
      <c r="P308" s="61">
        <f t="shared" si="4"/>
        <v>5</v>
      </c>
      <c r="Q308" s="62" t="s">
        <v>6400</v>
      </c>
      <c r="R308" s="73"/>
      <c r="S308" s="74"/>
    </row>
    <row r="309" spans="1:19" s="63" customFormat="1" ht="45" x14ac:dyDescent="0.25">
      <c r="A309" s="71">
        <v>301</v>
      </c>
      <c r="B309" s="72" t="s">
        <v>6401</v>
      </c>
      <c r="C309" s="56" t="s">
        <v>6402</v>
      </c>
      <c r="D309" s="57"/>
      <c r="E309" s="58">
        <v>1</v>
      </c>
      <c r="F309" s="58">
        <v>6</v>
      </c>
      <c r="G309" s="59">
        <v>36104</v>
      </c>
      <c r="H309" s="59">
        <v>36122</v>
      </c>
      <c r="I309" s="60">
        <v>1</v>
      </c>
      <c r="J309" s="58"/>
      <c r="K309" s="58" t="s">
        <v>5502</v>
      </c>
      <c r="L309" s="58"/>
      <c r="M309" s="58"/>
      <c r="N309" s="58"/>
      <c r="O309" s="58"/>
      <c r="P309" s="61">
        <f t="shared" si="4"/>
        <v>6</v>
      </c>
      <c r="Q309" s="62" t="s">
        <v>6403</v>
      </c>
      <c r="R309" s="73"/>
      <c r="S309" s="74"/>
    </row>
    <row r="310" spans="1:19" s="63" customFormat="1" ht="45" x14ac:dyDescent="0.25">
      <c r="A310" s="71">
        <v>302</v>
      </c>
      <c r="B310" s="72" t="s">
        <v>6404</v>
      </c>
      <c r="C310" s="56" t="s">
        <v>6405</v>
      </c>
      <c r="D310" s="57"/>
      <c r="E310" s="58">
        <v>1</v>
      </c>
      <c r="F310" s="58">
        <v>6</v>
      </c>
      <c r="G310" s="59">
        <v>36234</v>
      </c>
      <c r="H310" s="59">
        <v>36242</v>
      </c>
      <c r="I310" s="60">
        <v>1</v>
      </c>
      <c r="J310" s="58"/>
      <c r="K310" s="58" t="s">
        <v>5502</v>
      </c>
      <c r="L310" s="58"/>
      <c r="M310" s="58"/>
      <c r="N310" s="58"/>
      <c r="O310" s="58"/>
      <c r="P310" s="61">
        <f t="shared" si="4"/>
        <v>6</v>
      </c>
      <c r="Q310" s="62" t="s">
        <v>6406</v>
      </c>
      <c r="R310" s="73"/>
      <c r="S310" s="74"/>
    </row>
    <row r="311" spans="1:19" s="63" customFormat="1" ht="45" x14ac:dyDescent="0.25">
      <c r="A311" s="71">
        <v>303</v>
      </c>
      <c r="B311" s="72" t="s">
        <v>6407</v>
      </c>
      <c r="C311" s="56" t="s">
        <v>6408</v>
      </c>
      <c r="D311" s="57"/>
      <c r="E311" s="58">
        <v>1</v>
      </c>
      <c r="F311" s="58">
        <v>5</v>
      </c>
      <c r="G311" s="59">
        <v>36234</v>
      </c>
      <c r="H311" s="59">
        <v>36242</v>
      </c>
      <c r="I311" s="60">
        <v>1</v>
      </c>
      <c r="J311" s="58"/>
      <c r="K311" s="58" t="s">
        <v>5502</v>
      </c>
      <c r="L311" s="58"/>
      <c r="M311" s="58"/>
      <c r="N311" s="58"/>
      <c r="O311" s="58"/>
      <c r="P311" s="61">
        <f t="shared" si="4"/>
        <v>5</v>
      </c>
      <c r="Q311" s="62" t="s">
        <v>6409</v>
      </c>
      <c r="R311" s="73"/>
      <c r="S311" s="74"/>
    </row>
    <row r="312" spans="1:19" s="63" customFormat="1" ht="45" x14ac:dyDescent="0.25">
      <c r="A312" s="71">
        <v>304</v>
      </c>
      <c r="B312" s="72" t="s">
        <v>6410</v>
      </c>
      <c r="C312" s="56" t="s">
        <v>6411</v>
      </c>
      <c r="D312" s="57"/>
      <c r="E312" s="58">
        <v>1</v>
      </c>
      <c r="F312" s="58">
        <v>6</v>
      </c>
      <c r="G312" s="59">
        <v>36234</v>
      </c>
      <c r="H312" s="59">
        <v>36242</v>
      </c>
      <c r="I312" s="60">
        <v>1</v>
      </c>
      <c r="J312" s="58"/>
      <c r="K312" s="58" t="s">
        <v>5502</v>
      </c>
      <c r="L312" s="58"/>
      <c r="M312" s="58"/>
      <c r="N312" s="58"/>
      <c r="O312" s="58"/>
      <c r="P312" s="61">
        <f t="shared" si="4"/>
        <v>6</v>
      </c>
      <c r="Q312" s="62" t="s">
        <v>6412</v>
      </c>
      <c r="R312" s="73"/>
      <c r="S312" s="74"/>
    </row>
    <row r="313" spans="1:19" s="63" customFormat="1" ht="45" x14ac:dyDescent="0.25">
      <c r="A313" s="71">
        <v>305</v>
      </c>
      <c r="B313" s="72" t="s">
        <v>6413</v>
      </c>
      <c r="C313" s="56" t="s">
        <v>6414</v>
      </c>
      <c r="D313" s="57"/>
      <c r="E313" s="58">
        <v>1</v>
      </c>
      <c r="F313" s="58">
        <v>6</v>
      </c>
      <c r="G313" s="59">
        <v>36234</v>
      </c>
      <c r="H313" s="59">
        <v>36242</v>
      </c>
      <c r="I313" s="60">
        <v>1</v>
      </c>
      <c r="J313" s="58"/>
      <c r="K313" s="58" t="s">
        <v>5502</v>
      </c>
      <c r="L313" s="58"/>
      <c r="M313" s="58"/>
      <c r="N313" s="58"/>
      <c r="O313" s="58"/>
      <c r="P313" s="61">
        <f t="shared" si="4"/>
        <v>6</v>
      </c>
      <c r="Q313" s="62" t="s">
        <v>6415</v>
      </c>
      <c r="R313" s="73"/>
      <c r="S313" s="74"/>
    </row>
    <row r="314" spans="1:19" s="63" customFormat="1" ht="45" x14ac:dyDescent="0.25">
      <c r="A314" s="71">
        <v>306</v>
      </c>
      <c r="B314" s="72" t="s">
        <v>6416</v>
      </c>
      <c r="C314" s="56" t="s">
        <v>6417</v>
      </c>
      <c r="D314" s="57"/>
      <c r="E314" s="58">
        <v>1</v>
      </c>
      <c r="F314" s="58">
        <v>6</v>
      </c>
      <c r="G314" s="59">
        <v>36234</v>
      </c>
      <c r="H314" s="59">
        <v>36242</v>
      </c>
      <c r="I314" s="60">
        <v>1</v>
      </c>
      <c r="J314" s="58"/>
      <c r="K314" s="58" t="s">
        <v>5502</v>
      </c>
      <c r="L314" s="58"/>
      <c r="M314" s="58"/>
      <c r="N314" s="58"/>
      <c r="O314" s="58"/>
      <c r="P314" s="61">
        <f t="shared" si="4"/>
        <v>6</v>
      </c>
      <c r="Q314" s="62" t="s">
        <v>6418</v>
      </c>
      <c r="R314" s="73"/>
      <c r="S314" s="74"/>
    </row>
    <row r="315" spans="1:19" s="63" customFormat="1" ht="45" x14ac:dyDescent="0.25">
      <c r="A315" s="71">
        <v>307</v>
      </c>
      <c r="B315" s="72" t="s">
        <v>6419</v>
      </c>
      <c r="C315" s="56" t="s">
        <v>6420</v>
      </c>
      <c r="D315" s="57"/>
      <c r="E315" s="58">
        <v>1</v>
      </c>
      <c r="F315" s="58">
        <v>6</v>
      </c>
      <c r="G315" s="59">
        <v>36319</v>
      </c>
      <c r="H315" s="59">
        <v>36327</v>
      </c>
      <c r="I315" s="60">
        <v>1</v>
      </c>
      <c r="J315" s="58"/>
      <c r="K315" s="58" t="s">
        <v>5502</v>
      </c>
      <c r="L315" s="58"/>
      <c r="M315" s="58"/>
      <c r="N315" s="58"/>
      <c r="O315" s="58"/>
      <c r="P315" s="61">
        <f t="shared" si="4"/>
        <v>6</v>
      </c>
      <c r="Q315" s="62" t="s">
        <v>6421</v>
      </c>
      <c r="R315" s="73"/>
      <c r="S315" s="74"/>
    </row>
    <row r="316" spans="1:19" s="63" customFormat="1" ht="45" x14ac:dyDescent="0.25">
      <c r="A316" s="71">
        <v>308</v>
      </c>
      <c r="B316" s="72" t="s">
        <v>6422</v>
      </c>
      <c r="C316" s="56" t="s">
        <v>6423</v>
      </c>
      <c r="D316" s="57"/>
      <c r="E316" s="58">
        <v>1</v>
      </c>
      <c r="F316" s="58">
        <v>5</v>
      </c>
      <c r="G316" s="59">
        <v>36319</v>
      </c>
      <c r="H316" s="59">
        <v>36327</v>
      </c>
      <c r="I316" s="60">
        <v>1</v>
      </c>
      <c r="J316" s="58"/>
      <c r="K316" s="58" t="s">
        <v>5502</v>
      </c>
      <c r="L316" s="58"/>
      <c r="M316" s="58"/>
      <c r="N316" s="58"/>
      <c r="O316" s="58"/>
      <c r="P316" s="61">
        <f t="shared" si="4"/>
        <v>5</v>
      </c>
      <c r="Q316" s="62" t="s">
        <v>6424</v>
      </c>
      <c r="R316" s="73"/>
      <c r="S316" s="74"/>
    </row>
    <row r="317" spans="1:19" s="63" customFormat="1" ht="45" x14ac:dyDescent="0.25">
      <c r="A317" s="71">
        <v>309</v>
      </c>
      <c r="B317" s="72" t="s">
        <v>6425</v>
      </c>
      <c r="C317" s="56" t="s">
        <v>6426</v>
      </c>
      <c r="D317" s="57"/>
      <c r="E317" s="58">
        <v>1</v>
      </c>
      <c r="F317" s="58">
        <v>4</v>
      </c>
      <c r="G317" s="59">
        <v>36339</v>
      </c>
      <c r="H317" s="59">
        <v>36354</v>
      </c>
      <c r="I317" s="60">
        <v>1</v>
      </c>
      <c r="J317" s="58"/>
      <c r="K317" s="58" t="s">
        <v>5502</v>
      </c>
      <c r="L317" s="58"/>
      <c r="M317" s="58"/>
      <c r="N317" s="58"/>
      <c r="O317" s="58"/>
      <c r="P317" s="61">
        <f t="shared" si="4"/>
        <v>4</v>
      </c>
      <c r="Q317" s="62" t="s">
        <v>6427</v>
      </c>
      <c r="R317" s="73"/>
      <c r="S317" s="74"/>
    </row>
    <row r="318" spans="1:19" s="63" customFormat="1" ht="45" x14ac:dyDescent="0.25">
      <c r="A318" s="71">
        <v>310</v>
      </c>
      <c r="B318" s="72" t="s">
        <v>6428</v>
      </c>
      <c r="C318" s="56" t="s">
        <v>6429</v>
      </c>
      <c r="D318" s="57"/>
      <c r="E318" s="58">
        <v>1</v>
      </c>
      <c r="F318" s="58">
        <v>4</v>
      </c>
      <c r="G318" s="59">
        <v>36405</v>
      </c>
      <c r="H318" s="59">
        <v>36424</v>
      </c>
      <c r="I318" s="60">
        <v>1</v>
      </c>
      <c r="J318" s="58"/>
      <c r="K318" s="58" t="s">
        <v>5502</v>
      </c>
      <c r="L318" s="58"/>
      <c r="M318" s="58"/>
      <c r="N318" s="58"/>
      <c r="O318" s="58"/>
      <c r="P318" s="61">
        <f t="shared" si="4"/>
        <v>4</v>
      </c>
      <c r="Q318" s="62" t="s">
        <v>6430</v>
      </c>
      <c r="R318" s="73"/>
      <c r="S318" s="74"/>
    </row>
    <row r="319" spans="1:19" s="63" customFormat="1" ht="56.25" x14ac:dyDescent="0.25">
      <c r="A319" s="71">
        <v>311</v>
      </c>
      <c r="B319" s="72" t="s">
        <v>6431</v>
      </c>
      <c r="C319" s="56" t="s">
        <v>6432</v>
      </c>
      <c r="D319" s="57"/>
      <c r="E319" s="58">
        <v>1</v>
      </c>
      <c r="F319" s="58">
        <v>6</v>
      </c>
      <c r="G319" s="59">
        <v>36599</v>
      </c>
      <c r="H319" s="59">
        <v>36606</v>
      </c>
      <c r="I319" s="60">
        <v>1</v>
      </c>
      <c r="J319" s="58"/>
      <c r="K319" s="58" t="s">
        <v>5502</v>
      </c>
      <c r="L319" s="58"/>
      <c r="M319" s="58"/>
      <c r="N319" s="58"/>
      <c r="O319" s="58"/>
      <c r="P319" s="61">
        <f t="shared" si="4"/>
        <v>6</v>
      </c>
      <c r="Q319" s="62" t="s">
        <v>6433</v>
      </c>
      <c r="R319" s="73"/>
      <c r="S319" s="74"/>
    </row>
    <row r="320" spans="1:19" s="63" customFormat="1" ht="45" x14ac:dyDescent="0.25">
      <c r="A320" s="71">
        <v>312</v>
      </c>
      <c r="B320" s="72" t="s">
        <v>6434</v>
      </c>
      <c r="C320" s="56" t="s">
        <v>6435</v>
      </c>
      <c r="D320" s="57"/>
      <c r="E320" s="58">
        <v>1</v>
      </c>
      <c r="F320" s="58">
        <v>6</v>
      </c>
      <c r="G320" s="59">
        <v>39485</v>
      </c>
      <c r="H320" s="59">
        <v>39499</v>
      </c>
      <c r="I320" s="60">
        <v>1</v>
      </c>
      <c r="J320" s="58"/>
      <c r="K320" s="58" t="s">
        <v>5502</v>
      </c>
      <c r="L320" s="58"/>
      <c r="M320" s="58"/>
      <c r="N320" s="58"/>
      <c r="O320" s="58"/>
      <c r="P320" s="61">
        <f t="shared" si="4"/>
        <v>6</v>
      </c>
      <c r="Q320" s="62" t="s">
        <v>6436</v>
      </c>
      <c r="R320" s="73"/>
      <c r="S320" s="74"/>
    </row>
    <row r="321" spans="1:19" s="63" customFormat="1" ht="45" x14ac:dyDescent="0.25">
      <c r="A321" s="71">
        <v>313</v>
      </c>
      <c r="B321" s="72" t="s">
        <v>6437</v>
      </c>
      <c r="C321" s="56" t="s">
        <v>6438</v>
      </c>
      <c r="D321" s="57"/>
      <c r="E321" s="58">
        <v>1</v>
      </c>
      <c r="F321" s="58">
        <v>6</v>
      </c>
      <c r="G321" s="59">
        <v>39541</v>
      </c>
      <c r="H321" s="59">
        <v>39555</v>
      </c>
      <c r="I321" s="60">
        <v>1</v>
      </c>
      <c r="J321" s="58"/>
      <c r="K321" s="58" t="s">
        <v>5502</v>
      </c>
      <c r="L321" s="58"/>
      <c r="M321" s="58"/>
      <c r="N321" s="58"/>
      <c r="O321" s="58"/>
      <c r="P321" s="61">
        <f t="shared" si="4"/>
        <v>6</v>
      </c>
      <c r="Q321" s="62" t="s">
        <v>6439</v>
      </c>
      <c r="R321" s="73"/>
      <c r="S321" s="74"/>
    </row>
    <row r="322" spans="1:19" s="63" customFormat="1" ht="45" x14ac:dyDescent="0.25">
      <c r="A322" s="71">
        <v>314</v>
      </c>
      <c r="B322" s="72" t="s">
        <v>6440</v>
      </c>
      <c r="C322" s="56" t="s">
        <v>6441</v>
      </c>
      <c r="D322" s="57"/>
      <c r="E322" s="58">
        <v>1</v>
      </c>
      <c r="F322" s="58">
        <v>5</v>
      </c>
      <c r="G322" s="59">
        <v>39632</v>
      </c>
      <c r="H322" s="59">
        <v>39646</v>
      </c>
      <c r="I322" s="60">
        <v>1</v>
      </c>
      <c r="J322" s="58"/>
      <c r="K322" s="58" t="s">
        <v>5502</v>
      </c>
      <c r="L322" s="58"/>
      <c r="M322" s="58"/>
      <c r="N322" s="58"/>
      <c r="O322" s="58"/>
      <c r="P322" s="61">
        <f t="shared" si="4"/>
        <v>5</v>
      </c>
      <c r="Q322" s="62" t="s">
        <v>6442</v>
      </c>
      <c r="R322" s="73"/>
      <c r="S322" s="74"/>
    </row>
    <row r="323" spans="1:19" s="63" customFormat="1" ht="45" x14ac:dyDescent="0.25">
      <c r="A323" s="71">
        <v>315</v>
      </c>
      <c r="B323" s="72" t="s">
        <v>6443</v>
      </c>
      <c r="C323" s="56" t="s">
        <v>6444</v>
      </c>
      <c r="D323" s="57"/>
      <c r="E323" s="58">
        <v>1</v>
      </c>
      <c r="F323" s="58">
        <v>6</v>
      </c>
      <c r="G323" s="59">
        <v>39695</v>
      </c>
      <c r="H323" s="59">
        <v>39715</v>
      </c>
      <c r="I323" s="60">
        <v>1</v>
      </c>
      <c r="J323" s="58"/>
      <c r="K323" s="58" t="s">
        <v>5502</v>
      </c>
      <c r="L323" s="58"/>
      <c r="M323" s="58"/>
      <c r="N323" s="58"/>
      <c r="O323" s="58"/>
      <c r="P323" s="61">
        <f t="shared" si="4"/>
        <v>6</v>
      </c>
      <c r="Q323" s="62" t="s">
        <v>6445</v>
      </c>
      <c r="R323" s="73"/>
      <c r="S323" s="74"/>
    </row>
    <row r="324" spans="1:19" s="63" customFormat="1" ht="45" x14ac:dyDescent="0.25">
      <c r="A324" s="71">
        <v>316</v>
      </c>
      <c r="B324" s="72" t="s">
        <v>6446</v>
      </c>
      <c r="C324" s="56" t="s">
        <v>6447</v>
      </c>
      <c r="D324" s="57"/>
      <c r="E324" s="58">
        <v>1</v>
      </c>
      <c r="F324" s="58">
        <v>5</v>
      </c>
      <c r="G324" s="59">
        <v>39758</v>
      </c>
      <c r="H324" s="59">
        <v>39779</v>
      </c>
      <c r="I324" s="60">
        <v>1</v>
      </c>
      <c r="J324" s="58"/>
      <c r="K324" s="58" t="s">
        <v>5502</v>
      </c>
      <c r="L324" s="58"/>
      <c r="M324" s="58"/>
      <c r="N324" s="58"/>
      <c r="O324" s="58"/>
      <c r="P324" s="61">
        <f t="shared" si="4"/>
        <v>5</v>
      </c>
      <c r="Q324" s="62" t="s">
        <v>6448</v>
      </c>
      <c r="R324" s="73"/>
      <c r="S324" s="74"/>
    </row>
    <row r="325" spans="1:19" s="63" customFormat="1" ht="45" x14ac:dyDescent="0.25">
      <c r="A325" s="71">
        <v>317</v>
      </c>
      <c r="B325" s="72" t="s">
        <v>6449</v>
      </c>
      <c r="C325" s="56" t="s">
        <v>6450</v>
      </c>
      <c r="D325" s="57"/>
      <c r="E325" s="58">
        <v>1</v>
      </c>
      <c r="F325" s="58">
        <v>5</v>
      </c>
      <c r="G325" s="59">
        <v>39877</v>
      </c>
      <c r="H325" s="59">
        <v>39898</v>
      </c>
      <c r="I325" s="60">
        <v>1</v>
      </c>
      <c r="J325" s="58"/>
      <c r="K325" s="58" t="s">
        <v>5502</v>
      </c>
      <c r="L325" s="58"/>
      <c r="M325" s="58"/>
      <c r="N325" s="58"/>
      <c r="O325" s="58"/>
      <c r="P325" s="61">
        <f t="shared" si="4"/>
        <v>5</v>
      </c>
      <c r="Q325" s="62" t="s">
        <v>6451</v>
      </c>
      <c r="R325" s="73"/>
      <c r="S325" s="74"/>
    </row>
    <row r="326" spans="1:19" s="63" customFormat="1" ht="45" x14ac:dyDescent="0.25">
      <c r="A326" s="71">
        <v>318</v>
      </c>
      <c r="B326" s="72" t="s">
        <v>6452</v>
      </c>
      <c r="C326" s="56" t="s">
        <v>6453</v>
      </c>
      <c r="D326" s="57"/>
      <c r="E326" s="58">
        <v>1</v>
      </c>
      <c r="F326" s="58">
        <v>5</v>
      </c>
      <c r="G326" s="59">
        <v>39940</v>
      </c>
      <c r="H326" s="59">
        <v>39954</v>
      </c>
      <c r="I326" s="60">
        <v>1</v>
      </c>
      <c r="J326" s="58"/>
      <c r="K326" s="58" t="s">
        <v>5502</v>
      </c>
      <c r="L326" s="58"/>
      <c r="M326" s="58"/>
      <c r="N326" s="58"/>
      <c r="O326" s="58"/>
      <c r="P326" s="61">
        <f t="shared" si="4"/>
        <v>5</v>
      </c>
      <c r="Q326" s="62" t="s">
        <v>6454</v>
      </c>
      <c r="R326" s="73"/>
      <c r="S326" s="74"/>
    </row>
    <row r="327" spans="1:19" s="63" customFormat="1" ht="45" x14ac:dyDescent="0.25">
      <c r="A327" s="71">
        <v>319</v>
      </c>
      <c r="B327" s="72" t="s">
        <v>6455</v>
      </c>
      <c r="C327" s="56" t="s">
        <v>6456</v>
      </c>
      <c r="D327" s="57"/>
      <c r="E327" s="58">
        <v>1</v>
      </c>
      <c r="F327" s="58">
        <v>5</v>
      </c>
      <c r="G327" s="59">
        <v>40003</v>
      </c>
      <c r="H327" s="59">
        <v>40010</v>
      </c>
      <c r="I327" s="60">
        <v>1</v>
      </c>
      <c r="J327" s="58"/>
      <c r="K327" s="58" t="s">
        <v>5502</v>
      </c>
      <c r="L327" s="58"/>
      <c r="M327" s="58"/>
      <c r="N327" s="58"/>
      <c r="O327" s="58"/>
      <c r="P327" s="61">
        <f t="shared" si="4"/>
        <v>5</v>
      </c>
      <c r="Q327" s="62" t="s">
        <v>6457</v>
      </c>
      <c r="R327" s="73"/>
      <c r="S327" s="74"/>
    </row>
    <row r="328" spans="1:19" s="63" customFormat="1" ht="56.25" x14ac:dyDescent="0.25">
      <c r="A328" s="71">
        <v>320</v>
      </c>
      <c r="B328" s="72" t="s">
        <v>6458</v>
      </c>
      <c r="C328" s="56" t="s">
        <v>6459</v>
      </c>
      <c r="D328" s="57"/>
      <c r="E328" s="58">
        <v>1</v>
      </c>
      <c r="F328" s="58">
        <v>5</v>
      </c>
      <c r="G328" s="59">
        <v>40123</v>
      </c>
      <c r="H328" s="59">
        <v>40136</v>
      </c>
      <c r="I328" s="60">
        <v>1</v>
      </c>
      <c r="J328" s="58"/>
      <c r="K328" s="58" t="s">
        <v>5502</v>
      </c>
      <c r="L328" s="58"/>
      <c r="M328" s="58"/>
      <c r="N328" s="58"/>
      <c r="O328" s="58"/>
      <c r="P328" s="61">
        <f t="shared" si="4"/>
        <v>5</v>
      </c>
      <c r="Q328" s="62" t="s">
        <v>6460</v>
      </c>
      <c r="R328" s="73"/>
      <c r="S328" s="74"/>
    </row>
    <row r="329" spans="1:19" s="63" customFormat="1" ht="45" x14ac:dyDescent="0.25">
      <c r="A329" s="71">
        <v>321</v>
      </c>
      <c r="B329" s="72" t="s">
        <v>6461</v>
      </c>
      <c r="C329" s="56" t="s">
        <v>6462</v>
      </c>
      <c r="D329" s="57"/>
      <c r="E329" s="58">
        <v>1</v>
      </c>
      <c r="F329" s="58">
        <v>5</v>
      </c>
      <c r="G329" s="59">
        <v>40241</v>
      </c>
      <c r="H329" s="59">
        <v>40255</v>
      </c>
      <c r="I329" s="60">
        <v>1</v>
      </c>
      <c r="J329" s="58"/>
      <c r="K329" s="58" t="s">
        <v>5502</v>
      </c>
      <c r="L329" s="58"/>
      <c r="M329" s="58"/>
      <c r="N329" s="58"/>
      <c r="O329" s="58"/>
      <c r="P329" s="61">
        <f t="shared" ref="P329:P392" si="5">IF(F329="","",IF(ISERR(F329-E329)=TRUE,"",F329-E329+1))</f>
        <v>5</v>
      </c>
      <c r="Q329" s="62" t="s">
        <v>6463</v>
      </c>
      <c r="R329" s="73"/>
      <c r="S329" s="74"/>
    </row>
    <row r="330" spans="1:19" s="63" customFormat="1" ht="45" x14ac:dyDescent="0.25">
      <c r="A330" s="71">
        <v>322</v>
      </c>
      <c r="B330" s="72" t="s">
        <v>6464</v>
      </c>
      <c r="C330" s="56" t="s">
        <v>6465</v>
      </c>
      <c r="D330" s="57"/>
      <c r="E330" s="58">
        <v>1</v>
      </c>
      <c r="F330" s="58">
        <v>5</v>
      </c>
      <c r="G330" s="59">
        <v>40241</v>
      </c>
      <c r="H330" s="59">
        <v>40255</v>
      </c>
      <c r="I330" s="60">
        <v>1</v>
      </c>
      <c r="J330" s="58"/>
      <c r="K330" s="58" t="s">
        <v>5502</v>
      </c>
      <c r="L330" s="58"/>
      <c r="M330" s="58"/>
      <c r="N330" s="58"/>
      <c r="O330" s="58"/>
      <c r="P330" s="61">
        <f t="shared" si="5"/>
        <v>5</v>
      </c>
      <c r="Q330" s="62" t="s">
        <v>6466</v>
      </c>
      <c r="R330" s="73"/>
      <c r="S330" s="74"/>
    </row>
    <row r="331" spans="1:19" s="63" customFormat="1" ht="45" x14ac:dyDescent="0.25">
      <c r="A331" s="71">
        <v>323</v>
      </c>
      <c r="B331" s="72" t="s">
        <v>6467</v>
      </c>
      <c r="C331" s="56" t="s">
        <v>6468</v>
      </c>
      <c r="D331" s="57"/>
      <c r="E331" s="58">
        <v>1</v>
      </c>
      <c r="F331" s="58">
        <v>5</v>
      </c>
      <c r="G331" s="59">
        <v>40241</v>
      </c>
      <c r="H331" s="59">
        <v>40255</v>
      </c>
      <c r="I331" s="60">
        <v>1</v>
      </c>
      <c r="J331" s="58"/>
      <c r="K331" s="58" t="s">
        <v>5502</v>
      </c>
      <c r="L331" s="58"/>
      <c r="M331" s="58"/>
      <c r="N331" s="58"/>
      <c r="O331" s="58"/>
      <c r="P331" s="61">
        <f t="shared" si="5"/>
        <v>5</v>
      </c>
      <c r="Q331" s="62" t="s">
        <v>6469</v>
      </c>
      <c r="R331" s="73"/>
      <c r="S331" s="74"/>
    </row>
    <row r="332" spans="1:19" s="63" customFormat="1" ht="45" x14ac:dyDescent="0.25">
      <c r="A332" s="71">
        <v>324</v>
      </c>
      <c r="B332" s="72" t="s">
        <v>6470</v>
      </c>
      <c r="C332" s="56" t="s">
        <v>6471</v>
      </c>
      <c r="D332" s="57"/>
      <c r="E332" s="58">
        <v>1</v>
      </c>
      <c r="F332" s="58">
        <v>5</v>
      </c>
      <c r="G332" s="59">
        <v>40304</v>
      </c>
      <c r="H332" s="59">
        <v>40318</v>
      </c>
      <c r="I332" s="60">
        <v>1</v>
      </c>
      <c r="J332" s="58"/>
      <c r="K332" s="58" t="s">
        <v>5502</v>
      </c>
      <c r="L332" s="58"/>
      <c r="M332" s="58"/>
      <c r="N332" s="58"/>
      <c r="O332" s="58"/>
      <c r="P332" s="61">
        <f t="shared" si="5"/>
        <v>5</v>
      </c>
      <c r="Q332" s="62" t="s">
        <v>6472</v>
      </c>
      <c r="R332" s="73"/>
      <c r="S332" s="74"/>
    </row>
    <row r="333" spans="1:19" s="63" customFormat="1" ht="45" x14ac:dyDescent="0.25">
      <c r="A333" s="71">
        <v>325</v>
      </c>
      <c r="B333" s="72" t="s">
        <v>6473</v>
      </c>
      <c r="C333" s="56" t="s">
        <v>6474</v>
      </c>
      <c r="D333" s="57"/>
      <c r="E333" s="58">
        <v>1</v>
      </c>
      <c r="F333" s="58">
        <v>4</v>
      </c>
      <c r="G333" s="59">
        <v>40339</v>
      </c>
      <c r="H333" s="59">
        <v>40345</v>
      </c>
      <c r="I333" s="60">
        <v>1</v>
      </c>
      <c r="J333" s="58"/>
      <c r="K333" s="58" t="s">
        <v>5502</v>
      </c>
      <c r="L333" s="58"/>
      <c r="M333" s="58"/>
      <c r="N333" s="58"/>
      <c r="O333" s="58"/>
      <c r="P333" s="61">
        <f t="shared" si="5"/>
        <v>4</v>
      </c>
      <c r="Q333" s="62" t="s">
        <v>6475</v>
      </c>
      <c r="R333" s="73"/>
      <c r="S333" s="74"/>
    </row>
    <row r="334" spans="1:19" s="63" customFormat="1" ht="45" x14ac:dyDescent="0.25">
      <c r="A334" s="71">
        <v>326</v>
      </c>
      <c r="B334" s="72" t="s">
        <v>6476</v>
      </c>
      <c r="C334" s="56" t="s">
        <v>6477</v>
      </c>
      <c r="D334" s="57"/>
      <c r="E334" s="58">
        <v>1</v>
      </c>
      <c r="F334" s="58">
        <v>5</v>
      </c>
      <c r="G334" s="59">
        <v>40367</v>
      </c>
      <c r="H334" s="59">
        <v>40374</v>
      </c>
      <c r="I334" s="60">
        <v>1</v>
      </c>
      <c r="J334" s="58"/>
      <c r="K334" s="58" t="s">
        <v>5502</v>
      </c>
      <c r="L334" s="58"/>
      <c r="M334" s="58"/>
      <c r="N334" s="58"/>
      <c r="O334" s="58"/>
      <c r="P334" s="61">
        <f t="shared" si="5"/>
        <v>5</v>
      </c>
      <c r="Q334" s="62" t="s">
        <v>6478</v>
      </c>
      <c r="R334" s="73"/>
      <c r="S334" s="74"/>
    </row>
    <row r="335" spans="1:19" s="63" customFormat="1" ht="45" x14ac:dyDescent="0.25">
      <c r="A335" s="71">
        <v>327</v>
      </c>
      <c r="B335" s="72" t="s">
        <v>6479</v>
      </c>
      <c r="C335" s="56" t="s">
        <v>6480</v>
      </c>
      <c r="D335" s="57"/>
      <c r="E335" s="58">
        <v>1</v>
      </c>
      <c r="F335" s="58">
        <v>5</v>
      </c>
      <c r="G335" s="59">
        <v>40367</v>
      </c>
      <c r="H335" s="59">
        <v>40374</v>
      </c>
      <c r="I335" s="60">
        <v>1</v>
      </c>
      <c r="J335" s="58"/>
      <c r="K335" s="58" t="s">
        <v>5502</v>
      </c>
      <c r="L335" s="58"/>
      <c r="M335" s="58"/>
      <c r="N335" s="58"/>
      <c r="O335" s="58"/>
      <c r="P335" s="61">
        <f t="shared" si="5"/>
        <v>5</v>
      </c>
      <c r="Q335" s="62" t="s">
        <v>6481</v>
      </c>
      <c r="R335" s="73"/>
      <c r="S335" s="74"/>
    </row>
    <row r="336" spans="1:19" s="63" customFormat="1" ht="45" x14ac:dyDescent="0.25">
      <c r="A336" s="71">
        <v>328</v>
      </c>
      <c r="B336" s="72" t="s">
        <v>6482</v>
      </c>
      <c r="C336" s="56" t="s">
        <v>6483</v>
      </c>
      <c r="D336" s="57"/>
      <c r="E336" s="58">
        <v>1</v>
      </c>
      <c r="F336" s="58">
        <v>5</v>
      </c>
      <c r="G336" s="59">
        <v>40395</v>
      </c>
      <c r="H336" s="59">
        <v>40410</v>
      </c>
      <c r="I336" s="60">
        <v>1</v>
      </c>
      <c r="J336" s="58"/>
      <c r="K336" s="58" t="s">
        <v>5502</v>
      </c>
      <c r="L336" s="58"/>
      <c r="M336" s="58"/>
      <c r="N336" s="58"/>
      <c r="O336" s="58"/>
      <c r="P336" s="61">
        <f t="shared" si="5"/>
        <v>5</v>
      </c>
      <c r="Q336" s="62" t="s">
        <v>6484</v>
      </c>
      <c r="R336" s="73"/>
      <c r="S336" s="74"/>
    </row>
    <row r="337" spans="1:19" s="63" customFormat="1" ht="45" x14ac:dyDescent="0.25">
      <c r="A337" s="71">
        <v>329</v>
      </c>
      <c r="B337" s="72" t="s">
        <v>6485</v>
      </c>
      <c r="C337" s="56" t="s">
        <v>6486</v>
      </c>
      <c r="D337" s="57"/>
      <c r="E337" s="58">
        <v>1</v>
      </c>
      <c r="F337" s="58">
        <v>5</v>
      </c>
      <c r="G337" s="59">
        <v>40395</v>
      </c>
      <c r="H337" s="59">
        <v>40410</v>
      </c>
      <c r="I337" s="60">
        <v>1</v>
      </c>
      <c r="J337" s="58"/>
      <c r="K337" s="58" t="s">
        <v>5502</v>
      </c>
      <c r="L337" s="58"/>
      <c r="M337" s="58"/>
      <c r="N337" s="58"/>
      <c r="O337" s="58"/>
      <c r="P337" s="61">
        <f t="shared" si="5"/>
        <v>5</v>
      </c>
      <c r="Q337" s="62" t="s">
        <v>6487</v>
      </c>
      <c r="R337" s="73"/>
      <c r="S337" s="74"/>
    </row>
    <row r="338" spans="1:19" s="63" customFormat="1" ht="45" x14ac:dyDescent="0.25">
      <c r="A338" s="71">
        <v>330</v>
      </c>
      <c r="B338" s="72" t="s">
        <v>6488</v>
      </c>
      <c r="C338" s="56" t="s">
        <v>6489</v>
      </c>
      <c r="D338" s="57"/>
      <c r="E338" s="58">
        <v>1</v>
      </c>
      <c r="F338" s="58">
        <v>5</v>
      </c>
      <c r="G338" s="59">
        <v>40456</v>
      </c>
      <c r="H338" s="59">
        <v>40472</v>
      </c>
      <c r="I338" s="60">
        <v>1</v>
      </c>
      <c r="J338" s="58"/>
      <c r="K338" s="58" t="s">
        <v>5502</v>
      </c>
      <c r="L338" s="58"/>
      <c r="M338" s="58"/>
      <c r="N338" s="58"/>
      <c r="O338" s="58"/>
      <c r="P338" s="61">
        <f t="shared" si="5"/>
        <v>5</v>
      </c>
      <c r="Q338" s="62" t="s">
        <v>6490</v>
      </c>
      <c r="R338" s="73"/>
      <c r="S338" s="74"/>
    </row>
    <row r="339" spans="1:19" s="63" customFormat="1" ht="56.25" x14ac:dyDescent="0.25">
      <c r="A339" s="71">
        <v>331</v>
      </c>
      <c r="B339" s="72" t="s">
        <v>6491</v>
      </c>
      <c r="C339" s="56" t="s">
        <v>6492</v>
      </c>
      <c r="D339" s="57"/>
      <c r="E339" s="58">
        <v>1</v>
      </c>
      <c r="F339" s="58">
        <v>5</v>
      </c>
      <c r="G339" s="59">
        <v>40491</v>
      </c>
      <c r="H339" s="59">
        <v>40499</v>
      </c>
      <c r="I339" s="60">
        <v>1</v>
      </c>
      <c r="J339" s="58"/>
      <c r="K339" s="58" t="s">
        <v>5502</v>
      </c>
      <c r="L339" s="58"/>
      <c r="M339" s="58"/>
      <c r="N339" s="58"/>
      <c r="O339" s="58"/>
      <c r="P339" s="61">
        <f t="shared" si="5"/>
        <v>5</v>
      </c>
      <c r="Q339" s="62" t="s">
        <v>6493</v>
      </c>
      <c r="R339" s="73"/>
      <c r="S339" s="74"/>
    </row>
    <row r="340" spans="1:19" s="63" customFormat="1" ht="45" x14ac:dyDescent="0.25">
      <c r="A340" s="71">
        <v>332</v>
      </c>
      <c r="B340" s="72" t="s">
        <v>6494</v>
      </c>
      <c r="C340" s="56" t="s">
        <v>6495</v>
      </c>
      <c r="D340" s="57"/>
      <c r="E340" s="58">
        <v>1</v>
      </c>
      <c r="F340" s="58">
        <v>5</v>
      </c>
      <c r="G340" s="59">
        <v>40514</v>
      </c>
      <c r="H340" s="59">
        <v>40528</v>
      </c>
      <c r="I340" s="60">
        <v>1</v>
      </c>
      <c r="J340" s="58"/>
      <c r="K340" s="58" t="s">
        <v>5502</v>
      </c>
      <c r="L340" s="58"/>
      <c r="M340" s="58"/>
      <c r="N340" s="58"/>
      <c r="O340" s="58"/>
      <c r="P340" s="61">
        <f t="shared" si="5"/>
        <v>5</v>
      </c>
      <c r="Q340" s="62" t="s">
        <v>6496</v>
      </c>
      <c r="R340" s="73"/>
      <c r="S340" s="74"/>
    </row>
    <row r="341" spans="1:19" s="63" customFormat="1" ht="45" x14ac:dyDescent="0.25">
      <c r="A341" s="71">
        <v>333</v>
      </c>
      <c r="B341" s="72" t="s">
        <v>6497</v>
      </c>
      <c r="C341" s="56" t="s">
        <v>6498</v>
      </c>
      <c r="D341" s="57"/>
      <c r="E341" s="58">
        <v>1</v>
      </c>
      <c r="F341" s="58">
        <v>5</v>
      </c>
      <c r="G341" s="59">
        <v>40514</v>
      </c>
      <c r="H341" s="59">
        <v>40528</v>
      </c>
      <c r="I341" s="60">
        <v>1</v>
      </c>
      <c r="J341" s="58"/>
      <c r="K341" s="58" t="s">
        <v>5502</v>
      </c>
      <c r="L341" s="58"/>
      <c r="M341" s="58"/>
      <c r="N341" s="58"/>
      <c r="O341" s="58"/>
      <c r="P341" s="61">
        <f t="shared" si="5"/>
        <v>5</v>
      </c>
      <c r="Q341" s="62" t="s">
        <v>6499</v>
      </c>
      <c r="R341" s="73"/>
      <c r="S341" s="74"/>
    </row>
    <row r="342" spans="1:19" s="63" customFormat="1" ht="45" x14ac:dyDescent="0.25">
      <c r="A342" s="71">
        <v>334</v>
      </c>
      <c r="B342" s="72" t="s">
        <v>6500</v>
      </c>
      <c r="C342" s="56" t="s">
        <v>6501</v>
      </c>
      <c r="D342" s="57"/>
      <c r="E342" s="58">
        <v>1</v>
      </c>
      <c r="F342" s="58">
        <v>5</v>
      </c>
      <c r="G342" s="59">
        <v>40666</v>
      </c>
      <c r="H342" s="59">
        <v>40682</v>
      </c>
      <c r="I342" s="60">
        <v>1</v>
      </c>
      <c r="J342" s="58"/>
      <c r="K342" s="58" t="s">
        <v>5502</v>
      </c>
      <c r="L342" s="58"/>
      <c r="M342" s="58"/>
      <c r="N342" s="58"/>
      <c r="O342" s="58"/>
      <c r="P342" s="61">
        <f t="shared" si="5"/>
        <v>5</v>
      </c>
      <c r="Q342" s="62" t="s">
        <v>6502</v>
      </c>
      <c r="R342" s="73"/>
      <c r="S342" s="74"/>
    </row>
    <row r="343" spans="1:19" s="63" customFormat="1" ht="45" x14ac:dyDescent="0.25">
      <c r="A343" s="71">
        <v>335</v>
      </c>
      <c r="B343" s="72" t="s">
        <v>6503</v>
      </c>
      <c r="C343" s="56" t="s">
        <v>6504</v>
      </c>
      <c r="D343" s="57"/>
      <c r="E343" s="58">
        <v>1</v>
      </c>
      <c r="F343" s="58">
        <v>5</v>
      </c>
      <c r="G343" s="59">
        <v>40696</v>
      </c>
      <c r="H343" s="59">
        <v>40710</v>
      </c>
      <c r="I343" s="60">
        <v>1</v>
      </c>
      <c r="J343" s="58"/>
      <c r="K343" s="58" t="s">
        <v>5502</v>
      </c>
      <c r="L343" s="58"/>
      <c r="M343" s="58"/>
      <c r="N343" s="58"/>
      <c r="O343" s="58"/>
      <c r="P343" s="61">
        <f t="shared" si="5"/>
        <v>5</v>
      </c>
      <c r="Q343" s="62" t="s">
        <v>6505</v>
      </c>
      <c r="R343" s="73"/>
      <c r="S343" s="74"/>
    </row>
    <row r="344" spans="1:19" s="63" customFormat="1" ht="45" x14ac:dyDescent="0.25">
      <c r="A344" s="71">
        <v>336</v>
      </c>
      <c r="B344" s="72" t="s">
        <v>6506</v>
      </c>
      <c r="C344" s="56" t="s">
        <v>6507</v>
      </c>
      <c r="D344" s="57"/>
      <c r="E344" s="58">
        <v>1</v>
      </c>
      <c r="F344" s="58">
        <v>5</v>
      </c>
      <c r="G344" s="59">
        <v>40696</v>
      </c>
      <c r="H344" s="59">
        <v>40710</v>
      </c>
      <c r="I344" s="60">
        <v>1</v>
      </c>
      <c r="J344" s="58"/>
      <c r="K344" s="58" t="s">
        <v>5502</v>
      </c>
      <c r="L344" s="58"/>
      <c r="M344" s="58"/>
      <c r="N344" s="58"/>
      <c r="O344" s="58"/>
      <c r="P344" s="61">
        <f t="shared" si="5"/>
        <v>5</v>
      </c>
      <c r="Q344" s="62" t="s">
        <v>6508</v>
      </c>
      <c r="R344" s="73"/>
      <c r="S344" s="74"/>
    </row>
    <row r="345" spans="1:19" s="63" customFormat="1" ht="56.25" x14ac:dyDescent="0.25">
      <c r="A345" s="71">
        <v>337</v>
      </c>
      <c r="B345" s="72" t="s">
        <v>6509</v>
      </c>
      <c r="C345" s="56" t="s">
        <v>6510</v>
      </c>
      <c r="D345" s="57"/>
      <c r="E345" s="58">
        <v>1</v>
      </c>
      <c r="F345" s="58">
        <v>5</v>
      </c>
      <c r="G345" s="59">
        <v>40731</v>
      </c>
      <c r="H345" s="59">
        <v>40745</v>
      </c>
      <c r="I345" s="60">
        <v>1</v>
      </c>
      <c r="J345" s="58"/>
      <c r="K345" s="58" t="s">
        <v>5502</v>
      </c>
      <c r="L345" s="58"/>
      <c r="M345" s="58"/>
      <c r="N345" s="58"/>
      <c r="O345" s="58"/>
      <c r="P345" s="61">
        <f t="shared" si="5"/>
        <v>5</v>
      </c>
      <c r="Q345" s="62" t="s">
        <v>6511</v>
      </c>
      <c r="R345" s="73"/>
      <c r="S345" s="74"/>
    </row>
    <row r="346" spans="1:19" s="63" customFormat="1" ht="56.25" x14ac:dyDescent="0.25">
      <c r="A346" s="71">
        <v>338</v>
      </c>
      <c r="B346" s="72" t="s">
        <v>6512</v>
      </c>
      <c r="C346" s="56" t="s">
        <v>6513</v>
      </c>
      <c r="D346" s="57"/>
      <c r="E346" s="58">
        <v>1</v>
      </c>
      <c r="F346" s="58">
        <v>5</v>
      </c>
      <c r="G346" s="59">
        <v>40864</v>
      </c>
      <c r="H346" s="59">
        <v>40878</v>
      </c>
      <c r="I346" s="60">
        <v>1</v>
      </c>
      <c r="J346" s="58"/>
      <c r="K346" s="58" t="s">
        <v>5502</v>
      </c>
      <c r="L346" s="58"/>
      <c r="M346" s="58"/>
      <c r="N346" s="58"/>
      <c r="O346" s="58"/>
      <c r="P346" s="61">
        <f t="shared" si="5"/>
        <v>5</v>
      </c>
      <c r="Q346" s="62" t="s">
        <v>6514</v>
      </c>
      <c r="R346" s="73"/>
      <c r="S346" s="74"/>
    </row>
    <row r="347" spans="1:19" s="63" customFormat="1" ht="45" x14ac:dyDescent="0.25">
      <c r="A347" s="71">
        <v>339</v>
      </c>
      <c r="B347" s="72" t="s">
        <v>6515</v>
      </c>
      <c r="C347" s="56" t="s">
        <v>6516</v>
      </c>
      <c r="D347" s="57"/>
      <c r="E347" s="58">
        <v>1</v>
      </c>
      <c r="F347" s="58">
        <v>5</v>
      </c>
      <c r="G347" s="59">
        <v>40878</v>
      </c>
      <c r="H347" s="59">
        <v>40892</v>
      </c>
      <c r="I347" s="60">
        <v>1</v>
      </c>
      <c r="J347" s="58"/>
      <c r="K347" s="58" t="s">
        <v>5502</v>
      </c>
      <c r="L347" s="58"/>
      <c r="M347" s="58"/>
      <c r="N347" s="58"/>
      <c r="O347" s="58"/>
      <c r="P347" s="61">
        <f t="shared" si="5"/>
        <v>5</v>
      </c>
      <c r="Q347" s="62" t="s">
        <v>6517</v>
      </c>
      <c r="R347" s="73"/>
      <c r="S347" s="74"/>
    </row>
    <row r="348" spans="1:19" s="63" customFormat="1" ht="56.25" x14ac:dyDescent="0.25">
      <c r="A348" s="71">
        <v>340</v>
      </c>
      <c r="B348" s="72" t="s">
        <v>6518</v>
      </c>
      <c r="C348" s="56" t="s">
        <v>6519</v>
      </c>
      <c r="D348" s="57"/>
      <c r="E348" s="58">
        <v>1</v>
      </c>
      <c r="F348" s="58">
        <v>10</v>
      </c>
      <c r="G348" s="59">
        <v>41016</v>
      </c>
      <c r="H348" s="59">
        <v>41023</v>
      </c>
      <c r="I348" s="60">
        <v>1</v>
      </c>
      <c r="J348" s="58"/>
      <c r="K348" s="58" t="s">
        <v>5502</v>
      </c>
      <c r="L348" s="58"/>
      <c r="M348" s="58"/>
      <c r="N348" s="58"/>
      <c r="O348" s="58"/>
      <c r="P348" s="61">
        <f t="shared" si="5"/>
        <v>10</v>
      </c>
      <c r="Q348" s="62" t="s">
        <v>6520</v>
      </c>
      <c r="R348" s="73"/>
      <c r="S348" s="74"/>
    </row>
    <row r="349" spans="1:19" s="63" customFormat="1" ht="45" x14ac:dyDescent="0.25">
      <c r="A349" s="71">
        <v>341</v>
      </c>
      <c r="B349" s="72" t="s">
        <v>6521</v>
      </c>
      <c r="C349" s="56" t="s">
        <v>6522</v>
      </c>
      <c r="D349" s="57"/>
      <c r="E349" s="58">
        <v>1</v>
      </c>
      <c r="F349" s="58">
        <v>5</v>
      </c>
      <c r="G349" s="59">
        <v>41016</v>
      </c>
      <c r="H349" s="59">
        <v>41023</v>
      </c>
      <c r="I349" s="60">
        <v>1</v>
      </c>
      <c r="J349" s="58"/>
      <c r="K349" s="58" t="s">
        <v>5502</v>
      </c>
      <c r="L349" s="58"/>
      <c r="M349" s="58"/>
      <c r="N349" s="58"/>
      <c r="O349" s="58"/>
      <c r="P349" s="61">
        <f t="shared" si="5"/>
        <v>5</v>
      </c>
      <c r="Q349" s="62" t="s">
        <v>6523</v>
      </c>
      <c r="R349" s="73"/>
      <c r="S349" s="74"/>
    </row>
    <row r="350" spans="1:19" s="63" customFormat="1" ht="45" x14ac:dyDescent="0.25">
      <c r="A350" s="71">
        <v>342</v>
      </c>
      <c r="B350" s="72" t="s">
        <v>6524</v>
      </c>
      <c r="C350" s="56" t="s">
        <v>6525</v>
      </c>
      <c r="D350" s="57"/>
      <c r="E350" s="58">
        <v>1</v>
      </c>
      <c r="F350" s="58">
        <v>5</v>
      </c>
      <c r="G350" s="59">
        <v>41032</v>
      </c>
      <c r="H350" s="59">
        <v>41046</v>
      </c>
      <c r="I350" s="60">
        <v>1</v>
      </c>
      <c r="J350" s="58"/>
      <c r="K350" s="58" t="s">
        <v>5502</v>
      </c>
      <c r="L350" s="58"/>
      <c r="M350" s="58"/>
      <c r="N350" s="58"/>
      <c r="O350" s="58"/>
      <c r="P350" s="61">
        <f t="shared" si="5"/>
        <v>5</v>
      </c>
      <c r="Q350" s="62" t="s">
        <v>6526</v>
      </c>
      <c r="R350" s="73"/>
      <c r="S350" s="74"/>
    </row>
    <row r="351" spans="1:19" s="63" customFormat="1" ht="56.25" x14ac:dyDescent="0.25">
      <c r="A351" s="71">
        <v>343</v>
      </c>
      <c r="B351" s="72" t="s">
        <v>6527</v>
      </c>
      <c r="C351" s="56" t="s">
        <v>6528</v>
      </c>
      <c r="D351" s="57"/>
      <c r="E351" s="58">
        <v>1</v>
      </c>
      <c r="F351" s="58">
        <v>5</v>
      </c>
      <c r="G351" s="59">
        <v>41067</v>
      </c>
      <c r="H351" s="59">
        <v>41081</v>
      </c>
      <c r="I351" s="60">
        <v>1</v>
      </c>
      <c r="J351" s="58"/>
      <c r="K351" s="58" t="s">
        <v>5502</v>
      </c>
      <c r="L351" s="58"/>
      <c r="M351" s="58"/>
      <c r="N351" s="58"/>
      <c r="O351" s="58"/>
      <c r="P351" s="61">
        <f t="shared" si="5"/>
        <v>5</v>
      </c>
      <c r="Q351" s="62" t="s">
        <v>6529</v>
      </c>
      <c r="R351" s="73"/>
      <c r="S351" s="74"/>
    </row>
    <row r="352" spans="1:19" s="63" customFormat="1" ht="56.25" x14ac:dyDescent="0.25">
      <c r="A352" s="71">
        <v>344</v>
      </c>
      <c r="B352" s="72" t="s">
        <v>6530</v>
      </c>
      <c r="C352" s="56" t="s">
        <v>6531</v>
      </c>
      <c r="D352" s="57"/>
      <c r="E352" s="58">
        <v>1</v>
      </c>
      <c r="F352" s="58">
        <v>5</v>
      </c>
      <c r="G352" s="59">
        <v>41123</v>
      </c>
      <c r="H352" s="59">
        <v>41137</v>
      </c>
      <c r="I352" s="60">
        <v>1</v>
      </c>
      <c r="J352" s="58"/>
      <c r="K352" s="58" t="s">
        <v>5502</v>
      </c>
      <c r="L352" s="58"/>
      <c r="M352" s="58"/>
      <c r="N352" s="58"/>
      <c r="O352" s="58"/>
      <c r="P352" s="61">
        <f t="shared" si="5"/>
        <v>5</v>
      </c>
      <c r="Q352" s="62" t="s">
        <v>6532</v>
      </c>
      <c r="R352" s="73"/>
      <c r="S352" s="74"/>
    </row>
    <row r="353" spans="1:19" s="63" customFormat="1" ht="45" x14ac:dyDescent="0.25">
      <c r="A353" s="71">
        <v>345</v>
      </c>
      <c r="B353" s="72" t="s">
        <v>6533</v>
      </c>
      <c r="C353" s="56" t="s">
        <v>6534</v>
      </c>
      <c r="D353" s="57"/>
      <c r="E353" s="58">
        <v>1</v>
      </c>
      <c r="F353" s="58">
        <v>5</v>
      </c>
      <c r="G353" s="59">
        <v>41186</v>
      </c>
      <c r="H353" s="59">
        <v>41200</v>
      </c>
      <c r="I353" s="60">
        <v>1</v>
      </c>
      <c r="J353" s="58"/>
      <c r="K353" s="58" t="s">
        <v>5502</v>
      </c>
      <c r="L353" s="58"/>
      <c r="M353" s="58"/>
      <c r="N353" s="58"/>
      <c r="O353" s="58"/>
      <c r="P353" s="61">
        <f t="shared" si="5"/>
        <v>5</v>
      </c>
      <c r="Q353" s="62" t="s">
        <v>6535</v>
      </c>
      <c r="R353" s="73"/>
      <c r="S353" s="74"/>
    </row>
    <row r="354" spans="1:19" s="63" customFormat="1" ht="33.75" x14ac:dyDescent="0.25">
      <c r="A354" s="71">
        <v>346</v>
      </c>
      <c r="B354" s="72" t="s">
        <v>6536</v>
      </c>
      <c r="C354" s="56" t="s">
        <v>6537</v>
      </c>
      <c r="D354" s="57"/>
      <c r="E354" s="58">
        <v>1</v>
      </c>
      <c r="F354" s="58">
        <v>8</v>
      </c>
      <c r="G354" s="59">
        <v>41214</v>
      </c>
      <c r="H354" s="59">
        <v>41228</v>
      </c>
      <c r="I354" s="60">
        <v>1</v>
      </c>
      <c r="J354" s="58"/>
      <c r="K354" s="58" t="s">
        <v>5502</v>
      </c>
      <c r="L354" s="58"/>
      <c r="M354" s="58"/>
      <c r="N354" s="58"/>
      <c r="O354" s="58"/>
      <c r="P354" s="61">
        <f t="shared" si="5"/>
        <v>8</v>
      </c>
      <c r="Q354" s="62" t="s">
        <v>6538</v>
      </c>
      <c r="R354" s="73"/>
      <c r="S354" s="74"/>
    </row>
    <row r="355" spans="1:19" s="63" customFormat="1" ht="45" x14ac:dyDescent="0.25">
      <c r="A355" s="71">
        <v>347</v>
      </c>
      <c r="B355" s="72" t="s">
        <v>6539</v>
      </c>
      <c r="C355" s="56" t="s">
        <v>6540</v>
      </c>
      <c r="D355" s="57"/>
      <c r="E355" s="58">
        <v>1</v>
      </c>
      <c r="F355" s="58">
        <v>4</v>
      </c>
      <c r="G355" s="59">
        <v>41261</v>
      </c>
      <c r="H355" s="59">
        <v>41271</v>
      </c>
      <c r="I355" s="60">
        <v>1</v>
      </c>
      <c r="J355" s="58"/>
      <c r="K355" s="58" t="s">
        <v>5502</v>
      </c>
      <c r="L355" s="58"/>
      <c r="M355" s="58"/>
      <c r="N355" s="58"/>
      <c r="O355" s="58"/>
      <c r="P355" s="61">
        <f t="shared" si="5"/>
        <v>4</v>
      </c>
      <c r="Q355" s="62" t="s">
        <v>6541</v>
      </c>
      <c r="R355" s="73"/>
      <c r="S355" s="74"/>
    </row>
    <row r="356" spans="1:19" s="63" customFormat="1" ht="45" x14ac:dyDescent="0.25">
      <c r="A356" s="71">
        <v>348</v>
      </c>
      <c r="B356" s="72" t="s">
        <v>6542</v>
      </c>
      <c r="C356" s="56" t="s">
        <v>6543</v>
      </c>
      <c r="D356" s="57"/>
      <c r="E356" s="58">
        <v>1</v>
      </c>
      <c r="F356" s="58">
        <v>5</v>
      </c>
      <c r="G356" s="59">
        <v>41284</v>
      </c>
      <c r="H356" s="59">
        <v>41292</v>
      </c>
      <c r="I356" s="60">
        <v>1</v>
      </c>
      <c r="J356" s="58"/>
      <c r="K356" s="58" t="s">
        <v>5502</v>
      </c>
      <c r="L356" s="58"/>
      <c r="M356" s="58"/>
      <c r="N356" s="58"/>
      <c r="O356" s="58"/>
      <c r="P356" s="61">
        <f t="shared" si="5"/>
        <v>5</v>
      </c>
      <c r="Q356" s="62" t="s">
        <v>6544</v>
      </c>
      <c r="R356" s="73"/>
      <c r="S356" s="74"/>
    </row>
    <row r="357" spans="1:19" s="63" customFormat="1" ht="56.25" x14ac:dyDescent="0.25">
      <c r="A357" s="71">
        <v>349</v>
      </c>
      <c r="B357" s="72" t="s">
        <v>6545</v>
      </c>
      <c r="C357" s="56" t="s">
        <v>6546</v>
      </c>
      <c r="D357" s="57"/>
      <c r="E357" s="58">
        <v>1</v>
      </c>
      <c r="F357" s="58">
        <v>5</v>
      </c>
      <c r="G357" s="59">
        <v>41298</v>
      </c>
      <c r="H357" s="59">
        <v>41305</v>
      </c>
      <c r="I357" s="60">
        <v>1</v>
      </c>
      <c r="J357" s="58"/>
      <c r="K357" s="58" t="s">
        <v>5502</v>
      </c>
      <c r="L357" s="58"/>
      <c r="M357" s="58"/>
      <c r="N357" s="58"/>
      <c r="O357" s="58"/>
      <c r="P357" s="61">
        <f t="shared" si="5"/>
        <v>5</v>
      </c>
      <c r="Q357" s="62" t="s">
        <v>6547</v>
      </c>
      <c r="R357" s="73"/>
      <c r="S357" s="74"/>
    </row>
    <row r="358" spans="1:19" s="63" customFormat="1" ht="45" x14ac:dyDescent="0.25">
      <c r="A358" s="71">
        <v>350</v>
      </c>
      <c r="B358" s="72" t="s">
        <v>6548</v>
      </c>
      <c r="C358" s="56" t="s">
        <v>6549</v>
      </c>
      <c r="D358" s="57"/>
      <c r="E358" s="58">
        <v>1</v>
      </c>
      <c r="F358" s="58">
        <v>5</v>
      </c>
      <c r="G358" s="59">
        <v>41312</v>
      </c>
      <c r="H358" s="59">
        <v>41319</v>
      </c>
      <c r="I358" s="60">
        <v>1</v>
      </c>
      <c r="J358" s="58"/>
      <c r="K358" s="58" t="s">
        <v>5502</v>
      </c>
      <c r="L358" s="58"/>
      <c r="M358" s="58"/>
      <c r="N358" s="58"/>
      <c r="O358" s="58"/>
      <c r="P358" s="61">
        <f t="shared" si="5"/>
        <v>5</v>
      </c>
      <c r="Q358" s="62" t="s">
        <v>6550</v>
      </c>
      <c r="R358" s="73"/>
      <c r="S358" s="74"/>
    </row>
    <row r="359" spans="1:19" s="63" customFormat="1" ht="45" x14ac:dyDescent="0.25">
      <c r="A359" s="71">
        <v>351</v>
      </c>
      <c r="B359" s="72" t="s">
        <v>6551</v>
      </c>
      <c r="C359" s="56" t="s">
        <v>6552</v>
      </c>
      <c r="D359" s="57"/>
      <c r="E359" s="58">
        <v>1</v>
      </c>
      <c r="F359" s="58">
        <v>5</v>
      </c>
      <c r="G359" s="59">
        <v>41353</v>
      </c>
      <c r="H359" s="59">
        <v>41372</v>
      </c>
      <c r="I359" s="60">
        <v>1</v>
      </c>
      <c r="J359" s="58"/>
      <c r="K359" s="58" t="s">
        <v>5502</v>
      </c>
      <c r="L359" s="58"/>
      <c r="M359" s="58"/>
      <c r="N359" s="58"/>
      <c r="O359" s="58"/>
      <c r="P359" s="61">
        <f t="shared" si="5"/>
        <v>5</v>
      </c>
      <c r="Q359" s="62" t="s">
        <v>6553</v>
      </c>
      <c r="R359" s="73"/>
      <c r="S359" s="74"/>
    </row>
    <row r="360" spans="1:19" s="63" customFormat="1" ht="56.25" x14ac:dyDescent="0.25">
      <c r="A360" s="71">
        <v>352</v>
      </c>
      <c r="B360" s="72" t="s">
        <v>6554</v>
      </c>
      <c r="C360" s="56" t="s">
        <v>6555</v>
      </c>
      <c r="D360" s="57"/>
      <c r="E360" s="58">
        <v>1</v>
      </c>
      <c r="F360" s="58">
        <v>5</v>
      </c>
      <c r="G360" s="59">
        <v>41353</v>
      </c>
      <c r="H360" s="59">
        <v>41372</v>
      </c>
      <c r="I360" s="60">
        <v>1</v>
      </c>
      <c r="J360" s="58"/>
      <c r="K360" s="58" t="s">
        <v>5502</v>
      </c>
      <c r="L360" s="58"/>
      <c r="M360" s="58"/>
      <c r="N360" s="58"/>
      <c r="O360" s="58"/>
      <c r="P360" s="61">
        <f t="shared" si="5"/>
        <v>5</v>
      </c>
      <c r="Q360" s="62" t="s">
        <v>6556</v>
      </c>
      <c r="R360" s="73"/>
      <c r="S360" s="74"/>
    </row>
    <row r="361" spans="1:19" s="63" customFormat="1" ht="45" x14ac:dyDescent="0.25">
      <c r="A361" s="71">
        <v>353</v>
      </c>
      <c r="B361" s="72" t="s">
        <v>6557</v>
      </c>
      <c r="C361" s="56" t="s">
        <v>6558</v>
      </c>
      <c r="D361" s="57"/>
      <c r="E361" s="58">
        <v>1</v>
      </c>
      <c r="F361" s="58">
        <v>5</v>
      </c>
      <c r="G361" s="59">
        <v>41396</v>
      </c>
      <c r="H361" s="59">
        <v>41410</v>
      </c>
      <c r="I361" s="60">
        <v>1</v>
      </c>
      <c r="J361" s="58"/>
      <c r="K361" s="58" t="s">
        <v>5502</v>
      </c>
      <c r="L361" s="58"/>
      <c r="M361" s="58"/>
      <c r="N361" s="58"/>
      <c r="O361" s="58"/>
      <c r="P361" s="61">
        <f t="shared" si="5"/>
        <v>5</v>
      </c>
      <c r="Q361" s="62" t="s">
        <v>6559</v>
      </c>
      <c r="R361" s="73"/>
      <c r="S361" s="74"/>
    </row>
    <row r="362" spans="1:19" s="63" customFormat="1" ht="56.25" x14ac:dyDescent="0.25">
      <c r="A362" s="71">
        <v>354</v>
      </c>
      <c r="B362" s="72" t="s">
        <v>6560</v>
      </c>
      <c r="C362" s="56" t="s">
        <v>6561</v>
      </c>
      <c r="D362" s="57"/>
      <c r="E362" s="58">
        <v>1</v>
      </c>
      <c r="F362" s="58">
        <v>5</v>
      </c>
      <c r="G362" s="59">
        <v>41396</v>
      </c>
      <c r="H362" s="59">
        <v>41410</v>
      </c>
      <c r="I362" s="60">
        <v>1</v>
      </c>
      <c r="J362" s="58"/>
      <c r="K362" s="58" t="s">
        <v>5502</v>
      </c>
      <c r="L362" s="58"/>
      <c r="M362" s="58"/>
      <c r="N362" s="58"/>
      <c r="O362" s="58"/>
      <c r="P362" s="61">
        <f t="shared" si="5"/>
        <v>5</v>
      </c>
      <c r="Q362" s="62" t="s">
        <v>6562</v>
      </c>
      <c r="R362" s="73"/>
      <c r="S362" s="74"/>
    </row>
    <row r="363" spans="1:19" s="63" customFormat="1" ht="45" x14ac:dyDescent="0.25">
      <c r="A363" s="71">
        <v>355</v>
      </c>
      <c r="B363" s="72" t="s">
        <v>6563</v>
      </c>
      <c r="C363" s="56" t="s">
        <v>6564</v>
      </c>
      <c r="D363" s="57"/>
      <c r="E363" s="58">
        <v>1</v>
      </c>
      <c r="F363" s="58">
        <v>5</v>
      </c>
      <c r="G363" s="59">
        <v>41396</v>
      </c>
      <c r="H363" s="59">
        <v>41410</v>
      </c>
      <c r="I363" s="60">
        <v>1</v>
      </c>
      <c r="J363" s="58"/>
      <c r="K363" s="58" t="s">
        <v>5502</v>
      </c>
      <c r="L363" s="58"/>
      <c r="M363" s="58"/>
      <c r="N363" s="58"/>
      <c r="O363" s="58"/>
      <c r="P363" s="61">
        <f t="shared" si="5"/>
        <v>5</v>
      </c>
      <c r="Q363" s="62" t="s">
        <v>6565</v>
      </c>
      <c r="R363" s="73"/>
      <c r="S363" s="74"/>
    </row>
    <row r="364" spans="1:19" s="63" customFormat="1" ht="56.25" x14ac:dyDescent="0.25">
      <c r="A364" s="71">
        <v>356</v>
      </c>
      <c r="B364" s="72" t="s">
        <v>6566</v>
      </c>
      <c r="C364" s="56" t="s">
        <v>6567</v>
      </c>
      <c r="D364" s="57"/>
      <c r="E364" s="58">
        <v>1</v>
      </c>
      <c r="F364" s="58">
        <v>5</v>
      </c>
      <c r="G364" s="59">
        <v>41528</v>
      </c>
      <c r="H364" s="59">
        <v>41536</v>
      </c>
      <c r="I364" s="60">
        <v>1</v>
      </c>
      <c r="J364" s="58"/>
      <c r="K364" s="58" t="s">
        <v>5502</v>
      </c>
      <c r="L364" s="58"/>
      <c r="M364" s="58"/>
      <c r="N364" s="58"/>
      <c r="O364" s="58"/>
      <c r="P364" s="61">
        <f t="shared" si="5"/>
        <v>5</v>
      </c>
      <c r="Q364" s="62" t="s">
        <v>6568</v>
      </c>
      <c r="R364" s="73"/>
      <c r="S364" s="74"/>
    </row>
    <row r="365" spans="1:19" s="63" customFormat="1" ht="56.25" x14ac:dyDescent="0.25">
      <c r="A365" s="71">
        <v>357</v>
      </c>
      <c r="B365" s="72" t="s">
        <v>6569</v>
      </c>
      <c r="C365" s="56" t="s">
        <v>6570</v>
      </c>
      <c r="D365" s="57"/>
      <c r="E365" s="58">
        <v>1</v>
      </c>
      <c r="F365" s="58">
        <v>5</v>
      </c>
      <c r="G365" s="59">
        <v>41528</v>
      </c>
      <c r="H365" s="59">
        <v>41536</v>
      </c>
      <c r="I365" s="60">
        <v>1</v>
      </c>
      <c r="J365" s="58"/>
      <c r="K365" s="58" t="s">
        <v>5502</v>
      </c>
      <c r="L365" s="58"/>
      <c r="M365" s="58"/>
      <c r="N365" s="58"/>
      <c r="O365" s="58"/>
      <c r="P365" s="61">
        <f t="shared" si="5"/>
        <v>5</v>
      </c>
      <c r="Q365" s="62" t="s">
        <v>6571</v>
      </c>
      <c r="R365" s="73"/>
      <c r="S365" s="74"/>
    </row>
    <row r="366" spans="1:19" s="63" customFormat="1" ht="45" x14ac:dyDescent="0.25">
      <c r="A366" s="71">
        <v>358</v>
      </c>
      <c r="B366" s="72" t="s">
        <v>6572</v>
      </c>
      <c r="C366" s="56" t="s">
        <v>6573</v>
      </c>
      <c r="D366" s="57"/>
      <c r="E366" s="58">
        <v>1</v>
      </c>
      <c r="F366" s="58">
        <v>5</v>
      </c>
      <c r="G366" s="59">
        <v>41528</v>
      </c>
      <c r="H366" s="59">
        <v>41536</v>
      </c>
      <c r="I366" s="60">
        <v>1</v>
      </c>
      <c r="J366" s="58"/>
      <c r="K366" s="58" t="s">
        <v>5502</v>
      </c>
      <c r="L366" s="58"/>
      <c r="M366" s="58"/>
      <c r="N366" s="58"/>
      <c r="O366" s="58"/>
      <c r="P366" s="61">
        <f t="shared" si="5"/>
        <v>5</v>
      </c>
      <c r="Q366" s="62" t="s">
        <v>6574</v>
      </c>
      <c r="R366" s="73"/>
      <c r="S366" s="74"/>
    </row>
    <row r="367" spans="1:19" s="63" customFormat="1" ht="56.25" x14ac:dyDescent="0.25">
      <c r="A367" s="71">
        <v>359</v>
      </c>
      <c r="B367" s="72" t="s">
        <v>6575</v>
      </c>
      <c r="C367" s="56" t="s">
        <v>6576</v>
      </c>
      <c r="D367" s="57"/>
      <c r="E367" s="58">
        <v>1</v>
      </c>
      <c r="F367" s="58">
        <v>5</v>
      </c>
      <c r="G367" s="59">
        <v>41528</v>
      </c>
      <c r="H367" s="59">
        <v>41536</v>
      </c>
      <c r="I367" s="60">
        <v>1</v>
      </c>
      <c r="J367" s="58"/>
      <c r="K367" s="58" t="s">
        <v>5502</v>
      </c>
      <c r="L367" s="58"/>
      <c r="M367" s="58"/>
      <c r="N367" s="58"/>
      <c r="O367" s="58"/>
      <c r="P367" s="61">
        <f t="shared" si="5"/>
        <v>5</v>
      </c>
      <c r="Q367" s="62" t="s">
        <v>6577</v>
      </c>
      <c r="R367" s="73"/>
      <c r="S367" s="74"/>
    </row>
    <row r="368" spans="1:19" s="63" customFormat="1" ht="56.25" x14ac:dyDescent="0.25">
      <c r="A368" s="71">
        <v>360</v>
      </c>
      <c r="B368" s="72" t="s">
        <v>6578</v>
      </c>
      <c r="C368" s="56" t="s">
        <v>6579</v>
      </c>
      <c r="D368" s="57"/>
      <c r="E368" s="58">
        <v>1</v>
      </c>
      <c r="F368" s="58">
        <v>5</v>
      </c>
      <c r="G368" s="59">
        <v>41536</v>
      </c>
      <c r="H368" s="59">
        <v>41550</v>
      </c>
      <c r="I368" s="60">
        <v>1</v>
      </c>
      <c r="J368" s="58"/>
      <c r="K368" s="58" t="s">
        <v>5502</v>
      </c>
      <c r="L368" s="58"/>
      <c r="M368" s="58"/>
      <c r="N368" s="58"/>
      <c r="O368" s="58"/>
      <c r="P368" s="61">
        <f t="shared" si="5"/>
        <v>5</v>
      </c>
      <c r="Q368" s="62" t="s">
        <v>6580</v>
      </c>
      <c r="R368" s="73"/>
      <c r="S368" s="74"/>
    </row>
    <row r="369" spans="1:19" s="63" customFormat="1" ht="56.25" x14ac:dyDescent="0.25">
      <c r="A369" s="71">
        <v>361</v>
      </c>
      <c r="B369" s="72" t="s">
        <v>6581</v>
      </c>
      <c r="C369" s="56" t="s">
        <v>6582</v>
      </c>
      <c r="D369" s="57"/>
      <c r="E369" s="58">
        <v>1</v>
      </c>
      <c r="F369" s="58">
        <v>5</v>
      </c>
      <c r="G369" s="59">
        <v>41550</v>
      </c>
      <c r="H369" s="59">
        <v>41562</v>
      </c>
      <c r="I369" s="60">
        <v>1</v>
      </c>
      <c r="J369" s="58"/>
      <c r="K369" s="58" t="s">
        <v>5502</v>
      </c>
      <c r="L369" s="58"/>
      <c r="M369" s="58"/>
      <c r="N369" s="58"/>
      <c r="O369" s="58"/>
      <c r="P369" s="61">
        <f t="shared" si="5"/>
        <v>5</v>
      </c>
      <c r="Q369" s="62" t="s">
        <v>6583</v>
      </c>
      <c r="R369" s="73"/>
      <c r="S369" s="74"/>
    </row>
    <row r="370" spans="1:19" s="63" customFormat="1" ht="56.25" x14ac:dyDescent="0.25">
      <c r="A370" s="71">
        <v>362</v>
      </c>
      <c r="B370" s="72" t="s">
        <v>6584</v>
      </c>
      <c r="C370" s="56" t="s">
        <v>6585</v>
      </c>
      <c r="D370" s="57"/>
      <c r="E370" s="58">
        <v>1</v>
      </c>
      <c r="F370" s="58">
        <v>5</v>
      </c>
      <c r="G370" s="59">
        <v>41550</v>
      </c>
      <c r="H370" s="59">
        <v>41562</v>
      </c>
      <c r="I370" s="60">
        <v>1</v>
      </c>
      <c r="J370" s="58"/>
      <c r="K370" s="58" t="s">
        <v>5502</v>
      </c>
      <c r="L370" s="58"/>
      <c r="M370" s="58"/>
      <c r="N370" s="58"/>
      <c r="O370" s="58"/>
      <c r="P370" s="61">
        <f t="shared" si="5"/>
        <v>5</v>
      </c>
      <c r="Q370" s="62" t="s">
        <v>6586</v>
      </c>
      <c r="R370" s="73"/>
      <c r="S370" s="74"/>
    </row>
    <row r="371" spans="1:19" s="63" customFormat="1" ht="56.25" x14ac:dyDescent="0.25">
      <c r="A371" s="71">
        <v>363</v>
      </c>
      <c r="B371" s="72" t="s">
        <v>6587</v>
      </c>
      <c r="C371" s="56" t="s">
        <v>6588</v>
      </c>
      <c r="D371" s="57"/>
      <c r="E371" s="58">
        <v>1</v>
      </c>
      <c r="F371" s="58">
        <v>5</v>
      </c>
      <c r="G371" s="59">
        <v>41571</v>
      </c>
      <c r="H371" s="59">
        <v>41585</v>
      </c>
      <c r="I371" s="60">
        <v>1</v>
      </c>
      <c r="J371" s="58"/>
      <c r="K371" s="58" t="s">
        <v>5502</v>
      </c>
      <c r="L371" s="58"/>
      <c r="M371" s="58"/>
      <c r="N371" s="58"/>
      <c r="O371" s="58"/>
      <c r="P371" s="61">
        <f t="shared" si="5"/>
        <v>5</v>
      </c>
      <c r="Q371" s="62" t="s">
        <v>6589</v>
      </c>
      <c r="R371" s="73"/>
      <c r="S371" s="74"/>
    </row>
    <row r="372" spans="1:19" s="63" customFormat="1" ht="56.25" x14ac:dyDescent="0.25">
      <c r="A372" s="71">
        <v>364</v>
      </c>
      <c r="B372" s="72" t="s">
        <v>6590</v>
      </c>
      <c r="C372" s="56" t="s">
        <v>6591</v>
      </c>
      <c r="D372" s="57"/>
      <c r="E372" s="58">
        <v>1</v>
      </c>
      <c r="F372" s="58">
        <v>5</v>
      </c>
      <c r="G372" s="59">
        <v>41571</v>
      </c>
      <c r="H372" s="59">
        <v>41585</v>
      </c>
      <c r="I372" s="60">
        <v>1</v>
      </c>
      <c r="J372" s="58"/>
      <c r="K372" s="58" t="s">
        <v>5502</v>
      </c>
      <c r="L372" s="58"/>
      <c r="M372" s="58"/>
      <c r="N372" s="58"/>
      <c r="O372" s="58"/>
      <c r="P372" s="61">
        <f t="shared" si="5"/>
        <v>5</v>
      </c>
      <c r="Q372" s="62" t="s">
        <v>6592</v>
      </c>
      <c r="R372" s="73"/>
      <c r="S372" s="74"/>
    </row>
    <row r="373" spans="1:19" s="63" customFormat="1" ht="56.25" x14ac:dyDescent="0.25">
      <c r="A373" s="71">
        <v>365</v>
      </c>
      <c r="B373" s="72" t="s">
        <v>6593</v>
      </c>
      <c r="C373" s="56" t="s">
        <v>6594</v>
      </c>
      <c r="D373" s="57"/>
      <c r="E373" s="58">
        <v>1</v>
      </c>
      <c r="F373" s="58">
        <v>5</v>
      </c>
      <c r="G373" s="59">
        <v>41599</v>
      </c>
      <c r="H373" s="59">
        <v>41613</v>
      </c>
      <c r="I373" s="60">
        <v>1</v>
      </c>
      <c r="J373" s="58"/>
      <c r="K373" s="58" t="s">
        <v>5502</v>
      </c>
      <c r="L373" s="58"/>
      <c r="M373" s="58"/>
      <c r="N373" s="58"/>
      <c r="O373" s="58"/>
      <c r="P373" s="61">
        <f t="shared" si="5"/>
        <v>5</v>
      </c>
      <c r="Q373" s="62" t="s">
        <v>6595</v>
      </c>
      <c r="R373" s="73"/>
      <c r="S373" s="74"/>
    </row>
    <row r="374" spans="1:19" s="63" customFormat="1" ht="56.25" x14ac:dyDescent="0.25">
      <c r="A374" s="71">
        <v>366</v>
      </c>
      <c r="B374" s="72" t="s">
        <v>6596</v>
      </c>
      <c r="C374" s="56" t="s">
        <v>6597</v>
      </c>
      <c r="D374" s="57"/>
      <c r="E374" s="58">
        <v>1</v>
      </c>
      <c r="F374" s="58">
        <v>5</v>
      </c>
      <c r="G374" s="59">
        <v>41599</v>
      </c>
      <c r="H374" s="59">
        <v>41613</v>
      </c>
      <c r="I374" s="60">
        <v>1</v>
      </c>
      <c r="J374" s="58"/>
      <c r="K374" s="58" t="s">
        <v>5502</v>
      </c>
      <c r="L374" s="58"/>
      <c r="M374" s="58"/>
      <c r="N374" s="58"/>
      <c r="O374" s="58"/>
      <c r="P374" s="61">
        <f t="shared" si="5"/>
        <v>5</v>
      </c>
      <c r="Q374" s="62" t="s">
        <v>6598</v>
      </c>
      <c r="R374" s="73"/>
      <c r="S374" s="74"/>
    </row>
    <row r="375" spans="1:19" s="63" customFormat="1" ht="56.25" x14ac:dyDescent="0.25">
      <c r="A375" s="71">
        <v>367</v>
      </c>
      <c r="B375" s="72" t="s">
        <v>6599</v>
      </c>
      <c r="C375" s="56" t="s">
        <v>6600</v>
      </c>
      <c r="D375" s="57"/>
      <c r="E375" s="58">
        <v>1</v>
      </c>
      <c r="F375" s="58">
        <v>5</v>
      </c>
      <c r="G375" s="59">
        <v>41599</v>
      </c>
      <c r="H375" s="59">
        <v>41613</v>
      </c>
      <c r="I375" s="60">
        <v>1</v>
      </c>
      <c r="J375" s="58"/>
      <c r="K375" s="58" t="s">
        <v>5502</v>
      </c>
      <c r="L375" s="58"/>
      <c r="M375" s="58"/>
      <c r="N375" s="58"/>
      <c r="O375" s="58"/>
      <c r="P375" s="61">
        <f t="shared" si="5"/>
        <v>5</v>
      </c>
      <c r="Q375" s="62" t="s">
        <v>6601</v>
      </c>
      <c r="R375" s="73"/>
      <c r="S375" s="74"/>
    </row>
    <row r="376" spans="1:19" s="63" customFormat="1" ht="56.25" x14ac:dyDescent="0.25">
      <c r="A376" s="71">
        <v>368</v>
      </c>
      <c r="B376" s="72" t="s">
        <v>6602</v>
      </c>
      <c r="C376" s="56" t="s">
        <v>6603</v>
      </c>
      <c r="D376" s="57"/>
      <c r="E376" s="58">
        <v>1</v>
      </c>
      <c r="F376" s="58">
        <v>5</v>
      </c>
      <c r="G376" s="59">
        <v>41610</v>
      </c>
      <c r="H376" s="59">
        <v>41627</v>
      </c>
      <c r="I376" s="60">
        <v>1</v>
      </c>
      <c r="J376" s="58"/>
      <c r="K376" s="58" t="s">
        <v>5502</v>
      </c>
      <c r="L376" s="58"/>
      <c r="M376" s="58"/>
      <c r="N376" s="58"/>
      <c r="O376" s="58"/>
      <c r="P376" s="61">
        <f t="shared" si="5"/>
        <v>5</v>
      </c>
      <c r="Q376" s="62" t="s">
        <v>6604</v>
      </c>
      <c r="R376" s="73"/>
      <c r="S376" s="74"/>
    </row>
    <row r="377" spans="1:19" s="63" customFormat="1" ht="45" x14ac:dyDescent="0.25">
      <c r="A377" s="71">
        <v>369</v>
      </c>
      <c r="B377" s="72" t="s">
        <v>6605</v>
      </c>
      <c r="C377" s="56" t="s">
        <v>6606</v>
      </c>
      <c r="D377" s="57"/>
      <c r="E377" s="58">
        <v>1</v>
      </c>
      <c r="F377" s="58">
        <v>5</v>
      </c>
      <c r="G377" s="59">
        <v>41550</v>
      </c>
      <c r="H377" s="59">
        <v>41562</v>
      </c>
      <c r="I377" s="60">
        <v>1</v>
      </c>
      <c r="J377" s="58"/>
      <c r="K377" s="58" t="s">
        <v>5502</v>
      </c>
      <c r="L377" s="58"/>
      <c r="M377" s="58"/>
      <c r="N377" s="58"/>
      <c r="O377" s="58"/>
      <c r="P377" s="61">
        <f t="shared" si="5"/>
        <v>5</v>
      </c>
      <c r="Q377" s="62" t="s">
        <v>6607</v>
      </c>
      <c r="R377" s="73"/>
      <c r="S377" s="74"/>
    </row>
    <row r="378" spans="1:19" s="63" customFormat="1" ht="56.25" x14ac:dyDescent="0.25">
      <c r="A378" s="71">
        <v>370</v>
      </c>
      <c r="B378" s="72" t="s">
        <v>6608</v>
      </c>
      <c r="C378" s="56" t="s">
        <v>6609</v>
      </c>
      <c r="D378" s="57"/>
      <c r="E378" s="58">
        <v>1</v>
      </c>
      <c r="F378" s="58">
        <v>5</v>
      </c>
      <c r="G378" s="59">
        <v>41648</v>
      </c>
      <c r="H378" s="59">
        <v>41656</v>
      </c>
      <c r="I378" s="60">
        <v>1</v>
      </c>
      <c r="J378" s="58"/>
      <c r="K378" s="58" t="s">
        <v>5502</v>
      </c>
      <c r="L378" s="58"/>
      <c r="M378" s="58"/>
      <c r="N378" s="58"/>
      <c r="O378" s="58"/>
      <c r="P378" s="61">
        <f t="shared" si="5"/>
        <v>5</v>
      </c>
      <c r="Q378" s="62" t="s">
        <v>6610</v>
      </c>
      <c r="R378" s="73"/>
      <c r="S378" s="74"/>
    </row>
    <row r="379" spans="1:19" s="63" customFormat="1" ht="45" x14ac:dyDescent="0.25">
      <c r="A379" s="71">
        <v>371</v>
      </c>
      <c r="B379" s="72" t="s">
        <v>6611</v>
      </c>
      <c r="C379" s="56" t="s">
        <v>6612</v>
      </c>
      <c r="D379" s="57"/>
      <c r="E379" s="58">
        <v>1</v>
      </c>
      <c r="F379" s="58">
        <v>5</v>
      </c>
      <c r="G379" s="59">
        <v>41662</v>
      </c>
      <c r="H379" s="59">
        <v>41677</v>
      </c>
      <c r="I379" s="60">
        <v>1</v>
      </c>
      <c r="J379" s="58"/>
      <c r="K379" s="58" t="s">
        <v>5502</v>
      </c>
      <c r="L379" s="58"/>
      <c r="M379" s="58"/>
      <c r="N379" s="58"/>
      <c r="O379" s="58"/>
      <c r="P379" s="61">
        <f t="shared" si="5"/>
        <v>5</v>
      </c>
      <c r="Q379" s="62" t="s">
        <v>6613</v>
      </c>
      <c r="R379" s="73"/>
      <c r="S379" s="74"/>
    </row>
    <row r="380" spans="1:19" s="63" customFormat="1" ht="45" x14ac:dyDescent="0.25">
      <c r="A380" s="71">
        <v>372</v>
      </c>
      <c r="B380" s="72" t="s">
        <v>6614</v>
      </c>
      <c r="C380" s="56" t="s">
        <v>6615</v>
      </c>
      <c r="D380" s="57"/>
      <c r="E380" s="58">
        <v>1</v>
      </c>
      <c r="F380" s="58">
        <v>5</v>
      </c>
      <c r="G380" s="59">
        <v>41676</v>
      </c>
      <c r="H380" s="59">
        <v>41690</v>
      </c>
      <c r="I380" s="60">
        <v>1</v>
      </c>
      <c r="J380" s="58"/>
      <c r="K380" s="58" t="s">
        <v>5502</v>
      </c>
      <c r="L380" s="58"/>
      <c r="M380" s="58"/>
      <c r="N380" s="58"/>
      <c r="O380" s="58"/>
      <c r="P380" s="61">
        <f t="shared" si="5"/>
        <v>5</v>
      </c>
      <c r="Q380" s="62" t="s">
        <v>6616</v>
      </c>
      <c r="R380" s="73"/>
      <c r="S380" s="74"/>
    </row>
    <row r="381" spans="1:19" s="63" customFormat="1" ht="45" x14ac:dyDescent="0.25">
      <c r="A381" s="71">
        <v>373</v>
      </c>
      <c r="B381" s="72" t="s">
        <v>6617</v>
      </c>
      <c r="C381" s="56" t="s">
        <v>6618</v>
      </c>
      <c r="D381" s="57"/>
      <c r="E381" s="58">
        <v>1</v>
      </c>
      <c r="F381" s="58">
        <v>5</v>
      </c>
      <c r="G381" s="59">
        <v>41690</v>
      </c>
      <c r="H381" s="59">
        <v>41704</v>
      </c>
      <c r="I381" s="60">
        <v>1</v>
      </c>
      <c r="J381" s="58"/>
      <c r="K381" s="58" t="s">
        <v>5502</v>
      </c>
      <c r="L381" s="58"/>
      <c r="M381" s="58"/>
      <c r="N381" s="58"/>
      <c r="O381" s="58"/>
      <c r="P381" s="61">
        <f t="shared" si="5"/>
        <v>5</v>
      </c>
      <c r="Q381" s="62" t="s">
        <v>6619</v>
      </c>
      <c r="R381" s="73"/>
      <c r="S381" s="74"/>
    </row>
    <row r="382" spans="1:19" s="63" customFormat="1" ht="56.25" x14ac:dyDescent="0.25">
      <c r="A382" s="71">
        <v>374</v>
      </c>
      <c r="B382" s="72" t="s">
        <v>6620</v>
      </c>
      <c r="C382" s="56" t="s">
        <v>6621</v>
      </c>
      <c r="D382" s="57"/>
      <c r="E382" s="58">
        <v>1</v>
      </c>
      <c r="F382" s="58">
        <v>5</v>
      </c>
      <c r="G382" s="59">
        <v>41690</v>
      </c>
      <c r="H382" s="59">
        <v>41704</v>
      </c>
      <c r="I382" s="60">
        <v>1</v>
      </c>
      <c r="J382" s="58"/>
      <c r="K382" s="58" t="s">
        <v>5502</v>
      </c>
      <c r="L382" s="58"/>
      <c r="M382" s="58"/>
      <c r="N382" s="58"/>
      <c r="O382" s="58"/>
      <c r="P382" s="61">
        <f t="shared" si="5"/>
        <v>5</v>
      </c>
      <c r="Q382" s="62" t="s">
        <v>6622</v>
      </c>
      <c r="R382" s="73"/>
      <c r="S382" s="74"/>
    </row>
    <row r="383" spans="1:19" s="63" customFormat="1" ht="56.25" x14ac:dyDescent="0.25">
      <c r="A383" s="71">
        <v>375</v>
      </c>
      <c r="B383" s="72" t="s">
        <v>6623</v>
      </c>
      <c r="C383" s="56" t="s">
        <v>6624</v>
      </c>
      <c r="D383" s="57"/>
      <c r="E383" s="58">
        <v>1</v>
      </c>
      <c r="F383" s="58">
        <v>5</v>
      </c>
      <c r="G383" s="59">
        <v>41704</v>
      </c>
      <c r="H383" s="59">
        <v>41718</v>
      </c>
      <c r="I383" s="60">
        <v>1</v>
      </c>
      <c r="J383" s="58"/>
      <c r="K383" s="58" t="s">
        <v>5502</v>
      </c>
      <c r="L383" s="58"/>
      <c r="M383" s="58"/>
      <c r="N383" s="58"/>
      <c r="O383" s="58"/>
      <c r="P383" s="61">
        <f t="shared" si="5"/>
        <v>5</v>
      </c>
      <c r="Q383" s="62" t="s">
        <v>6625</v>
      </c>
      <c r="R383" s="73"/>
      <c r="S383" s="74"/>
    </row>
    <row r="384" spans="1:19" s="63" customFormat="1" ht="56.25" x14ac:dyDescent="0.25">
      <c r="A384" s="71">
        <v>376</v>
      </c>
      <c r="B384" s="72" t="s">
        <v>6626</v>
      </c>
      <c r="C384" s="56" t="s">
        <v>6627</v>
      </c>
      <c r="D384" s="57"/>
      <c r="E384" s="58">
        <v>1</v>
      </c>
      <c r="F384" s="58">
        <v>5</v>
      </c>
      <c r="G384" s="59">
        <v>41704</v>
      </c>
      <c r="H384" s="59">
        <v>41718</v>
      </c>
      <c r="I384" s="60">
        <v>1</v>
      </c>
      <c r="J384" s="58"/>
      <c r="K384" s="58" t="s">
        <v>5502</v>
      </c>
      <c r="L384" s="58"/>
      <c r="M384" s="58"/>
      <c r="N384" s="58"/>
      <c r="O384" s="58"/>
      <c r="P384" s="61">
        <f t="shared" si="5"/>
        <v>5</v>
      </c>
      <c r="Q384" s="62" t="s">
        <v>6628</v>
      </c>
      <c r="R384" s="73"/>
      <c r="S384" s="74"/>
    </row>
    <row r="385" spans="1:19" s="63" customFormat="1" ht="45" x14ac:dyDescent="0.25">
      <c r="A385" s="71">
        <v>377</v>
      </c>
      <c r="B385" s="72" t="s">
        <v>6629</v>
      </c>
      <c r="C385" s="56" t="s">
        <v>6630</v>
      </c>
      <c r="D385" s="57"/>
      <c r="E385" s="58">
        <v>1</v>
      </c>
      <c r="F385" s="58">
        <v>5</v>
      </c>
      <c r="G385" s="59">
        <v>41662</v>
      </c>
      <c r="H385" s="59" t="s">
        <v>6631</v>
      </c>
      <c r="I385" s="60">
        <v>1</v>
      </c>
      <c r="J385" s="58"/>
      <c r="K385" s="58" t="s">
        <v>5502</v>
      </c>
      <c r="L385" s="58"/>
      <c r="M385" s="58"/>
      <c r="N385" s="58"/>
      <c r="O385" s="58"/>
      <c r="P385" s="61">
        <f t="shared" si="5"/>
        <v>5</v>
      </c>
      <c r="Q385" s="62" t="s">
        <v>6632</v>
      </c>
      <c r="R385" s="73"/>
      <c r="S385" s="74"/>
    </row>
    <row r="386" spans="1:19" s="63" customFormat="1" ht="45" x14ac:dyDescent="0.25">
      <c r="A386" s="71">
        <v>378</v>
      </c>
      <c r="B386" s="72" t="s">
        <v>6633</v>
      </c>
      <c r="C386" s="56" t="s">
        <v>6634</v>
      </c>
      <c r="D386" s="57"/>
      <c r="E386" s="58">
        <v>1</v>
      </c>
      <c r="F386" s="58">
        <v>5</v>
      </c>
      <c r="G386" s="59">
        <v>41676</v>
      </c>
      <c r="H386" s="59">
        <v>41690</v>
      </c>
      <c r="I386" s="60">
        <v>1</v>
      </c>
      <c r="J386" s="58"/>
      <c r="K386" s="58" t="s">
        <v>5502</v>
      </c>
      <c r="L386" s="58"/>
      <c r="M386" s="58"/>
      <c r="N386" s="58"/>
      <c r="O386" s="58"/>
      <c r="P386" s="61">
        <f t="shared" si="5"/>
        <v>5</v>
      </c>
      <c r="Q386" s="62" t="s">
        <v>6635</v>
      </c>
      <c r="R386" s="73"/>
      <c r="S386" s="74"/>
    </row>
    <row r="387" spans="1:19" s="63" customFormat="1" ht="56.25" x14ac:dyDescent="0.25">
      <c r="A387" s="71">
        <v>379</v>
      </c>
      <c r="B387" s="72" t="s">
        <v>6636</v>
      </c>
      <c r="C387" s="56" t="s">
        <v>6637</v>
      </c>
      <c r="D387" s="57"/>
      <c r="E387" s="58">
        <v>1</v>
      </c>
      <c r="F387" s="58">
        <v>5</v>
      </c>
      <c r="G387" s="59">
        <v>41732</v>
      </c>
      <c r="H387" s="59">
        <v>41751</v>
      </c>
      <c r="I387" s="60">
        <v>1</v>
      </c>
      <c r="J387" s="58"/>
      <c r="K387" s="58" t="s">
        <v>5502</v>
      </c>
      <c r="L387" s="58"/>
      <c r="M387" s="58"/>
      <c r="N387" s="58"/>
      <c r="O387" s="58"/>
      <c r="P387" s="61">
        <f t="shared" si="5"/>
        <v>5</v>
      </c>
      <c r="Q387" s="62" t="s">
        <v>6638</v>
      </c>
      <c r="R387" s="73"/>
      <c r="S387" s="74"/>
    </row>
    <row r="388" spans="1:19" s="63" customFormat="1" ht="56.25" x14ac:dyDescent="0.25">
      <c r="A388" s="71">
        <v>380</v>
      </c>
      <c r="B388" s="72" t="s">
        <v>6639</v>
      </c>
      <c r="C388" s="56" t="s">
        <v>6640</v>
      </c>
      <c r="D388" s="57"/>
      <c r="E388" s="58">
        <v>1</v>
      </c>
      <c r="F388" s="58">
        <v>4</v>
      </c>
      <c r="G388" s="59">
        <v>41732</v>
      </c>
      <c r="H388" s="59">
        <v>41751</v>
      </c>
      <c r="I388" s="60">
        <v>1</v>
      </c>
      <c r="J388" s="58"/>
      <c r="K388" s="58" t="s">
        <v>5502</v>
      </c>
      <c r="L388" s="58"/>
      <c r="M388" s="58"/>
      <c r="N388" s="58"/>
      <c r="O388" s="58"/>
      <c r="P388" s="61">
        <f t="shared" si="5"/>
        <v>4</v>
      </c>
      <c r="Q388" s="62" t="s">
        <v>6641</v>
      </c>
      <c r="R388" s="73"/>
      <c r="S388" s="74"/>
    </row>
    <row r="389" spans="1:19" s="63" customFormat="1" ht="45" x14ac:dyDescent="0.25">
      <c r="A389" s="71">
        <v>381</v>
      </c>
      <c r="B389" s="72" t="s">
        <v>6642</v>
      </c>
      <c r="C389" s="56" t="s">
        <v>6643</v>
      </c>
      <c r="D389" s="57"/>
      <c r="E389" s="58">
        <v>1</v>
      </c>
      <c r="F389" s="58">
        <v>5</v>
      </c>
      <c r="G389" s="59">
        <v>41732</v>
      </c>
      <c r="H389" s="59">
        <v>41751</v>
      </c>
      <c r="I389" s="60">
        <v>1</v>
      </c>
      <c r="J389" s="58"/>
      <c r="K389" s="58" t="s">
        <v>5502</v>
      </c>
      <c r="L389" s="58"/>
      <c r="M389" s="58"/>
      <c r="N389" s="58"/>
      <c r="O389" s="58"/>
      <c r="P389" s="61">
        <f t="shared" si="5"/>
        <v>5</v>
      </c>
      <c r="Q389" s="62" t="s">
        <v>6644</v>
      </c>
      <c r="R389" s="73"/>
      <c r="S389" s="74"/>
    </row>
    <row r="390" spans="1:19" s="63" customFormat="1" ht="56.25" x14ac:dyDescent="0.25">
      <c r="A390" s="71">
        <v>382</v>
      </c>
      <c r="B390" s="72" t="s">
        <v>6645</v>
      </c>
      <c r="C390" s="56" t="s">
        <v>6646</v>
      </c>
      <c r="D390" s="57"/>
      <c r="E390" s="58">
        <v>1</v>
      </c>
      <c r="F390" s="58">
        <v>5</v>
      </c>
      <c r="G390" s="59">
        <v>41718</v>
      </c>
      <c r="H390" s="59">
        <v>41732</v>
      </c>
      <c r="I390" s="60">
        <v>1</v>
      </c>
      <c r="J390" s="58"/>
      <c r="K390" s="58" t="s">
        <v>5502</v>
      </c>
      <c r="L390" s="58"/>
      <c r="M390" s="58"/>
      <c r="N390" s="58"/>
      <c r="O390" s="58"/>
      <c r="P390" s="61">
        <f t="shared" si="5"/>
        <v>5</v>
      </c>
      <c r="Q390" s="62" t="s">
        <v>6647</v>
      </c>
      <c r="R390" s="73"/>
      <c r="S390" s="74"/>
    </row>
    <row r="391" spans="1:19" s="63" customFormat="1" ht="45" x14ac:dyDescent="0.25">
      <c r="A391" s="71">
        <v>383</v>
      </c>
      <c r="B391" s="72" t="s">
        <v>6648</v>
      </c>
      <c r="C391" s="56" t="s">
        <v>6649</v>
      </c>
      <c r="D391" s="57"/>
      <c r="E391" s="58">
        <v>1</v>
      </c>
      <c r="F391" s="58">
        <v>5</v>
      </c>
      <c r="G391" s="59">
        <v>41718</v>
      </c>
      <c r="H391" s="59">
        <v>41732</v>
      </c>
      <c r="I391" s="60">
        <v>1</v>
      </c>
      <c r="J391" s="58"/>
      <c r="K391" s="58" t="s">
        <v>5502</v>
      </c>
      <c r="L391" s="58"/>
      <c r="M391" s="58"/>
      <c r="N391" s="58"/>
      <c r="O391" s="58"/>
      <c r="P391" s="61">
        <f t="shared" si="5"/>
        <v>5</v>
      </c>
      <c r="Q391" s="62" t="s">
        <v>6650</v>
      </c>
      <c r="R391" s="73"/>
      <c r="S391" s="74"/>
    </row>
    <row r="392" spans="1:19" s="63" customFormat="1" ht="56.25" x14ac:dyDescent="0.25">
      <c r="A392" s="71">
        <v>384</v>
      </c>
      <c r="B392" s="72" t="s">
        <v>6651</v>
      </c>
      <c r="C392" s="56" t="s">
        <v>6652</v>
      </c>
      <c r="D392" s="57"/>
      <c r="E392" s="58">
        <v>1</v>
      </c>
      <c r="F392" s="58">
        <v>5</v>
      </c>
      <c r="G392" s="59">
        <v>41781</v>
      </c>
      <c r="H392" s="59">
        <v>41795</v>
      </c>
      <c r="I392" s="60">
        <v>1</v>
      </c>
      <c r="J392" s="58"/>
      <c r="K392" s="58" t="s">
        <v>5502</v>
      </c>
      <c r="L392" s="58"/>
      <c r="M392" s="58"/>
      <c r="N392" s="58"/>
      <c r="O392" s="58"/>
      <c r="P392" s="61">
        <f t="shared" si="5"/>
        <v>5</v>
      </c>
      <c r="Q392" s="62" t="s">
        <v>6653</v>
      </c>
      <c r="R392" s="73"/>
      <c r="S392" s="74"/>
    </row>
    <row r="393" spans="1:19" s="63" customFormat="1" ht="45" x14ac:dyDescent="0.25">
      <c r="A393" s="71">
        <v>385</v>
      </c>
      <c r="B393" s="72" t="s">
        <v>6654</v>
      </c>
      <c r="C393" s="56" t="s">
        <v>6655</v>
      </c>
      <c r="D393" s="57"/>
      <c r="E393" s="58">
        <v>1</v>
      </c>
      <c r="F393" s="58">
        <v>5</v>
      </c>
      <c r="G393" s="59">
        <v>41781</v>
      </c>
      <c r="H393" s="59">
        <v>41795</v>
      </c>
      <c r="I393" s="60">
        <v>1</v>
      </c>
      <c r="J393" s="58"/>
      <c r="K393" s="58" t="s">
        <v>5502</v>
      </c>
      <c r="L393" s="58"/>
      <c r="M393" s="58"/>
      <c r="N393" s="58"/>
      <c r="O393" s="58"/>
      <c r="P393" s="61">
        <f t="shared" ref="P393:P456" si="6">IF(F393="","",IF(ISERR(F393-E393)=TRUE,"",F393-E393+1))</f>
        <v>5</v>
      </c>
      <c r="Q393" s="62" t="s">
        <v>6656</v>
      </c>
      <c r="R393" s="73"/>
      <c r="S393" s="74"/>
    </row>
    <row r="394" spans="1:19" s="63" customFormat="1" ht="56.25" x14ac:dyDescent="0.25">
      <c r="A394" s="71">
        <v>386</v>
      </c>
      <c r="B394" s="72" t="s">
        <v>6657</v>
      </c>
      <c r="C394" s="56" t="s">
        <v>6658</v>
      </c>
      <c r="D394" s="57"/>
      <c r="E394" s="58">
        <v>1</v>
      </c>
      <c r="F394" s="58">
        <v>5</v>
      </c>
      <c r="G394" s="59">
        <v>41823</v>
      </c>
      <c r="H394" s="59">
        <v>41842</v>
      </c>
      <c r="I394" s="60">
        <v>1</v>
      </c>
      <c r="J394" s="58"/>
      <c r="K394" s="58" t="s">
        <v>5502</v>
      </c>
      <c r="L394" s="58"/>
      <c r="M394" s="58"/>
      <c r="N394" s="58"/>
      <c r="O394" s="58"/>
      <c r="P394" s="61">
        <f t="shared" si="6"/>
        <v>5</v>
      </c>
      <c r="Q394" s="62" t="s">
        <v>6659</v>
      </c>
      <c r="R394" s="73"/>
      <c r="S394" s="74"/>
    </row>
    <row r="395" spans="1:19" s="63" customFormat="1" ht="56.25" x14ac:dyDescent="0.25">
      <c r="A395" s="71">
        <v>387</v>
      </c>
      <c r="B395" s="72" t="s">
        <v>6660</v>
      </c>
      <c r="C395" s="56" t="s">
        <v>6661</v>
      </c>
      <c r="D395" s="57"/>
      <c r="E395" s="58">
        <v>1</v>
      </c>
      <c r="F395" s="58">
        <v>6</v>
      </c>
      <c r="G395" s="59">
        <v>39422</v>
      </c>
      <c r="H395" s="59">
        <v>39436</v>
      </c>
      <c r="I395" s="60">
        <v>1</v>
      </c>
      <c r="J395" s="58"/>
      <c r="K395" s="58" t="s">
        <v>5502</v>
      </c>
      <c r="L395" s="58"/>
      <c r="M395" s="58"/>
      <c r="N395" s="58"/>
      <c r="O395" s="58"/>
      <c r="P395" s="61">
        <f t="shared" si="6"/>
        <v>6</v>
      </c>
      <c r="Q395" s="62" t="s">
        <v>6662</v>
      </c>
      <c r="R395" s="73"/>
      <c r="S395" s="74"/>
    </row>
    <row r="396" spans="1:19" s="63" customFormat="1" ht="56.25" x14ac:dyDescent="0.25">
      <c r="A396" s="71">
        <v>388</v>
      </c>
      <c r="B396" s="72" t="s">
        <v>6663</v>
      </c>
      <c r="C396" s="56" t="s">
        <v>6664</v>
      </c>
      <c r="D396" s="57"/>
      <c r="E396" s="58">
        <v>1</v>
      </c>
      <c r="F396" s="58">
        <v>6</v>
      </c>
      <c r="G396" s="59">
        <v>39485</v>
      </c>
      <c r="H396" s="59">
        <v>39499</v>
      </c>
      <c r="I396" s="60">
        <v>1</v>
      </c>
      <c r="J396" s="58"/>
      <c r="K396" s="58" t="s">
        <v>5502</v>
      </c>
      <c r="L396" s="58"/>
      <c r="M396" s="58"/>
      <c r="N396" s="58"/>
      <c r="O396" s="58"/>
      <c r="P396" s="61">
        <f t="shared" si="6"/>
        <v>6</v>
      </c>
      <c r="Q396" s="62" t="s">
        <v>6665</v>
      </c>
      <c r="R396" s="73"/>
      <c r="S396" s="74"/>
    </row>
    <row r="397" spans="1:19" s="63" customFormat="1" ht="56.25" x14ac:dyDescent="0.25">
      <c r="A397" s="71">
        <v>389</v>
      </c>
      <c r="B397" s="72" t="s">
        <v>6666</v>
      </c>
      <c r="C397" s="56" t="s">
        <v>6667</v>
      </c>
      <c r="D397" s="57"/>
      <c r="E397" s="58">
        <v>1</v>
      </c>
      <c r="F397" s="58">
        <v>4</v>
      </c>
      <c r="G397" s="59">
        <v>39968</v>
      </c>
      <c r="H397" s="59">
        <v>39982</v>
      </c>
      <c r="I397" s="60">
        <v>1</v>
      </c>
      <c r="J397" s="58"/>
      <c r="K397" s="58" t="s">
        <v>5502</v>
      </c>
      <c r="L397" s="58"/>
      <c r="M397" s="58"/>
      <c r="N397" s="58"/>
      <c r="O397" s="58"/>
      <c r="P397" s="61">
        <f t="shared" si="6"/>
        <v>4</v>
      </c>
      <c r="Q397" s="62" t="s">
        <v>6668</v>
      </c>
      <c r="R397" s="73"/>
      <c r="S397" s="74"/>
    </row>
    <row r="398" spans="1:19" s="63" customFormat="1" ht="56.25" x14ac:dyDescent="0.25">
      <c r="A398" s="71">
        <v>390</v>
      </c>
      <c r="B398" s="72" t="s">
        <v>6669</v>
      </c>
      <c r="C398" s="56" t="s">
        <v>6670</v>
      </c>
      <c r="D398" s="57"/>
      <c r="E398" s="58">
        <v>1</v>
      </c>
      <c r="F398" s="58">
        <v>6</v>
      </c>
      <c r="G398" s="59">
        <v>33646</v>
      </c>
      <c r="H398" s="59">
        <v>33722</v>
      </c>
      <c r="I398" s="60">
        <v>2</v>
      </c>
      <c r="J398" s="58"/>
      <c r="K398" s="58" t="s">
        <v>5502</v>
      </c>
      <c r="L398" s="58"/>
      <c r="M398" s="58"/>
      <c r="N398" s="58"/>
      <c r="O398" s="58"/>
      <c r="P398" s="61">
        <f t="shared" si="6"/>
        <v>6</v>
      </c>
      <c r="Q398" s="62" t="s">
        <v>6671</v>
      </c>
      <c r="R398" s="73"/>
      <c r="S398" s="74"/>
    </row>
    <row r="399" spans="1:19" s="63" customFormat="1" ht="45" x14ac:dyDescent="0.25">
      <c r="A399" s="71">
        <v>391</v>
      </c>
      <c r="B399" s="72" t="s">
        <v>6672</v>
      </c>
      <c r="C399" s="56" t="s">
        <v>6673</v>
      </c>
      <c r="D399" s="57"/>
      <c r="E399" s="58">
        <v>1</v>
      </c>
      <c r="F399" s="58">
        <v>7</v>
      </c>
      <c r="G399" s="59">
        <v>34808</v>
      </c>
      <c r="H399" s="59">
        <v>34837</v>
      </c>
      <c r="I399" s="60">
        <v>2</v>
      </c>
      <c r="J399" s="58"/>
      <c r="K399" s="58" t="s">
        <v>5502</v>
      </c>
      <c r="L399" s="58"/>
      <c r="M399" s="58"/>
      <c r="N399" s="58"/>
      <c r="O399" s="58"/>
      <c r="P399" s="61">
        <f t="shared" si="6"/>
        <v>7</v>
      </c>
      <c r="Q399" s="62" t="s">
        <v>6674</v>
      </c>
      <c r="R399" s="73"/>
      <c r="S399" s="74"/>
    </row>
    <row r="400" spans="1:19" s="63" customFormat="1" ht="45" x14ac:dyDescent="0.25">
      <c r="A400" s="71">
        <v>392</v>
      </c>
      <c r="B400" s="72" t="s">
        <v>6675</v>
      </c>
      <c r="C400" s="56" t="s">
        <v>6676</v>
      </c>
      <c r="D400" s="57"/>
      <c r="E400" s="58">
        <v>1</v>
      </c>
      <c r="F400" s="58">
        <v>7</v>
      </c>
      <c r="G400" s="59">
        <v>34953</v>
      </c>
      <c r="H400" s="59">
        <v>34963</v>
      </c>
      <c r="I400" s="60">
        <v>2</v>
      </c>
      <c r="J400" s="58"/>
      <c r="K400" s="58" t="s">
        <v>5502</v>
      </c>
      <c r="L400" s="58"/>
      <c r="M400" s="58"/>
      <c r="N400" s="58"/>
      <c r="O400" s="58"/>
      <c r="P400" s="61">
        <f t="shared" si="6"/>
        <v>7</v>
      </c>
      <c r="Q400" s="62" t="s">
        <v>6677</v>
      </c>
      <c r="R400" s="73"/>
      <c r="S400" s="74"/>
    </row>
    <row r="401" spans="1:19" s="63" customFormat="1" ht="45" x14ac:dyDescent="0.25">
      <c r="A401" s="71">
        <v>393</v>
      </c>
      <c r="B401" s="72" t="s">
        <v>6678</v>
      </c>
      <c r="C401" s="56" t="s">
        <v>6679</v>
      </c>
      <c r="D401" s="57"/>
      <c r="E401" s="58">
        <v>1</v>
      </c>
      <c r="F401" s="58">
        <v>6</v>
      </c>
      <c r="G401" s="59">
        <v>36776</v>
      </c>
      <c r="H401" s="59">
        <v>36794</v>
      </c>
      <c r="I401" s="60">
        <v>2</v>
      </c>
      <c r="J401" s="58"/>
      <c r="K401" s="58" t="s">
        <v>5502</v>
      </c>
      <c r="L401" s="58"/>
      <c r="M401" s="58"/>
      <c r="N401" s="58"/>
      <c r="O401" s="58"/>
      <c r="P401" s="61">
        <f t="shared" si="6"/>
        <v>6</v>
      </c>
      <c r="Q401" s="62" t="s">
        <v>6680</v>
      </c>
      <c r="R401" s="73"/>
      <c r="S401" s="74"/>
    </row>
    <row r="402" spans="1:19" s="63" customFormat="1" ht="45" x14ac:dyDescent="0.25">
      <c r="A402" s="71">
        <v>394</v>
      </c>
      <c r="B402" s="72" t="s">
        <v>6681</v>
      </c>
      <c r="C402" s="56" t="s">
        <v>6682</v>
      </c>
      <c r="D402" s="57"/>
      <c r="E402" s="58">
        <v>1</v>
      </c>
      <c r="F402" s="58">
        <v>5</v>
      </c>
      <c r="G402" s="59">
        <v>36776</v>
      </c>
      <c r="H402" s="59">
        <v>36794</v>
      </c>
      <c r="I402" s="60">
        <v>2</v>
      </c>
      <c r="J402" s="58"/>
      <c r="K402" s="58" t="s">
        <v>5502</v>
      </c>
      <c r="L402" s="58"/>
      <c r="M402" s="58"/>
      <c r="N402" s="58"/>
      <c r="O402" s="58"/>
      <c r="P402" s="61">
        <f t="shared" si="6"/>
        <v>5</v>
      </c>
      <c r="Q402" s="62" t="s">
        <v>6683</v>
      </c>
      <c r="R402" s="73"/>
      <c r="S402" s="74"/>
    </row>
    <row r="403" spans="1:19" s="63" customFormat="1" ht="45" x14ac:dyDescent="0.25">
      <c r="A403" s="71">
        <v>395</v>
      </c>
      <c r="B403" s="72" t="s">
        <v>6684</v>
      </c>
      <c r="C403" s="56" t="s">
        <v>6685</v>
      </c>
      <c r="D403" s="57"/>
      <c r="E403" s="58">
        <v>1</v>
      </c>
      <c r="F403" s="58">
        <v>5</v>
      </c>
      <c r="G403" s="59">
        <v>38139</v>
      </c>
      <c r="H403" s="59">
        <v>38155</v>
      </c>
      <c r="I403" s="60">
        <v>2</v>
      </c>
      <c r="J403" s="58"/>
      <c r="K403" s="58" t="s">
        <v>5502</v>
      </c>
      <c r="L403" s="58"/>
      <c r="M403" s="58"/>
      <c r="N403" s="58"/>
      <c r="O403" s="58"/>
      <c r="P403" s="61">
        <f t="shared" si="6"/>
        <v>5</v>
      </c>
      <c r="Q403" s="62" t="s">
        <v>6686</v>
      </c>
      <c r="R403" s="73"/>
      <c r="S403" s="74"/>
    </row>
    <row r="404" spans="1:19" s="63" customFormat="1" ht="45" x14ac:dyDescent="0.25">
      <c r="A404" s="71">
        <v>396</v>
      </c>
      <c r="B404" s="72" t="s">
        <v>6687</v>
      </c>
      <c r="C404" s="56" t="s">
        <v>6688</v>
      </c>
      <c r="D404" s="57"/>
      <c r="E404" s="58">
        <v>1</v>
      </c>
      <c r="F404" s="58">
        <v>5</v>
      </c>
      <c r="G404" s="59">
        <v>40486</v>
      </c>
      <c r="H404" s="59">
        <v>40499</v>
      </c>
      <c r="I404" s="60">
        <v>2</v>
      </c>
      <c r="J404" s="58"/>
      <c r="K404" s="58" t="s">
        <v>5502</v>
      </c>
      <c r="L404" s="58"/>
      <c r="M404" s="58"/>
      <c r="N404" s="58"/>
      <c r="O404" s="58"/>
      <c r="P404" s="61">
        <f t="shared" si="6"/>
        <v>5</v>
      </c>
      <c r="Q404" s="62" t="s">
        <v>6689</v>
      </c>
      <c r="R404" s="73"/>
      <c r="S404" s="74"/>
    </row>
    <row r="405" spans="1:19" s="63" customFormat="1" ht="56.25" x14ac:dyDescent="0.25">
      <c r="A405" s="71">
        <v>397</v>
      </c>
      <c r="B405" s="72" t="s">
        <v>6690</v>
      </c>
      <c r="C405" s="56" t="s">
        <v>6691</v>
      </c>
      <c r="D405" s="57"/>
      <c r="E405" s="58">
        <v>1</v>
      </c>
      <c r="F405" s="58">
        <v>4</v>
      </c>
      <c r="G405" s="59">
        <v>40983</v>
      </c>
      <c r="H405" s="59">
        <v>41001</v>
      </c>
      <c r="I405" s="60">
        <v>2</v>
      </c>
      <c r="J405" s="58"/>
      <c r="K405" s="58" t="s">
        <v>5502</v>
      </c>
      <c r="L405" s="58"/>
      <c r="M405" s="58"/>
      <c r="N405" s="58"/>
      <c r="O405" s="58"/>
      <c r="P405" s="61">
        <f t="shared" si="6"/>
        <v>4</v>
      </c>
      <c r="Q405" s="62" t="s">
        <v>6692</v>
      </c>
      <c r="R405" s="73"/>
      <c r="S405" s="74"/>
    </row>
    <row r="406" spans="1:19" s="63" customFormat="1" ht="56.25" x14ac:dyDescent="0.25">
      <c r="A406" s="71">
        <v>398</v>
      </c>
      <c r="B406" s="72" t="s">
        <v>6693</v>
      </c>
      <c r="C406" s="56" t="s">
        <v>6694</v>
      </c>
      <c r="D406" s="57"/>
      <c r="E406" s="58">
        <v>1</v>
      </c>
      <c r="F406" s="58">
        <v>5</v>
      </c>
      <c r="G406" s="59">
        <v>41449</v>
      </c>
      <c r="H406" s="59">
        <v>41459</v>
      </c>
      <c r="I406" s="60">
        <v>2</v>
      </c>
      <c r="J406" s="58"/>
      <c r="K406" s="58" t="s">
        <v>5502</v>
      </c>
      <c r="L406" s="58"/>
      <c r="M406" s="58"/>
      <c r="N406" s="58"/>
      <c r="O406" s="58"/>
      <c r="P406" s="61">
        <f t="shared" si="6"/>
        <v>5</v>
      </c>
      <c r="Q406" s="62" t="s">
        <v>6695</v>
      </c>
      <c r="R406" s="73"/>
      <c r="S406" s="74"/>
    </row>
    <row r="407" spans="1:19" s="63" customFormat="1" ht="56.25" x14ac:dyDescent="0.25">
      <c r="A407" s="71">
        <v>399</v>
      </c>
      <c r="B407" s="72" t="s">
        <v>6696</v>
      </c>
      <c r="C407" s="56" t="s">
        <v>6697</v>
      </c>
      <c r="D407" s="57"/>
      <c r="E407" s="58">
        <v>1</v>
      </c>
      <c r="F407" s="58">
        <v>4</v>
      </c>
      <c r="G407" s="59">
        <v>41600</v>
      </c>
      <c r="H407" s="59">
        <v>41613</v>
      </c>
      <c r="I407" s="60">
        <v>2</v>
      </c>
      <c r="J407" s="58"/>
      <c r="K407" s="58" t="s">
        <v>5502</v>
      </c>
      <c r="L407" s="58"/>
      <c r="M407" s="58"/>
      <c r="N407" s="58"/>
      <c r="O407" s="58"/>
      <c r="P407" s="61">
        <f t="shared" si="6"/>
        <v>4</v>
      </c>
      <c r="Q407" s="62" t="s">
        <v>6698</v>
      </c>
      <c r="R407" s="73"/>
      <c r="S407" s="74"/>
    </row>
    <row r="408" spans="1:19" s="63" customFormat="1" ht="56.25" x14ac:dyDescent="0.25">
      <c r="A408" s="71">
        <v>400</v>
      </c>
      <c r="B408" s="72" t="s">
        <v>6699</v>
      </c>
      <c r="C408" s="56" t="s">
        <v>6700</v>
      </c>
      <c r="D408" s="57"/>
      <c r="E408" s="58">
        <v>1</v>
      </c>
      <c r="F408" s="58">
        <v>6</v>
      </c>
      <c r="G408" s="59">
        <v>35384</v>
      </c>
      <c r="H408" s="59">
        <v>35394</v>
      </c>
      <c r="I408" s="60">
        <v>2</v>
      </c>
      <c r="J408" s="58"/>
      <c r="K408" s="58" t="s">
        <v>5502</v>
      </c>
      <c r="L408" s="58"/>
      <c r="M408" s="58"/>
      <c r="N408" s="58"/>
      <c r="O408" s="58"/>
      <c r="P408" s="61">
        <f t="shared" si="6"/>
        <v>6</v>
      </c>
      <c r="Q408" s="62" t="s">
        <v>6701</v>
      </c>
      <c r="R408" s="73"/>
      <c r="S408" s="74"/>
    </row>
    <row r="409" spans="1:19" s="63" customFormat="1" ht="45" x14ac:dyDescent="0.25">
      <c r="A409" s="71">
        <v>401</v>
      </c>
      <c r="B409" s="72" t="s">
        <v>6702</v>
      </c>
      <c r="C409" s="56" t="s">
        <v>6703</v>
      </c>
      <c r="D409" s="57"/>
      <c r="E409" s="58">
        <v>1</v>
      </c>
      <c r="F409" s="58">
        <v>5</v>
      </c>
      <c r="G409" s="59">
        <v>35618</v>
      </c>
      <c r="H409" s="59">
        <v>35635</v>
      </c>
      <c r="I409" s="60">
        <v>2</v>
      </c>
      <c r="J409" s="58"/>
      <c r="K409" s="58" t="s">
        <v>5502</v>
      </c>
      <c r="L409" s="58"/>
      <c r="M409" s="58"/>
      <c r="N409" s="58"/>
      <c r="O409" s="58"/>
      <c r="P409" s="61">
        <f t="shared" si="6"/>
        <v>5</v>
      </c>
      <c r="Q409" s="62" t="s">
        <v>6704</v>
      </c>
      <c r="R409" s="73"/>
      <c r="S409" s="74"/>
    </row>
    <row r="410" spans="1:19" s="63" customFormat="1" ht="45" x14ac:dyDescent="0.25">
      <c r="A410" s="71">
        <v>402</v>
      </c>
      <c r="B410" s="72" t="s">
        <v>6705</v>
      </c>
      <c r="C410" s="56" t="s">
        <v>6706</v>
      </c>
      <c r="D410" s="57"/>
      <c r="E410" s="58">
        <v>1</v>
      </c>
      <c r="F410" s="58">
        <v>5</v>
      </c>
      <c r="G410" s="59">
        <v>35814</v>
      </c>
      <c r="H410" s="59">
        <v>35818</v>
      </c>
      <c r="I410" s="60">
        <v>2</v>
      </c>
      <c r="J410" s="58"/>
      <c r="K410" s="58" t="s">
        <v>5502</v>
      </c>
      <c r="L410" s="58"/>
      <c r="M410" s="58"/>
      <c r="N410" s="58"/>
      <c r="O410" s="58"/>
      <c r="P410" s="61">
        <f t="shared" si="6"/>
        <v>5</v>
      </c>
      <c r="Q410" s="62" t="s">
        <v>6707</v>
      </c>
      <c r="R410" s="73"/>
      <c r="S410" s="74"/>
    </row>
    <row r="411" spans="1:19" s="63" customFormat="1" ht="45" x14ac:dyDescent="0.25">
      <c r="A411" s="71">
        <v>403</v>
      </c>
      <c r="B411" s="72" t="s">
        <v>6708</v>
      </c>
      <c r="C411" s="56" t="s">
        <v>6709</v>
      </c>
      <c r="D411" s="57"/>
      <c r="E411" s="58">
        <v>1</v>
      </c>
      <c r="F411" s="58">
        <v>5</v>
      </c>
      <c r="G411" s="59">
        <v>35950</v>
      </c>
      <c r="H411" s="59">
        <v>35964</v>
      </c>
      <c r="I411" s="60">
        <v>2</v>
      </c>
      <c r="J411" s="58"/>
      <c r="K411" s="58" t="s">
        <v>5502</v>
      </c>
      <c r="L411" s="58"/>
      <c r="M411" s="58"/>
      <c r="N411" s="58"/>
      <c r="O411" s="58"/>
      <c r="P411" s="61">
        <f t="shared" si="6"/>
        <v>5</v>
      </c>
      <c r="Q411" s="62" t="s">
        <v>6710</v>
      </c>
      <c r="R411" s="73"/>
      <c r="S411" s="74"/>
    </row>
    <row r="412" spans="1:19" s="63" customFormat="1" ht="45" x14ac:dyDescent="0.25">
      <c r="A412" s="71">
        <v>404</v>
      </c>
      <c r="B412" s="72" t="s">
        <v>6711</v>
      </c>
      <c r="C412" s="56" t="s">
        <v>6712</v>
      </c>
      <c r="D412" s="57"/>
      <c r="E412" s="58">
        <v>1</v>
      </c>
      <c r="F412" s="58">
        <v>6</v>
      </c>
      <c r="G412" s="59">
        <v>35384</v>
      </c>
      <c r="H412" s="59">
        <v>35394</v>
      </c>
      <c r="I412" s="60">
        <v>2</v>
      </c>
      <c r="J412" s="58"/>
      <c r="K412" s="58" t="s">
        <v>5502</v>
      </c>
      <c r="L412" s="58"/>
      <c r="M412" s="58"/>
      <c r="N412" s="58"/>
      <c r="O412" s="58"/>
      <c r="P412" s="61">
        <f t="shared" si="6"/>
        <v>6</v>
      </c>
      <c r="Q412" s="62" t="s">
        <v>6713</v>
      </c>
      <c r="R412" s="73"/>
      <c r="S412" s="74"/>
    </row>
    <row r="413" spans="1:19" s="63" customFormat="1" ht="45" x14ac:dyDescent="0.25">
      <c r="A413" s="71">
        <v>405</v>
      </c>
      <c r="B413" s="72" t="s">
        <v>6714</v>
      </c>
      <c r="C413" s="56" t="s">
        <v>6715</v>
      </c>
      <c r="D413" s="57"/>
      <c r="E413" s="58">
        <v>1</v>
      </c>
      <c r="F413" s="58">
        <v>5</v>
      </c>
      <c r="G413" s="59">
        <v>35831</v>
      </c>
      <c r="H413" s="59">
        <v>35845</v>
      </c>
      <c r="I413" s="60">
        <v>2</v>
      </c>
      <c r="J413" s="58"/>
      <c r="K413" s="58" t="s">
        <v>5502</v>
      </c>
      <c r="L413" s="58"/>
      <c r="M413" s="58"/>
      <c r="N413" s="58"/>
      <c r="O413" s="58"/>
      <c r="P413" s="61">
        <f t="shared" si="6"/>
        <v>5</v>
      </c>
      <c r="Q413" s="62" t="s">
        <v>6716</v>
      </c>
      <c r="R413" s="73"/>
      <c r="S413" s="74"/>
    </row>
    <row r="414" spans="1:19" s="63" customFormat="1" ht="45" x14ac:dyDescent="0.25">
      <c r="A414" s="71">
        <v>406</v>
      </c>
      <c r="B414" s="72" t="s">
        <v>6717</v>
      </c>
      <c r="C414" s="56" t="s">
        <v>6718</v>
      </c>
      <c r="D414" s="57"/>
      <c r="E414" s="58">
        <v>1</v>
      </c>
      <c r="F414" s="58">
        <v>5</v>
      </c>
      <c r="G414" s="59">
        <v>36018</v>
      </c>
      <c r="H414" s="59">
        <v>36027</v>
      </c>
      <c r="I414" s="60">
        <v>2</v>
      </c>
      <c r="J414" s="58"/>
      <c r="K414" s="58" t="s">
        <v>5502</v>
      </c>
      <c r="L414" s="58"/>
      <c r="M414" s="58"/>
      <c r="N414" s="58"/>
      <c r="O414" s="58"/>
      <c r="P414" s="61">
        <f t="shared" si="6"/>
        <v>5</v>
      </c>
      <c r="Q414" s="62" t="s">
        <v>6719</v>
      </c>
      <c r="R414" s="73"/>
      <c r="S414" s="74"/>
    </row>
    <row r="415" spans="1:19" s="63" customFormat="1" ht="45" x14ac:dyDescent="0.25">
      <c r="A415" s="71">
        <v>407</v>
      </c>
      <c r="B415" s="72" t="s">
        <v>6720</v>
      </c>
      <c r="C415" s="56" t="s">
        <v>6721</v>
      </c>
      <c r="D415" s="57"/>
      <c r="E415" s="58">
        <v>1</v>
      </c>
      <c r="F415" s="58">
        <v>5</v>
      </c>
      <c r="G415" s="59">
        <v>35678</v>
      </c>
      <c r="H415" s="59">
        <v>35688</v>
      </c>
      <c r="I415" s="60">
        <v>2</v>
      </c>
      <c r="J415" s="58"/>
      <c r="K415" s="58" t="s">
        <v>5502</v>
      </c>
      <c r="L415" s="58"/>
      <c r="M415" s="58"/>
      <c r="N415" s="58"/>
      <c r="O415" s="58"/>
      <c r="P415" s="61">
        <f t="shared" si="6"/>
        <v>5</v>
      </c>
      <c r="Q415" s="62" t="s">
        <v>6722</v>
      </c>
      <c r="R415" s="73"/>
      <c r="S415" s="74"/>
    </row>
    <row r="416" spans="1:19" s="63" customFormat="1" ht="45" x14ac:dyDescent="0.25">
      <c r="A416" s="71">
        <v>408</v>
      </c>
      <c r="B416" s="72" t="s">
        <v>6723</v>
      </c>
      <c r="C416" s="56" t="s">
        <v>6724</v>
      </c>
      <c r="D416" s="57"/>
      <c r="E416" s="58">
        <v>1</v>
      </c>
      <c r="F416" s="58">
        <v>5</v>
      </c>
      <c r="G416" s="59">
        <v>35720</v>
      </c>
      <c r="H416" s="59">
        <v>35752</v>
      </c>
      <c r="I416" s="60">
        <v>2</v>
      </c>
      <c r="J416" s="58"/>
      <c r="K416" s="58" t="s">
        <v>5502</v>
      </c>
      <c r="L416" s="58"/>
      <c r="M416" s="58"/>
      <c r="N416" s="58"/>
      <c r="O416" s="58"/>
      <c r="P416" s="61">
        <f t="shared" si="6"/>
        <v>5</v>
      </c>
      <c r="Q416" s="62" t="s">
        <v>6725</v>
      </c>
      <c r="R416" s="73"/>
      <c r="S416" s="74"/>
    </row>
    <row r="417" spans="1:19" s="63" customFormat="1" ht="45" x14ac:dyDescent="0.25">
      <c r="A417" s="71">
        <v>409</v>
      </c>
      <c r="B417" s="72" t="s">
        <v>6726</v>
      </c>
      <c r="C417" s="56" t="s">
        <v>6727</v>
      </c>
      <c r="D417" s="57"/>
      <c r="E417" s="58">
        <v>1</v>
      </c>
      <c r="F417" s="58">
        <v>5</v>
      </c>
      <c r="G417" s="59">
        <v>34226</v>
      </c>
      <c r="H417" s="59">
        <v>34291</v>
      </c>
      <c r="I417" s="60">
        <v>3</v>
      </c>
      <c r="J417" s="58"/>
      <c r="K417" s="58" t="s">
        <v>5502</v>
      </c>
      <c r="L417" s="58"/>
      <c r="M417" s="58"/>
      <c r="N417" s="58"/>
      <c r="O417" s="58"/>
      <c r="P417" s="61">
        <f t="shared" si="6"/>
        <v>5</v>
      </c>
      <c r="Q417" s="62" t="s">
        <v>6728</v>
      </c>
      <c r="R417" s="73"/>
      <c r="S417" s="74"/>
    </row>
    <row r="418" spans="1:19" s="63" customFormat="1" ht="45" x14ac:dyDescent="0.25">
      <c r="A418" s="71">
        <v>410</v>
      </c>
      <c r="B418" s="72" t="s">
        <v>6729</v>
      </c>
      <c r="C418" s="56" t="s">
        <v>6730</v>
      </c>
      <c r="D418" s="57"/>
      <c r="E418" s="58">
        <v>1</v>
      </c>
      <c r="F418" s="58">
        <v>5</v>
      </c>
      <c r="G418" s="59">
        <v>34226</v>
      </c>
      <c r="H418" s="59">
        <v>34291</v>
      </c>
      <c r="I418" s="60">
        <v>3</v>
      </c>
      <c r="J418" s="58"/>
      <c r="K418" s="58" t="s">
        <v>5502</v>
      </c>
      <c r="L418" s="58"/>
      <c r="M418" s="58"/>
      <c r="N418" s="58"/>
      <c r="O418" s="58"/>
      <c r="P418" s="61">
        <f t="shared" si="6"/>
        <v>5</v>
      </c>
      <c r="Q418" s="62" t="s">
        <v>6731</v>
      </c>
      <c r="R418" s="73"/>
      <c r="S418" s="74"/>
    </row>
    <row r="419" spans="1:19" s="63" customFormat="1" ht="45" x14ac:dyDescent="0.25">
      <c r="A419" s="71">
        <v>411</v>
      </c>
      <c r="B419" s="72" t="s">
        <v>6732</v>
      </c>
      <c r="C419" s="56" t="s">
        <v>6733</v>
      </c>
      <c r="D419" s="57"/>
      <c r="E419" s="58">
        <v>1</v>
      </c>
      <c r="F419" s="58">
        <v>4</v>
      </c>
      <c r="G419" s="59">
        <v>34226</v>
      </c>
      <c r="H419" s="59">
        <v>34291</v>
      </c>
      <c r="I419" s="60">
        <v>3</v>
      </c>
      <c r="J419" s="58"/>
      <c r="K419" s="58" t="s">
        <v>5502</v>
      </c>
      <c r="L419" s="58"/>
      <c r="M419" s="58"/>
      <c r="N419" s="58"/>
      <c r="O419" s="58"/>
      <c r="P419" s="61">
        <f t="shared" si="6"/>
        <v>4</v>
      </c>
      <c r="Q419" s="62" t="s">
        <v>6734</v>
      </c>
      <c r="R419" s="73"/>
      <c r="S419" s="74"/>
    </row>
    <row r="420" spans="1:19" s="63" customFormat="1" ht="33.75" x14ac:dyDescent="0.25">
      <c r="A420" s="71">
        <v>412</v>
      </c>
      <c r="B420" s="72" t="s">
        <v>6735</v>
      </c>
      <c r="C420" s="56" t="s">
        <v>6736</v>
      </c>
      <c r="D420" s="57"/>
      <c r="E420" s="58">
        <v>1</v>
      </c>
      <c r="F420" s="58">
        <v>5</v>
      </c>
      <c r="G420" s="59">
        <v>34226</v>
      </c>
      <c r="H420" s="59">
        <v>34291</v>
      </c>
      <c r="I420" s="60">
        <v>3</v>
      </c>
      <c r="J420" s="58"/>
      <c r="K420" s="58" t="s">
        <v>5502</v>
      </c>
      <c r="L420" s="58"/>
      <c r="M420" s="58"/>
      <c r="N420" s="58"/>
      <c r="O420" s="58"/>
      <c r="P420" s="61">
        <f t="shared" si="6"/>
        <v>5</v>
      </c>
      <c r="Q420" s="62" t="s">
        <v>6737</v>
      </c>
      <c r="R420" s="73"/>
      <c r="S420" s="74"/>
    </row>
    <row r="421" spans="1:19" s="63" customFormat="1" ht="45" x14ac:dyDescent="0.25">
      <c r="A421" s="71">
        <v>413</v>
      </c>
      <c r="B421" s="72" t="s">
        <v>6738</v>
      </c>
      <c r="C421" s="56" t="s">
        <v>6739</v>
      </c>
      <c r="D421" s="57"/>
      <c r="E421" s="58">
        <v>1</v>
      </c>
      <c r="F421" s="58">
        <v>5</v>
      </c>
      <c r="G421" s="59">
        <v>34226</v>
      </c>
      <c r="H421" s="59">
        <v>34291</v>
      </c>
      <c r="I421" s="60">
        <v>3</v>
      </c>
      <c r="J421" s="58"/>
      <c r="K421" s="58" t="s">
        <v>5502</v>
      </c>
      <c r="L421" s="58"/>
      <c r="M421" s="58"/>
      <c r="N421" s="58"/>
      <c r="O421" s="58"/>
      <c r="P421" s="61">
        <f t="shared" si="6"/>
        <v>5</v>
      </c>
      <c r="Q421" s="62" t="s">
        <v>6740</v>
      </c>
      <c r="R421" s="73"/>
      <c r="S421" s="74"/>
    </row>
    <row r="422" spans="1:19" s="63" customFormat="1" ht="45" x14ac:dyDescent="0.25">
      <c r="A422" s="71">
        <v>414</v>
      </c>
      <c r="B422" s="72" t="s">
        <v>6741</v>
      </c>
      <c r="C422" s="56" t="s">
        <v>6742</v>
      </c>
      <c r="D422" s="57"/>
      <c r="E422" s="58">
        <v>1</v>
      </c>
      <c r="F422" s="58">
        <v>5</v>
      </c>
      <c r="G422" s="59">
        <v>34226</v>
      </c>
      <c r="H422" s="59">
        <v>34291</v>
      </c>
      <c r="I422" s="60">
        <v>3</v>
      </c>
      <c r="J422" s="58"/>
      <c r="K422" s="58" t="s">
        <v>5502</v>
      </c>
      <c r="L422" s="58"/>
      <c r="M422" s="58"/>
      <c r="N422" s="58"/>
      <c r="O422" s="58"/>
      <c r="P422" s="61">
        <f t="shared" si="6"/>
        <v>5</v>
      </c>
      <c r="Q422" s="62" t="s">
        <v>6743</v>
      </c>
      <c r="R422" s="73"/>
      <c r="S422" s="74"/>
    </row>
    <row r="423" spans="1:19" s="63" customFormat="1" ht="45" x14ac:dyDescent="0.25">
      <c r="A423" s="71">
        <v>415</v>
      </c>
      <c r="B423" s="72" t="s">
        <v>6744</v>
      </c>
      <c r="C423" s="56" t="s">
        <v>6745</v>
      </c>
      <c r="D423" s="57"/>
      <c r="E423" s="58">
        <v>1</v>
      </c>
      <c r="F423" s="58">
        <v>5</v>
      </c>
      <c r="G423" s="59">
        <v>34277</v>
      </c>
      <c r="H423" s="59">
        <v>34410</v>
      </c>
      <c r="I423" s="60">
        <v>3</v>
      </c>
      <c r="J423" s="58"/>
      <c r="K423" s="58" t="s">
        <v>5502</v>
      </c>
      <c r="L423" s="58"/>
      <c r="M423" s="58"/>
      <c r="N423" s="58"/>
      <c r="O423" s="58"/>
      <c r="P423" s="61">
        <f t="shared" si="6"/>
        <v>5</v>
      </c>
      <c r="Q423" s="62" t="s">
        <v>6746</v>
      </c>
      <c r="R423" s="73"/>
      <c r="S423" s="74"/>
    </row>
    <row r="424" spans="1:19" s="63" customFormat="1" ht="45" x14ac:dyDescent="0.25">
      <c r="A424" s="71">
        <v>416</v>
      </c>
      <c r="B424" s="72" t="s">
        <v>6747</v>
      </c>
      <c r="C424" s="56" t="s">
        <v>6748</v>
      </c>
      <c r="D424" s="57"/>
      <c r="E424" s="58">
        <v>1</v>
      </c>
      <c r="F424" s="58">
        <v>5</v>
      </c>
      <c r="G424" s="59">
        <v>34380</v>
      </c>
      <c r="H424" s="59">
        <v>34445</v>
      </c>
      <c r="I424" s="60">
        <v>3</v>
      </c>
      <c r="J424" s="58"/>
      <c r="K424" s="58" t="s">
        <v>5502</v>
      </c>
      <c r="L424" s="58"/>
      <c r="M424" s="58"/>
      <c r="N424" s="58"/>
      <c r="O424" s="58"/>
      <c r="P424" s="61">
        <f t="shared" si="6"/>
        <v>5</v>
      </c>
      <c r="Q424" s="62" t="s">
        <v>6749</v>
      </c>
      <c r="R424" s="73"/>
      <c r="S424" s="74"/>
    </row>
    <row r="425" spans="1:19" s="63" customFormat="1" ht="45" x14ac:dyDescent="0.25">
      <c r="A425" s="71">
        <v>417</v>
      </c>
      <c r="B425" s="72" t="s">
        <v>6750</v>
      </c>
      <c r="C425" s="56" t="s">
        <v>6751</v>
      </c>
      <c r="D425" s="57"/>
      <c r="E425" s="58">
        <v>1</v>
      </c>
      <c r="F425" s="58">
        <v>5</v>
      </c>
      <c r="G425" s="59">
        <v>34446</v>
      </c>
      <c r="H425" s="59">
        <v>34501</v>
      </c>
      <c r="I425" s="60">
        <v>3</v>
      </c>
      <c r="J425" s="58"/>
      <c r="K425" s="58" t="s">
        <v>5502</v>
      </c>
      <c r="L425" s="58"/>
      <c r="M425" s="58"/>
      <c r="N425" s="58"/>
      <c r="O425" s="58"/>
      <c r="P425" s="61">
        <f t="shared" si="6"/>
        <v>5</v>
      </c>
      <c r="Q425" s="62" t="s">
        <v>6752</v>
      </c>
      <c r="R425" s="73"/>
      <c r="S425" s="74"/>
    </row>
    <row r="426" spans="1:19" s="63" customFormat="1" ht="45" x14ac:dyDescent="0.25">
      <c r="A426" s="71">
        <v>418</v>
      </c>
      <c r="B426" s="72" t="s">
        <v>6753</v>
      </c>
      <c r="C426" s="56" t="s">
        <v>6754</v>
      </c>
      <c r="D426" s="57"/>
      <c r="E426" s="58">
        <v>1</v>
      </c>
      <c r="F426" s="58">
        <v>5</v>
      </c>
      <c r="G426" s="59">
        <v>34446</v>
      </c>
      <c r="H426" s="59">
        <v>34501</v>
      </c>
      <c r="I426" s="60">
        <v>3</v>
      </c>
      <c r="J426" s="58"/>
      <c r="K426" s="58" t="s">
        <v>5502</v>
      </c>
      <c r="L426" s="58"/>
      <c r="M426" s="58"/>
      <c r="N426" s="58"/>
      <c r="O426" s="58"/>
      <c r="P426" s="61">
        <f t="shared" si="6"/>
        <v>5</v>
      </c>
      <c r="Q426" s="62" t="s">
        <v>6755</v>
      </c>
      <c r="R426" s="73"/>
      <c r="S426" s="74"/>
    </row>
    <row r="427" spans="1:19" s="63" customFormat="1" ht="45" x14ac:dyDescent="0.25">
      <c r="A427" s="71">
        <v>419</v>
      </c>
      <c r="B427" s="72" t="s">
        <v>6756</v>
      </c>
      <c r="C427" s="56" t="s">
        <v>6757</v>
      </c>
      <c r="D427" s="57"/>
      <c r="E427" s="58">
        <v>1</v>
      </c>
      <c r="F427" s="58">
        <v>7</v>
      </c>
      <c r="G427" s="59">
        <v>34543</v>
      </c>
      <c r="H427" s="59">
        <v>34669</v>
      </c>
      <c r="I427" s="60">
        <v>3</v>
      </c>
      <c r="J427" s="58"/>
      <c r="K427" s="58" t="s">
        <v>5502</v>
      </c>
      <c r="L427" s="58"/>
      <c r="M427" s="58"/>
      <c r="N427" s="58"/>
      <c r="O427" s="58"/>
      <c r="P427" s="61">
        <f t="shared" si="6"/>
        <v>7</v>
      </c>
      <c r="Q427" s="62" t="s">
        <v>6758</v>
      </c>
      <c r="R427" s="73"/>
      <c r="S427" s="74"/>
    </row>
    <row r="428" spans="1:19" s="63" customFormat="1" ht="45" x14ac:dyDescent="0.25">
      <c r="A428" s="71">
        <v>420</v>
      </c>
      <c r="B428" s="72" t="s">
        <v>6759</v>
      </c>
      <c r="C428" s="56" t="s">
        <v>6760</v>
      </c>
      <c r="D428" s="57"/>
      <c r="E428" s="58">
        <v>1</v>
      </c>
      <c r="F428" s="58">
        <v>6</v>
      </c>
      <c r="G428" s="59">
        <v>34543</v>
      </c>
      <c r="H428" s="59">
        <v>34669</v>
      </c>
      <c r="I428" s="60">
        <v>3</v>
      </c>
      <c r="J428" s="58"/>
      <c r="K428" s="58" t="s">
        <v>5502</v>
      </c>
      <c r="L428" s="58"/>
      <c r="M428" s="58"/>
      <c r="N428" s="58"/>
      <c r="O428" s="58"/>
      <c r="P428" s="61">
        <f t="shared" si="6"/>
        <v>6</v>
      </c>
      <c r="Q428" s="62" t="s">
        <v>6761</v>
      </c>
      <c r="R428" s="73"/>
      <c r="S428" s="74"/>
    </row>
    <row r="429" spans="1:19" s="63" customFormat="1" ht="45" x14ac:dyDescent="0.25">
      <c r="A429" s="71">
        <v>421</v>
      </c>
      <c r="B429" s="72" t="s">
        <v>6762</v>
      </c>
      <c r="C429" s="56" t="s">
        <v>6763</v>
      </c>
      <c r="D429" s="57"/>
      <c r="E429" s="58">
        <v>1</v>
      </c>
      <c r="F429" s="58">
        <v>6</v>
      </c>
      <c r="G429" s="59">
        <v>34543</v>
      </c>
      <c r="H429" s="59">
        <v>34669</v>
      </c>
      <c r="I429" s="60">
        <v>3</v>
      </c>
      <c r="J429" s="58"/>
      <c r="K429" s="58" t="s">
        <v>5502</v>
      </c>
      <c r="L429" s="58"/>
      <c r="M429" s="58"/>
      <c r="N429" s="58"/>
      <c r="O429" s="58"/>
      <c r="P429" s="61">
        <f t="shared" si="6"/>
        <v>6</v>
      </c>
      <c r="Q429" s="62" t="s">
        <v>6764</v>
      </c>
      <c r="R429" s="73"/>
      <c r="S429" s="74"/>
    </row>
    <row r="430" spans="1:19" s="63" customFormat="1" ht="45" x14ac:dyDescent="0.25">
      <c r="A430" s="71">
        <v>422</v>
      </c>
      <c r="B430" s="72" t="s">
        <v>6765</v>
      </c>
      <c r="C430" s="56" t="s">
        <v>6766</v>
      </c>
      <c r="D430" s="57"/>
      <c r="E430" s="58">
        <v>1</v>
      </c>
      <c r="F430" s="58">
        <v>5</v>
      </c>
      <c r="G430" s="59">
        <v>35262</v>
      </c>
      <c r="H430" s="59">
        <v>35292</v>
      </c>
      <c r="I430" s="60">
        <v>3</v>
      </c>
      <c r="J430" s="58"/>
      <c r="K430" s="58" t="s">
        <v>5502</v>
      </c>
      <c r="L430" s="58"/>
      <c r="M430" s="58"/>
      <c r="N430" s="58"/>
      <c r="O430" s="58"/>
      <c r="P430" s="61">
        <f t="shared" si="6"/>
        <v>5</v>
      </c>
      <c r="Q430" s="62" t="s">
        <v>6767</v>
      </c>
      <c r="R430" s="73"/>
      <c r="S430" s="74"/>
    </row>
    <row r="431" spans="1:19" s="63" customFormat="1" ht="45" x14ac:dyDescent="0.25">
      <c r="A431" s="71">
        <v>423</v>
      </c>
      <c r="B431" s="72" t="s">
        <v>6768</v>
      </c>
      <c r="C431" s="56" t="s">
        <v>6769</v>
      </c>
      <c r="D431" s="57"/>
      <c r="E431" s="58">
        <v>1</v>
      </c>
      <c r="F431" s="58">
        <v>7</v>
      </c>
      <c r="G431" s="59">
        <v>35262</v>
      </c>
      <c r="H431" s="59">
        <v>35292</v>
      </c>
      <c r="I431" s="60">
        <v>3</v>
      </c>
      <c r="J431" s="58"/>
      <c r="K431" s="58" t="s">
        <v>5502</v>
      </c>
      <c r="L431" s="58"/>
      <c r="M431" s="58"/>
      <c r="N431" s="58"/>
      <c r="O431" s="58"/>
      <c r="P431" s="61">
        <f t="shared" si="6"/>
        <v>7</v>
      </c>
      <c r="Q431" s="62" t="s">
        <v>6770</v>
      </c>
      <c r="R431" s="73"/>
      <c r="S431" s="74"/>
    </row>
    <row r="432" spans="1:19" s="63" customFormat="1" ht="56.25" x14ac:dyDescent="0.25">
      <c r="A432" s="71">
        <v>424</v>
      </c>
      <c r="B432" s="72" t="s">
        <v>6771</v>
      </c>
      <c r="C432" s="56" t="s">
        <v>6772</v>
      </c>
      <c r="D432" s="57"/>
      <c r="E432" s="58">
        <v>1</v>
      </c>
      <c r="F432" s="58">
        <v>6</v>
      </c>
      <c r="G432" s="59">
        <v>35535</v>
      </c>
      <c r="H432" s="59">
        <v>35569</v>
      </c>
      <c r="I432" s="60">
        <v>3</v>
      </c>
      <c r="J432" s="58"/>
      <c r="K432" s="58" t="s">
        <v>5502</v>
      </c>
      <c r="L432" s="58"/>
      <c r="M432" s="58"/>
      <c r="N432" s="58"/>
      <c r="O432" s="58"/>
      <c r="P432" s="61">
        <f t="shared" si="6"/>
        <v>6</v>
      </c>
      <c r="Q432" s="62" t="s">
        <v>6773</v>
      </c>
      <c r="R432" s="73"/>
      <c r="S432" s="74"/>
    </row>
    <row r="433" spans="1:19" s="63" customFormat="1" ht="45" x14ac:dyDescent="0.25">
      <c r="A433" s="71">
        <v>425</v>
      </c>
      <c r="B433" s="72" t="s">
        <v>6774</v>
      </c>
      <c r="C433" s="56" t="s">
        <v>6775</v>
      </c>
      <c r="D433" s="57"/>
      <c r="E433" s="58">
        <v>1</v>
      </c>
      <c r="F433" s="58">
        <v>5</v>
      </c>
      <c r="G433" s="59">
        <v>37756</v>
      </c>
      <c r="H433" s="59">
        <v>37763</v>
      </c>
      <c r="I433" s="60">
        <v>3</v>
      </c>
      <c r="J433" s="58"/>
      <c r="K433" s="58" t="s">
        <v>5502</v>
      </c>
      <c r="L433" s="58"/>
      <c r="M433" s="58"/>
      <c r="N433" s="58"/>
      <c r="O433" s="58"/>
      <c r="P433" s="61">
        <f t="shared" si="6"/>
        <v>5</v>
      </c>
      <c r="Q433" s="62" t="s">
        <v>6776</v>
      </c>
      <c r="R433" s="73"/>
      <c r="S433" s="74"/>
    </row>
    <row r="434" spans="1:19" s="63" customFormat="1" ht="45" x14ac:dyDescent="0.25">
      <c r="A434" s="71">
        <v>426</v>
      </c>
      <c r="B434" s="72" t="s">
        <v>6777</v>
      </c>
      <c r="C434" s="56" t="s">
        <v>6778</v>
      </c>
      <c r="D434" s="57"/>
      <c r="E434" s="58">
        <v>1</v>
      </c>
      <c r="F434" s="58">
        <v>6</v>
      </c>
      <c r="G434" s="59">
        <v>38209</v>
      </c>
      <c r="H434" s="59">
        <v>38218</v>
      </c>
      <c r="I434" s="60">
        <v>3</v>
      </c>
      <c r="J434" s="58"/>
      <c r="K434" s="58" t="s">
        <v>5502</v>
      </c>
      <c r="L434" s="58"/>
      <c r="M434" s="58"/>
      <c r="N434" s="58"/>
      <c r="O434" s="58"/>
      <c r="P434" s="61">
        <f t="shared" si="6"/>
        <v>6</v>
      </c>
      <c r="Q434" s="62" t="s">
        <v>6779</v>
      </c>
      <c r="R434" s="73"/>
      <c r="S434" s="74"/>
    </row>
    <row r="435" spans="1:19" s="63" customFormat="1" ht="45" x14ac:dyDescent="0.25">
      <c r="A435" s="71">
        <v>427</v>
      </c>
      <c r="B435" s="72" t="s">
        <v>6780</v>
      </c>
      <c r="C435" s="56" t="s">
        <v>6781</v>
      </c>
      <c r="D435" s="57"/>
      <c r="E435" s="58">
        <v>1</v>
      </c>
      <c r="F435" s="58">
        <v>6</v>
      </c>
      <c r="G435" s="59">
        <v>38779</v>
      </c>
      <c r="H435" s="59">
        <v>38798</v>
      </c>
      <c r="I435" s="60">
        <v>3</v>
      </c>
      <c r="J435" s="58"/>
      <c r="K435" s="58" t="s">
        <v>5502</v>
      </c>
      <c r="L435" s="58"/>
      <c r="M435" s="58"/>
      <c r="N435" s="58"/>
      <c r="O435" s="58"/>
      <c r="P435" s="61">
        <f t="shared" si="6"/>
        <v>6</v>
      </c>
      <c r="Q435" s="62" t="s">
        <v>6782</v>
      </c>
      <c r="R435" s="73"/>
      <c r="S435" s="74"/>
    </row>
    <row r="436" spans="1:19" s="63" customFormat="1" ht="45" x14ac:dyDescent="0.25">
      <c r="A436" s="71">
        <v>428</v>
      </c>
      <c r="B436" s="72" t="s">
        <v>6783</v>
      </c>
      <c r="C436" s="56" t="s">
        <v>6784</v>
      </c>
      <c r="D436" s="57"/>
      <c r="E436" s="58">
        <v>1</v>
      </c>
      <c r="F436" s="58">
        <v>4</v>
      </c>
      <c r="G436" s="59">
        <v>38841</v>
      </c>
      <c r="H436" s="59">
        <v>38861</v>
      </c>
      <c r="I436" s="60">
        <v>3</v>
      </c>
      <c r="J436" s="58"/>
      <c r="K436" s="58" t="s">
        <v>5502</v>
      </c>
      <c r="L436" s="58"/>
      <c r="M436" s="58"/>
      <c r="N436" s="58"/>
      <c r="O436" s="58"/>
      <c r="P436" s="61">
        <f t="shared" si="6"/>
        <v>4</v>
      </c>
      <c r="Q436" s="62" t="s">
        <v>6785</v>
      </c>
      <c r="R436" s="73"/>
      <c r="S436" s="74"/>
    </row>
    <row r="437" spans="1:19" s="63" customFormat="1" ht="45" x14ac:dyDescent="0.25">
      <c r="A437" s="71">
        <v>429</v>
      </c>
      <c r="B437" s="72" t="s">
        <v>6786</v>
      </c>
      <c r="C437" s="56" t="s">
        <v>6787</v>
      </c>
      <c r="D437" s="57"/>
      <c r="E437" s="58">
        <v>1</v>
      </c>
      <c r="F437" s="58">
        <v>6</v>
      </c>
      <c r="G437" s="59">
        <v>38909</v>
      </c>
      <c r="H437" s="59">
        <v>38925</v>
      </c>
      <c r="I437" s="60">
        <v>3</v>
      </c>
      <c r="J437" s="58"/>
      <c r="K437" s="58" t="s">
        <v>5502</v>
      </c>
      <c r="L437" s="58"/>
      <c r="M437" s="58"/>
      <c r="N437" s="58"/>
      <c r="O437" s="58"/>
      <c r="P437" s="61">
        <f t="shared" si="6"/>
        <v>6</v>
      </c>
      <c r="Q437" s="62" t="s">
        <v>6788</v>
      </c>
      <c r="R437" s="73"/>
      <c r="S437" s="74"/>
    </row>
    <row r="438" spans="1:19" s="63" customFormat="1" ht="45" x14ac:dyDescent="0.25">
      <c r="A438" s="71">
        <v>430</v>
      </c>
      <c r="B438" s="72" t="s">
        <v>6789</v>
      </c>
      <c r="C438" s="56" t="s">
        <v>6790</v>
      </c>
      <c r="D438" s="57"/>
      <c r="E438" s="58">
        <v>1</v>
      </c>
      <c r="F438" s="58">
        <v>5</v>
      </c>
      <c r="G438" s="59">
        <v>38999</v>
      </c>
      <c r="H438" s="59">
        <v>39009</v>
      </c>
      <c r="I438" s="60">
        <v>3</v>
      </c>
      <c r="J438" s="58"/>
      <c r="K438" s="58" t="s">
        <v>5502</v>
      </c>
      <c r="L438" s="58"/>
      <c r="M438" s="58"/>
      <c r="N438" s="58"/>
      <c r="O438" s="58"/>
      <c r="P438" s="61">
        <f t="shared" si="6"/>
        <v>5</v>
      </c>
      <c r="Q438" s="62" t="s">
        <v>6791</v>
      </c>
      <c r="R438" s="73"/>
      <c r="S438" s="74"/>
    </row>
    <row r="439" spans="1:19" s="63" customFormat="1" ht="45" x14ac:dyDescent="0.25">
      <c r="A439" s="71">
        <v>431</v>
      </c>
      <c r="B439" s="72" t="s">
        <v>6792</v>
      </c>
      <c r="C439" s="56" t="s">
        <v>6793</v>
      </c>
      <c r="D439" s="57"/>
      <c r="E439" s="58">
        <v>1</v>
      </c>
      <c r="F439" s="58">
        <v>5</v>
      </c>
      <c r="G439" s="59">
        <v>39240</v>
      </c>
      <c r="H439" s="59">
        <v>39254</v>
      </c>
      <c r="I439" s="60">
        <v>3</v>
      </c>
      <c r="J439" s="58"/>
      <c r="K439" s="58" t="s">
        <v>5502</v>
      </c>
      <c r="L439" s="58"/>
      <c r="M439" s="58"/>
      <c r="N439" s="58"/>
      <c r="O439" s="58"/>
      <c r="P439" s="61">
        <f t="shared" si="6"/>
        <v>5</v>
      </c>
      <c r="Q439" s="62" t="s">
        <v>6794</v>
      </c>
      <c r="R439" s="73"/>
      <c r="S439" s="74"/>
    </row>
    <row r="440" spans="1:19" s="63" customFormat="1" ht="45" x14ac:dyDescent="0.25">
      <c r="A440" s="71">
        <v>432</v>
      </c>
      <c r="B440" s="72" t="s">
        <v>6795</v>
      </c>
      <c r="C440" s="56" t="s">
        <v>6796</v>
      </c>
      <c r="D440" s="57"/>
      <c r="E440" s="58">
        <v>1</v>
      </c>
      <c r="F440" s="58">
        <v>5</v>
      </c>
      <c r="G440" s="59">
        <v>39608</v>
      </c>
      <c r="H440" s="59">
        <v>39618</v>
      </c>
      <c r="I440" s="60">
        <v>3</v>
      </c>
      <c r="J440" s="58"/>
      <c r="K440" s="58" t="s">
        <v>5502</v>
      </c>
      <c r="L440" s="58"/>
      <c r="M440" s="58"/>
      <c r="N440" s="58"/>
      <c r="O440" s="58"/>
      <c r="P440" s="61">
        <f t="shared" si="6"/>
        <v>5</v>
      </c>
      <c r="Q440" s="62" t="s">
        <v>6797</v>
      </c>
      <c r="R440" s="73"/>
      <c r="S440" s="74"/>
    </row>
    <row r="441" spans="1:19" s="63" customFormat="1" ht="45" x14ac:dyDescent="0.25">
      <c r="A441" s="71">
        <v>433</v>
      </c>
      <c r="B441" s="72" t="s">
        <v>6798</v>
      </c>
      <c r="C441" s="56" t="s">
        <v>6799</v>
      </c>
      <c r="D441" s="57"/>
      <c r="E441" s="58">
        <v>1</v>
      </c>
      <c r="F441" s="58">
        <v>5</v>
      </c>
      <c r="G441" s="59">
        <v>39637</v>
      </c>
      <c r="H441" s="59">
        <v>39646</v>
      </c>
      <c r="I441" s="60">
        <v>3</v>
      </c>
      <c r="J441" s="58"/>
      <c r="K441" s="58" t="s">
        <v>5502</v>
      </c>
      <c r="L441" s="58"/>
      <c r="M441" s="58"/>
      <c r="N441" s="58"/>
      <c r="O441" s="58"/>
      <c r="P441" s="61">
        <f t="shared" si="6"/>
        <v>5</v>
      </c>
      <c r="Q441" s="62" t="s">
        <v>6800</v>
      </c>
      <c r="R441" s="73"/>
      <c r="S441" s="74"/>
    </row>
    <row r="442" spans="1:19" s="63" customFormat="1" ht="45" x14ac:dyDescent="0.25">
      <c r="A442" s="71">
        <v>434</v>
      </c>
      <c r="B442" s="72" t="s">
        <v>6801</v>
      </c>
      <c r="C442" s="56" t="s">
        <v>6802</v>
      </c>
      <c r="D442" s="57"/>
      <c r="E442" s="58">
        <v>1</v>
      </c>
      <c r="F442" s="58">
        <v>5</v>
      </c>
      <c r="G442" s="59">
        <v>40036</v>
      </c>
      <c r="H442" s="59">
        <v>40045</v>
      </c>
      <c r="I442" s="60">
        <v>3</v>
      </c>
      <c r="J442" s="58"/>
      <c r="K442" s="58" t="s">
        <v>5502</v>
      </c>
      <c r="L442" s="58"/>
      <c r="M442" s="58"/>
      <c r="N442" s="58"/>
      <c r="O442" s="58"/>
      <c r="P442" s="61">
        <f t="shared" si="6"/>
        <v>5</v>
      </c>
      <c r="Q442" s="62" t="s">
        <v>6803</v>
      </c>
      <c r="R442" s="73"/>
      <c r="S442" s="74"/>
    </row>
    <row r="443" spans="1:19" s="63" customFormat="1" ht="45" x14ac:dyDescent="0.25">
      <c r="A443" s="71">
        <v>435</v>
      </c>
      <c r="B443" s="72" t="s">
        <v>6804</v>
      </c>
      <c r="C443" s="56" t="s">
        <v>6805</v>
      </c>
      <c r="D443" s="57"/>
      <c r="E443" s="58">
        <v>1</v>
      </c>
      <c r="F443" s="58">
        <v>6</v>
      </c>
      <c r="G443" s="59">
        <v>40064</v>
      </c>
      <c r="H443" s="59">
        <v>40080</v>
      </c>
      <c r="I443" s="60">
        <v>3</v>
      </c>
      <c r="J443" s="58"/>
      <c r="K443" s="58" t="s">
        <v>5502</v>
      </c>
      <c r="L443" s="58"/>
      <c r="M443" s="58"/>
      <c r="N443" s="58"/>
      <c r="O443" s="58"/>
      <c r="P443" s="61">
        <f t="shared" si="6"/>
        <v>6</v>
      </c>
      <c r="Q443" s="62" t="s">
        <v>6806</v>
      </c>
      <c r="R443" s="73"/>
      <c r="S443" s="74"/>
    </row>
    <row r="444" spans="1:19" s="63" customFormat="1" ht="45" x14ac:dyDescent="0.25">
      <c r="A444" s="71">
        <v>436</v>
      </c>
      <c r="B444" s="72" t="s">
        <v>6807</v>
      </c>
      <c r="C444" s="56" t="s">
        <v>6808</v>
      </c>
      <c r="D444" s="57"/>
      <c r="E444" s="58">
        <v>1</v>
      </c>
      <c r="F444" s="58">
        <v>6</v>
      </c>
      <c r="G444" s="59">
        <v>40851</v>
      </c>
      <c r="H444" s="59">
        <v>40863</v>
      </c>
      <c r="I444" s="60">
        <v>3</v>
      </c>
      <c r="J444" s="58"/>
      <c r="K444" s="58" t="s">
        <v>5502</v>
      </c>
      <c r="L444" s="58"/>
      <c r="M444" s="58"/>
      <c r="N444" s="58"/>
      <c r="O444" s="58"/>
      <c r="P444" s="61">
        <f t="shared" si="6"/>
        <v>6</v>
      </c>
      <c r="Q444" s="62" t="s">
        <v>6809</v>
      </c>
      <c r="R444" s="73"/>
      <c r="S444" s="74"/>
    </row>
    <row r="445" spans="1:19" s="63" customFormat="1" ht="45" x14ac:dyDescent="0.25">
      <c r="A445" s="71">
        <v>437</v>
      </c>
      <c r="B445" s="72" t="s">
        <v>6810</v>
      </c>
      <c r="C445" s="56" t="s">
        <v>6811</v>
      </c>
      <c r="D445" s="57"/>
      <c r="E445" s="58">
        <v>1</v>
      </c>
      <c r="F445" s="58">
        <v>6</v>
      </c>
      <c r="G445" s="59">
        <v>40869</v>
      </c>
      <c r="H445" s="59">
        <v>40878</v>
      </c>
      <c r="I445" s="60">
        <v>3</v>
      </c>
      <c r="J445" s="58"/>
      <c r="K445" s="58" t="s">
        <v>5502</v>
      </c>
      <c r="L445" s="58"/>
      <c r="M445" s="58"/>
      <c r="N445" s="58"/>
      <c r="O445" s="58"/>
      <c r="P445" s="61">
        <f t="shared" si="6"/>
        <v>6</v>
      </c>
      <c r="Q445" s="62" t="s">
        <v>6812</v>
      </c>
      <c r="R445" s="73"/>
      <c r="S445" s="74"/>
    </row>
    <row r="446" spans="1:19" s="63" customFormat="1" ht="45" x14ac:dyDescent="0.25">
      <c r="A446" s="71">
        <v>438</v>
      </c>
      <c r="B446" s="72" t="s">
        <v>6813</v>
      </c>
      <c r="C446" s="56" t="s">
        <v>6814</v>
      </c>
      <c r="D446" s="57"/>
      <c r="E446" s="58">
        <v>1</v>
      </c>
      <c r="F446" s="58">
        <v>5</v>
      </c>
      <c r="G446" s="59">
        <v>40897</v>
      </c>
      <c r="H446" s="59">
        <v>40906</v>
      </c>
      <c r="I446" s="60">
        <v>3</v>
      </c>
      <c r="J446" s="58"/>
      <c r="K446" s="58" t="s">
        <v>5502</v>
      </c>
      <c r="L446" s="58"/>
      <c r="M446" s="58"/>
      <c r="N446" s="58"/>
      <c r="O446" s="58"/>
      <c r="P446" s="61">
        <f t="shared" si="6"/>
        <v>5</v>
      </c>
      <c r="Q446" s="62" t="s">
        <v>6815</v>
      </c>
      <c r="R446" s="73"/>
      <c r="S446" s="74"/>
    </row>
    <row r="447" spans="1:19" s="63" customFormat="1" ht="45" x14ac:dyDescent="0.25">
      <c r="A447" s="71">
        <v>439</v>
      </c>
      <c r="B447" s="72" t="s">
        <v>6816</v>
      </c>
      <c r="C447" s="56" t="s">
        <v>6817</v>
      </c>
      <c r="D447" s="57"/>
      <c r="E447" s="58">
        <v>1</v>
      </c>
      <c r="F447" s="58">
        <v>5</v>
      </c>
      <c r="G447" s="59">
        <v>40928</v>
      </c>
      <c r="H447" s="59">
        <v>40942</v>
      </c>
      <c r="I447" s="60">
        <v>3</v>
      </c>
      <c r="J447" s="58"/>
      <c r="K447" s="58" t="s">
        <v>5502</v>
      </c>
      <c r="L447" s="58"/>
      <c r="M447" s="58"/>
      <c r="N447" s="58"/>
      <c r="O447" s="58"/>
      <c r="P447" s="61">
        <f t="shared" si="6"/>
        <v>5</v>
      </c>
      <c r="Q447" s="62" t="s">
        <v>6818</v>
      </c>
      <c r="R447" s="73"/>
      <c r="S447" s="74"/>
    </row>
    <row r="448" spans="1:19" s="63" customFormat="1" ht="45" x14ac:dyDescent="0.25">
      <c r="A448" s="71">
        <v>440</v>
      </c>
      <c r="B448" s="72" t="s">
        <v>6819</v>
      </c>
      <c r="C448" s="56" t="s">
        <v>6820</v>
      </c>
      <c r="D448" s="57"/>
      <c r="E448" s="58">
        <v>1</v>
      </c>
      <c r="F448" s="58">
        <v>6</v>
      </c>
      <c r="G448" s="59">
        <v>41204</v>
      </c>
      <c r="H448" s="59">
        <v>41214</v>
      </c>
      <c r="I448" s="60">
        <v>3</v>
      </c>
      <c r="J448" s="58"/>
      <c r="K448" s="58" t="s">
        <v>5502</v>
      </c>
      <c r="L448" s="58"/>
      <c r="M448" s="58"/>
      <c r="N448" s="58"/>
      <c r="O448" s="58"/>
      <c r="P448" s="61">
        <f t="shared" si="6"/>
        <v>6</v>
      </c>
      <c r="Q448" s="62" t="s">
        <v>6821</v>
      </c>
      <c r="R448" s="73"/>
      <c r="S448" s="74"/>
    </row>
    <row r="449" spans="1:19" s="63" customFormat="1" ht="45" x14ac:dyDescent="0.25">
      <c r="A449" s="71">
        <v>441</v>
      </c>
      <c r="B449" s="72" t="s">
        <v>6822</v>
      </c>
      <c r="C449" s="56" t="s">
        <v>6823</v>
      </c>
      <c r="D449" s="57"/>
      <c r="E449" s="58">
        <v>1</v>
      </c>
      <c r="F449" s="58">
        <v>6</v>
      </c>
      <c r="G449" s="59">
        <v>41204</v>
      </c>
      <c r="H449" s="59">
        <v>41214</v>
      </c>
      <c r="I449" s="60">
        <v>3</v>
      </c>
      <c r="J449" s="58"/>
      <c r="K449" s="58" t="s">
        <v>5502</v>
      </c>
      <c r="L449" s="58"/>
      <c r="M449" s="58"/>
      <c r="N449" s="58"/>
      <c r="O449" s="58"/>
      <c r="P449" s="61">
        <f t="shared" si="6"/>
        <v>6</v>
      </c>
      <c r="Q449" s="62" t="s">
        <v>6824</v>
      </c>
      <c r="R449" s="73"/>
      <c r="S449" s="74"/>
    </row>
    <row r="450" spans="1:19" s="63" customFormat="1" ht="45" x14ac:dyDescent="0.25">
      <c r="A450" s="71">
        <v>442</v>
      </c>
      <c r="B450" s="72" t="s">
        <v>6825</v>
      </c>
      <c r="C450" s="56" t="s">
        <v>6826</v>
      </c>
      <c r="D450" s="57"/>
      <c r="E450" s="58">
        <v>1</v>
      </c>
      <c r="F450" s="58">
        <v>5</v>
      </c>
      <c r="G450" s="59">
        <v>41316</v>
      </c>
      <c r="H450" s="59">
        <v>41319</v>
      </c>
      <c r="I450" s="60">
        <v>3</v>
      </c>
      <c r="J450" s="58"/>
      <c r="K450" s="58" t="s">
        <v>5502</v>
      </c>
      <c r="L450" s="58"/>
      <c r="M450" s="58"/>
      <c r="N450" s="58"/>
      <c r="O450" s="58"/>
      <c r="P450" s="61">
        <f t="shared" si="6"/>
        <v>5</v>
      </c>
      <c r="Q450" s="62" t="s">
        <v>6827</v>
      </c>
      <c r="R450" s="73"/>
      <c r="S450" s="74"/>
    </row>
    <row r="451" spans="1:19" s="63" customFormat="1" ht="45" x14ac:dyDescent="0.25">
      <c r="A451" s="71">
        <v>443</v>
      </c>
      <c r="B451" s="72" t="s">
        <v>6828</v>
      </c>
      <c r="C451" s="56" t="s">
        <v>6829</v>
      </c>
      <c r="D451" s="57"/>
      <c r="E451" s="58">
        <v>1</v>
      </c>
      <c r="F451" s="58">
        <v>4</v>
      </c>
      <c r="G451" s="59">
        <v>41464</v>
      </c>
      <c r="H451" s="59">
        <v>41473</v>
      </c>
      <c r="I451" s="60">
        <v>3</v>
      </c>
      <c r="J451" s="58"/>
      <c r="K451" s="58" t="s">
        <v>5502</v>
      </c>
      <c r="L451" s="58"/>
      <c r="M451" s="58"/>
      <c r="N451" s="58"/>
      <c r="O451" s="58"/>
      <c r="P451" s="61">
        <f t="shared" si="6"/>
        <v>4</v>
      </c>
      <c r="Q451" s="62" t="s">
        <v>6830</v>
      </c>
      <c r="R451" s="73"/>
      <c r="S451" s="74"/>
    </row>
    <row r="452" spans="1:19" s="63" customFormat="1" ht="45" x14ac:dyDescent="0.25">
      <c r="A452" s="71">
        <v>444</v>
      </c>
      <c r="B452" s="72" t="s">
        <v>6831</v>
      </c>
      <c r="C452" s="56" t="s">
        <v>6832</v>
      </c>
      <c r="D452" s="57"/>
      <c r="E452" s="58">
        <v>1</v>
      </c>
      <c r="F452" s="58">
        <v>5</v>
      </c>
      <c r="G452" s="59">
        <v>41464</v>
      </c>
      <c r="H452" s="59">
        <v>41473</v>
      </c>
      <c r="I452" s="60">
        <v>3</v>
      </c>
      <c r="J452" s="58"/>
      <c r="K452" s="58" t="s">
        <v>5502</v>
      </c>
      <c r="L452" s="58"/>
      <c r="M452" s="58"/>
      <c r="N452" s="58"/>
      <c r="O452" s="58"/>
      <c r="P452" s="61">
        <f t="shared" si="6"/>
        <v>5</v>
      </c>
      <c r="Q452" s="62" t="s">
        <v>6833</v>
      </c>
      <c r="R452" s="73"/>
      <c r="S452" s="74"/>
    </row>
    <row r="453" spans="1:19" s="63" customFormat="1" ht="45" x14ac:dyDescent="0.25">
      <c r="A453" s="71">
        <v>445</v>
      </c>
      <c r="B453" s="72" t="s">
        <v>6834</v>
      </c>
      <c r="C453" s="56" t="s">
        <v>6835</v>
      </c>
      <c r="D453" s="57"/>
      <c r="E453" s="58">
        <v>1</v>
      </c>
      <c r="F453" s="58">
        <v>5</v>
      </c>
      <c r="G453" s="59">
        <v>41506</v>
      </c>
      <c r="H453" s="59">
        <v>41522</v>
      </c>
      <c r="I453" s="60">
        <v>3</v>
      </c>
      <c r="J453" s="58"/>
      <c r="K453" s="58" t="s">
        <v>5502</v>
      </c>
      <c r="L453" s="58"/>
      <c r="M453" s="58"/>
      <c r="N453" s="58"/>
      <c r="O453" s="58"/>
      <c r="P453" s="61">
        <f t="shared" si="6"/>
        <v>5</v>
      </c>
      <c r="Q453" s="62" t="s">
        <v>6836</v>
      </c>
      <c r="R453" s="73"/>
      <c r="S453" s="74"/>
    </row>
    <row r="454" spans="1:19" s="63" customFormat="1" ht="45" x14ac:dyDescent="0.25">
      <c r="A454" s="71">
        <v>446</v>
      </c>
      <c r="B454" s="72" t="s">
        <v>6837</v>
      </c>
      <c r="C454" s="56" t="s">
        <v>6838</v>
      </c>
      <c r="D454" s="57"/>
      <c r="E454" s="58">
        <v>1</v>
      </c>
      <c r="F454" s="58">
        <v>4</v>
      </c>
      <c r="G454" s="59">
        <v>41506</v>
      </c>
      <c r="H454" s="59">
        <v>41522</v>
      </c>
      <c r="I454" s="60">
        <v>3</v>
      </c>
      <c r="J454" s="58"/>
      <c r="K454" s="58" t="s">
        <v>5502</v>
      </c>
      <c r="L454" s="58"/>
      <c r="M454" s="58"/>
      <c r="N454" s="58"/>
      <c r="O454" s="58"/>
      <c r="P454" s="61">
        <f t="shared" si="6"/>
        <v>4</v>
      </c>
      <c r="Q454" s="62" t="s">
        <v>6839</v>
      </c>
      <c r="R454" s="73"/>
      <c r="S454" s="74"/>
    </row>
    <row r="455" spans="1:19" s="63" customFormat="1" ht="45" x14ac:dyDescent="0.25">
      <c r="A455" s="71">
        <v>447</v>
      </c>
      <c r="B455" s="72" t="s">
        <v>6840</v>
      </c>
      <c r="C455" s="56" t="s">
        <v>6841</v>
      </c>
      <c r="D455" s="57"/>
      <c r="E455" s="58">
        <v>1</v>
      </c>
      <c r="F455" s="58">
        <v>5</v>
      </c>
      <c r="G455" s="59">
        <v>41506</v>
      </c>
      <c r="H455" s="59">
        <v>41522</v>
      </c>
      <c r="I455" s="60">
        <v>3</v>
      </c>
      <c r="J455" s="58"/>
      <c r="K455" s="58" t="s">
        <v>5502</v>
      </c>
      <c r="L455" s="58"/>
      <c r="M455" s="58"/>
      <c r="N455" s="58"/>
      <c r="O455" s="58"/>
      <c r="P455" s="61">
        <f t="shared" si="6"/>
        <v>5</v>
      </c>
      <c r="Q455" s="62" t="s">
        <v>6842</v>
      </c>
      <c r="R455" s="73"/>
      <c r="S455" s="74"/>
    </row>
    <row r="456" spans="1:19" s="63" customFormat="1" ht="45" x14ac:dyDescent="0.25">
      <c r="A456" s="71">
        <v>448</v>
      </c>
      <c r="B456" s="72" t="s">
        <v>6843</v>
      </c>
      <c r="C456" s="56" t="s">
        <v>6844</v>
      </c>
      <c r="D456" s="57"/>
      <c r="E456" s="58">
        <v>1</v>
      </c>
      <c r="F456" s="58">
        <v>5</v>
      </c>
      <c r="G456" s="59">
        <v>41506</v>
      </c>
      <c r="H456" s="59">
        <v>41522</v>
      </c>
      <c r="I456" s="60">
        <v>3</v>
      </c>
      <c r="J456" s="58"/>
      <c r="K456" s="58" t="s">
        <v>5502</v>
      </c>
      <c r="L456" s="58"/>
      <c r="M456" s="58"/>
      <c r="N456" s="58"/>
      <c r="O456" s="58"/>
      <c r="P456" s="61">
        <f t="shared" si="6"/>
        <v>5</v>
      </c>
      <c r="Q456" s="62" t="s">
        <v>6845</v>
      </c>
      <c r="R456" s="73"/>
      <c r="S456" s="74"/>
    </row>
    <row r="457" spans="1:19" s="63" customFormat="1" ht="45" x14ac:dyDescent="0.25">
      <c r="A457" s="71">
        <v>449</v>
      </c>
      <c r="B457" s="72" t="s">
        <v>6846</v>
      </c>
      <c r="C457" s="56" t="s">
        <v>6847</v>
      </c>
      <c r="D457" s="57"/>
      <c r="E457" s="58">
        <v>1</v>
      </c>
      <c r="F457" s="58">
        <v>5</v>
      </c>
      <c r="G457" s="59">
        <v>41522</v>
      </c>
      <c r="H457" s="59">
        <v>41536</v>
      </c>
      <c r="I457" s="60">
        <v>3</v>
      </c>
      <c r="J457" s="58"/>
      <c r="K457" s="58" t="s">
        <v>5502</v>
      </c>
      <c r="L457" s="58"/>
      <c r="M457" s="58"/>
      <c r="N457" s="58"/>
      <c r="O457" s="58"/>
      <c r="P457" s="61">
        <f t="shared" ref="P457:P520" si="7">IF(F457="","",IF(ISERR(F457-E457)=TRUE,"",F457-E457+1))</f>
        <v>5</v>
      </c>
      <c r="Q457" s="62" t="s">
        <v>6848</v>
      </c>
      <c r="R457" s="73"/>
      <c r="S457" s="74"/>
    </row>
    <row r="458" spans="1:19" s="63" customFormat="1" ht="45" x14ac:dyDescent="0.25">
      <c r="A458" s="71">
        <v>450</v>
      </c>
      <c r="B458" s="72" t="s">
        <v>6849</v>
      </c>
      <c r="C458" s="56" t="s">
        <v>6850</v>
      </c>
      <c r="D458" s="57"/>
      <c r="E458" s="58">
        <v>1</v>
      </c>
      <c r="F458" s="58">
        <v>5</v>
      </c>
      <c r="G458" s="59">
        <v>41575</v>
      </c>
      <c r="H458" s="59">
        <v>41585</v>
      </c>
      <c r="I458" s="60">
        <v>3</v>
      </c>
      <c r="J458" s="58"/>
      <c r="K458" s="58" t="s">
        <v>5502</v>
      </c>
      <c r="L458" s="58"/>
      <c r="M458" s="58"/>
      <c r="N458" s="58"/>
      <c r="O458" s="58"/>
      <c r="P458" s="61">
        <f t="shared" si="7"/>
        <v>5</v>
      </c>
      <c r="Q458" s="62" t="s">
        <v>6851</v>
      </c>
      <c r="R458" s="73"/>
      <c r="S458" s="74"/>
    </row>
    <row r="459" spans="1:19" s="63" customFormat="1" ht="45" x14ac:dyDescent="0.25">
      <c r="A459" s="71">
        <v>451</v>
      </c>
      <c r="B459" s="72" t="s">
        <v>6852</v>
      </c>
      <c r="C459" s="56" t="s">
        <v>6853</v>
      </c>
      <c r="D459" s="57"/>
      <c r="E459" s="58">
        <v>1</v>
      </c>
      <c r="F459" s="58">
        <v>5</v>
      </c>
      <c r="G459" s="59">
        <v>41575</v>
      </c>
      <c r="H459" s="59">
        <v>41585</v>
      </c>
      <c r="I459" s="60">
        <v>3</v>
      </c>
      <c r="J459" s="58"/>
      <c r="K459" s="58" t="s">
        <v>5502</v>
      </c>
      <c r="L459" s="58"/>
      <c r="M459" s="58"/>
      <c r="N459" s="58"/>
      <c r="O459" s="58"/>
      <c r="P459" s="61">
        <f t="shared" si="7"/>
        <v>5</v>
      </c>
      <c r="Q459" s="62" t="s">
        <v>6854</v>
      </c>
      <c r="R459" s="73"/>
      <c r="S459" s="74"/>
    </row>
    <row r="460" spans="1:19" s="63" customFormat="1" ht="45" x14ac:dyDescent="0.25">
      <c r="A460" s="71">
        <v>452</v>
      </c>
      <c r="B460" s="72" t="s">
        <v>6855</v>
      </c>
      <c r="C460" s="56" t="s">
        <v>6856</v>
      </c>
      <c r="D460" s="57"/>
      <c r="E460" s="58">
        <v>1</v>
      </c>
      <c r="F460" s="58">
        <v>5</v>
      </c>
      <c r="G460" s="59">
        <v>41575</v>
      </c>
      <c r="H460" s="59">
        <v>41585</v>
      </c>
      <c r="I460" s="60">
        <v>3</v>
      </c>
      <c r="J460" s="58"/>
      <c r="K460" s="58" t="s">
        <v>5502</v>
      </c>
      <c r="L460" s="58"/>
      <c r="M460" s="58"/>
      <c r="N460" s="58"/>
      <c r="O460" s="58"/>
      <c r="P460" s="61">
        <f t="shared" si="7"/>
        <v>5</v>
      </c>
      <c r="Q460" s="62" t="s">
        <v>6857</v>
      </c>
      <c r="R460" s="73"/>
      <c r="S460" s="74"/>
    </row>
    <row r="461" spans="1:19" s="63" customFormat="1" ht="45" x14ac:dyDescent="0.25">
      <c r="A461" s="71">
        <v>453</v>
      </c>
      <c r="B461" s="72" t="s">
        <v>6858</v>
      </c>
      <c r="C461" s="56" t="s">
        <v>6859</v>
      </c>
      <c r="D461" s="57"/>
      <c r="E461" s="58">
        <v>1</v>
      </c>
      <c r="F461" s="58">
        <v>5</v>
      </c>
      <c r="G461" s="59">
        <v>41575</v>
      </c>
      <c r="H461" s="59">
        <v>41585</v>
      </c>
      <c r="I461" s="60">
        <v>3</v>
      </c>
      <c r="J461" s="58"/>
      <c r="K461" s="58" t="s">
        <v>5502</v>
      </c>
      <c r="L461" s="58"/>
      <c r="M461" s="58"/>
      <c r="N461" s="58"/>
      <c r="O461" s="58"/>
      <c r="P461" s="61">
        <f t="shared" si="7"/>
        <v>5</v>
      </c>
      <c r="Q461" s="62" t="s">
        <v>6860</v>
      </c>
      <c r="R461" s="73"/>
      <c r="S461" s="74"/>
    </row>
    <row r="462" spans="1:19" s="63" customFormat="1" ht="45" x14ac:dyDescent="0.25">
      <c r="A462" s="71">
        <v>454</v>
      </c>
      <c r="B462" s="72" t="s">
        <v>6861</v>
      </c>
      <c r="C462" s="56" t="s">
        <v>6862</v>
      </c>
      <c r="D462" s="57"/>
      <c r="E462" s="58">
        <v>1</v>
      </c>
      <c r="F462" s="58">
        <v>5</v>
      </c>
      <c r="G462" s="59">
        <v>41620</v>
      </c>
      <c r="H462" s="59">
        <v>41627</v>
      </c>
      <c r="I462" s="60">
        <v>3</v>
      </c>
      <c r="J462" s="58"/>
      <c r="K462" s="58" t="s">
        <v>5502</v>
      </c>
      <c r="L462" s="58"/>
      <c r="M462" s="58"/>
      <c r="N462" s="58"/>
      <c r="O462" s="58"/>
      <c r="P462" s="61">
        <f t="shared" si="7"/>
        <v>5</v>
      </c>
      <c r="Q462" s="62" t="s">
        <v>6863</v>
      </c>
      <c r="R462" s="73"/>
      <c r="S462" s="74"/>
    </row>
    <row r="463" spans="1:19" s="63" customFormat="1" ht="45" x14ac:dyDescent="0.25">
      <c r="A463" s="71">
        <v>455</v>
      </c>
      <c r="B463" s="72" t="s">
        <v>6864</v>
      </c>
      <c r="C463" s="56" t="s">
        <v>6865</v>
      </c>
      <c r="D463" s="57"/>
      <c r="E463" s="58">
        <v>1</v>
      </c>
      <c r="F463" s="58">
        <v>4</v>
      </c>
      <c r="G463" s="59">
        <v>41653</v>
      </c>
      <c r="H463" s="59">
        <v>41663</v>
      </c>
      <c r="I463" s="60">
        <v>3</v>
      </c>
      <c r="J463" s="58"/>
      <c r="K463" s="58" t="s">
        <v>5502</v>
      </c>
      <c r="L463" s="58"/>
      <c r="M463" s="58"/>
      <c r="N463" s="58"/>
      <c r="O463" s="58"/>
      <c r="P463" s="61">
        <f t="shared" si="7"/>
        <v>4</v>
      </c>
      <c r="Q463" s="62" t="s">
        <v>6866</v>
      </c>
      <c r="R463" s="73"/>
      <c r="S463" s="74"/>
    </row>
    <row r="464" spans="1:19" s="63" customFormat="1" ht="56.25" x14ac:dyDescent="0.25">
      <c r="A464" s="71">
        <v>456</v>
      </c>
      <c r="B464" s="72" t="s">
        <v>6867</v>
      </c>
      <c r="C464" s="56" t="s">
        <v>6868</v>
      </c>
      <c r="D464" s="57"/>
      <c r="E464" s="58">
        <v>1</v>
      </c>
      <c r="F464" s="58">
        <v>6</v>
      </c>
      <c r="G464" s="59">
        <v>35459</v>
      </c>
      <c r="H464" s="59">
        <v>35481</v>
      </c>
      <c r="I464" s="60">
        <v>3</v>
      </c>
      <c r="J464" s="58"/>
      <c r="K464" s="58" t="s">
        <v>5502</v>
      </c>
      <c r="L464" s="58"/>
      <c r="M464" s="58"/>
      <c r="N464" s="58"/>
      <c r="O464" s="58"/>
      <c r="P464" s="61">
        <f t="shared" si="7"/>
        <v>6</v>
      </c>
      <c r="Q464" s="62" t="s">
        <v>6869</v>
      </c>
      <c r="R464" s="73"/>
      <c r="S464" s="74"/>
    </row>
    <row r="465" spans="1:19" s="63" customFormat="1" ht="67.5" x14ac:dyDescent="0.25">
      <c r="A465" s="71">
        <v>457</v>
      </c>
      <c r="B465" s="72" t="s">
        <v>6870</v>
      </c>
      <c r="C465" s="56" t="s">
        <v>6871</v>
      </c>
      <c r="D465" s="57"/>
      <c r="E465" s="58">
        <v>1</v>
      </c>
      <c r="F465" s="58">
        <v>6</v>
      </c>
      <c r="G465" s="59">
        <v>35976</v>
      </c>
      <c r="H465" s="59">
        <v>35999</v>
      </c>
      <c r="I465" s="60">
        <v>3</v>
      </c>
      <c r="J465" s="58"/>
      <c r="K465" s="58" t="s">
        <v>5502</v>
      </c>
      <c r="L465" s="58"/>
      <c r="M465" s="58"/>
      <c r="N465" s="58"/>
      <c r="O465" s="58"/>
      <c r="P465" s="61">
        <f t="shared" si="7"/>
        <v>6</v>
      </c>
      <c r="Q465" s="62" t="s">
        <v>6872</v>
      </c>
      <c r="R465" s="73"/>
      <c r="S465" s="74"/>
    </row>
    <row r="466" spans="1:19" s="63" customFormat="1" ht="33.75" x14ac:dyDescent="0.25">
      <c r="A466" s="71">
        <v>458</v>
      </c>
      <c r="B466" s="72" t="s">
        <v>6873</v>
      </c>
      <c r="C466" s="56" t="s">
        <v>6874</v>
      </c>
      <c r="D466" s="57"/>
      <c r="E466" s="58">
        <v>1</v>
      </c>
      <c r="F466" s="58">
        <v>5</v>
      </c>
      <c r="G466" s="59">
        <v>34380</v>
      </c>
      <c r="H466" s="59">
        <v>34501</v>
      </c>
      <c r="I466" s="60">
        <v>3</v>
      </c>
      <c r="J466" s="58"/>
      <c r="K466" s="58" t="s">
        <v>5502</v>
      </c>
      <c r="L466" s="58"/>
      <c r="M466" s="58"/>
      <c r="N466" s="58"/>
      <c r="O466" s="58"/>
      <c r="P466" s="61">
        <f t="shared" si="7"/>
        <v>5</v>
      </c>
      <c r="Q466" s="62" t="s">
        <v>6875</v>
      </c>
      <c r="R466" s="73"/>
      <c r="S466" s="74"/>
    </row>
    <row r="467" spans="1:19" s="63" customFormat="1" ht="45" x14ac:dyDescent="0.25">
      <c r="A467" s="71">
        <v>459</v>
      </c>
      <c r="B467" s="72" t="s">
        <v>6876</v>
      </c>
      <c r="C467" s="56" t="s">
        <v>6877</v>
      </c>
      <c r="D467" s="57"/>
      <c r="E467" s="58">
        <v>1</v>
      </c>
      <c r="F467" s="58">
        <v>3</v>
      </c>
      <c r="G467" s="59">
        <v>34277</v>
      </c>
      <c r="H467" s="59">
        <v>34724</v>
      </c>
      <c r="I467" s="60">
        <v>3</v>
      </c>
      <c r="J467" s="58"/>
      <c r="K467" s="58" t="s">
        <v>5502</v>
      </c>
      <c r="L467" s="58"/>
      <c r="M467" s="58"/>
      <c r="N467" s="58"/>
      <c r="O467" s="58"/>
      <c r="P467" s="61">
        <f t="shared" si="7"/>
        <v>3</v>
      </c>
      <c r="Q467" s="62" t="s">
        <v>6878</v>
      </c>
      <c r="R467" s="73"/>
      <c r="S467" s="74"/>
    </row>
    <row r="468" spans="1:19" s="63" customFormat="1" ht="45" x14ac:dyDescent="0.25">
      <c r="A468" s="71">
        <v>460</v>
      </c>
      <c r="B468" s="72" t="s">
        <v>6879</v>
      </c>
      <c r="C468" s="56" t="s">
        <v>6880</v>
      </c>
      <c r="D468" s="57"/>
      <c r="E468" s="58">
        <v>1</v>
      </c>
      <c r="F468" s="58">
        <v>4</v>
      </c>
      <c r="G468" s="59">
        <v>41138</v>
      </c>
      <c r="H468" s="59">
        <v>41158</v>
      </c>
      <c r="I468" s="60">
        <v>4</v>
      </c>
      <c r="J468" s="58"/>
      <c r="K468" s="58" t="s">
        <v>5502</v>
      </c>
      <c r="L468" s="58"/>
      <c r="M468" s="58"/>
      <c r="N468" s="58"/>
      <c r="O468" s="58"/>
      <c r="P468" s="61">
        <f t="shared" si="7"/>
        <v>4</v>
      </c>
      <c r="Q468" s="62" t="s">
        <v>6881</v>
      </c>
      <c r="R468" s="73"/>
      <c r="S468" s="74"/>
    </row>
    <row r="469" spans="1:19" s="63" customFormat="1" ht="45" x14ac:dyDescent="0.25">
      <c r="A469" s="71">
        <v>461</v>
      </c>
      <c r="B469" s="72" t="s">
        <v>6882</v>
      </c>
      <c r="C469" s="56" t="s">
        <v>6883</v>
      </c>
      <c r="D469" s="57"/>
      <c r="E469" s="58">
        <v>1</v>
      </c>
      <c r="F469" s="58">
        <v>5</v>
      </c>
      <c r="G469" s="59">
        <v>40428</v>
      </c>
      <c r="H469" s="59">
        <v>40437</v>
      </c>
      <c r="I469" s="60">
        <v>6</v>
      </c>
      <c r="J469" s="58"/>
      <c r="K469" s="58" t="s">
        <v>5502</v>
      </c>
      <c r="L469" s="58"/>
      <c r="M469" s="58"/>
      <c r="N469" s="58"/>
      <c r="O469" s="58"/>
      <c r="P469" s="61">
        <f t="shared" si="7"/>
        <v>5</v>
      </c>
      <c r="Q469" s="62" t="s">
        <v>6884</v>
      </c>
      <c r="R469" s="73"/>
      <c r="S469" s="74"/>
    </row>
    <row r="470" spans="1:19" s="63" customFormat="1" ht="45" x14ac:dyDescent="0.25">
      <c r="A470" s="71">
        <v>462</v>
      </c>
      <c r="B470" s="72" t="s">
        <v>6885</v>
      </c>
      <c r="C470" s="56" t="s">
        <v>6886</v>
      </c>
      <c r="D470" s="57"/>
      <c r="E470" s="58">
        <v>1</v>
      </c>
      <c r="F470" s="58">
        <v>7</v>
      </c>
      <c r="G470" s="59">
        <v>40456</v>
      </c>
      <c r="H470" s="59">
        <v>40472</v>
      </c>
      <c r="I470" s="60">
        <v>6</v>
      </c>
      <c r="J470" s="58"/>
      <c r="K470" s="58" t="s">
        <v>5502</v>
      </c>
      <c r="L470" s="58"/>
      <c r="M470" s="58"/>
      <c r="N470" s="58"/>
      <c r="O470" s="58"/>
      <c r="P470" s="61">
        <f t="shared" si="7"/>
        <v>7</v>
      </c>
      <c r="Q470" s="62" t="s">
        <v>6887</v>
      </c>
      <c r="R470" s="73"/>
      <c r="S470" s="74"/>
    </row>
    <row r="471" spans="1:19" s="63" customFormat="1" ht="45" x14ac:dyDescent="0.25">
      <c r="A471" s="71">
        <v>463</v>
      </c>
      <c r="B471" s="72" t="s">
        <v>6888</v>
      </c>
      <c r="C471" s="56" t="s">
        <v>6889</v>
      </c>
      <c r="D471" s="57"/>
      <c r="E471" s="58">
        <v>1</v>
      </c>
      <c r="F471" s="58">
        <v>5</v>
      </c>
      <c r="G471" s="59">
        <v>40821</v>
      </c>
      <c r="H471" s="59">
        <v>40840</v>
      </c>
      <c r="I471" s="60">
        <v>6</v>
      </c>
      <c r="J471" s="58"/>
      <c r="K471" s="58" t="s">
        <v>5502</v>
      </c>
      <c r="L471" s="58"/>
      <c r="M471" s="58"/>
      <c r="N471" s="58"/>
      <c r="O471" s="58"/>
      <c r="P471" s="61">
        <f t="shared" si="7"/>
        <v>5</v>
      </c>
      <c r="Q471" s="62" t="s">
        <v>6890</v>
      </c>
      <c r="R471" s="73"/>
      <c r="S471" s="74"/>
    </row>
    <row r="472" spans="1:19" s="63" customFormat="1" ht="56.25" x14ac:dyDescent="0.25">
      <c r="A472" s="71">
        <v>464</v>
      </c>
      <c r="B472" s="72" t="s">
        <v>6891</v>
      </c>
      <c r="C472" s="56" t="s">
        <v>6892</v>
      </c>
      <c r="D472" s="57"/>
      <c r="E472" s="58">
        <v>1</v>
      </c>
      <c r="F472" s="58">
        <v>5</v>
      </c>
      <c r="G472" s="59">
        <v>41296</v>
      </c>
      <c r="H472" s="59">
        <v>41305</v>
      </c>
      <c r="I472" s="60">
        <v>6</v>
      </c>
      <c r="J472" s="58"/>
      <c r="K472" s="58" t="s">
        <v>5502</v>
      </c>
      <c r="L472" s="58"/>
      <c r="M472" s="58"/>
      <c r="N472" s="58"/>
      <c r="O472" s="58"/>
      <c r="P472" s="61">
        <f t="shared" si="7"/>
        <v>5</v>
      </c>
      <c r="Q472" s="62" t="s">
        <v>6893</v>
      </c>
      <c r="R472" s="73"/>
      <c r="S472" s="74"/>
    </row>
    <row r="473" spans="1:19" s="63" customFormat="1" ht="45" x14ac:dyDescent="0.25">
      <c r="A473" s="71">
        <v>465</v>
      </c>
      <c r="B473" s="72" t="s">
        <v>6894</v>
      </c>
      <c r="C473" s="56" t="s">
        <v>6895</v>
      </c>
      <c r="D473" s="57"/>
      <c r="E473" s="58">
        <v>1</v>
      </c>
      <c r="F473" s="58">
        <v>5</v>
      </c>
      <c r="G473" s="59">
        <v>41660</v>
      </c>
      <c r="H473" s="59">
        <v>41677</v>
      </c>
      <c r="I473" s="60">
        <v>5</v>
      </c>
      <c r="J473" s="58"/>
      <c r="K473" s="58" t="s">
        <v>5502</v>
      </c>
      <c r="L473" s="58"/>
      <c r="M473" s="58"/>
      <c r="N473" s="58"/>
      <c r="O473" s="58"/>
      <c r="P473" s="61">
        <f t="shared" si="7"/>
        <v>5</v>
      </c>
      <c r="Q473" s="62" t="s">
        <v>6896</v>
      </c>
      <c r="R473" s="73"/>
      <c r="S473" s="74"/>
    </row>
    <row r="474" spans="1:19" s="63" customFormat="1" ht="45" x14ac:dyDescent="0.25">
      <c r="A474" s="71">
        <v>466</v>
      </c>
      <c r="B474" s="72" t="s">
        <v>6897</v>
      </c>
      <c r="C474" s="56" t="s">
        <v>6898</v>
      </c>
      <c r="D474" s="57"/>
      <c r="E474" s="58">
        <v>1</v>
      </c>
      <c r="F474" s="58">
        <v>5</v>
      </c>
      <c r="G474" s="59">
        <v>41660</v>
      </c>
      <c r="H474" s="59">
        <v>41677</v>
      </c>
      <c r="I474" s="60">
        <v>5</v>
      </c>
      <c r="J474" s="58"/>
      <c r="K474" s="58" t="s">
        <v>5502</v>
      </c>
      <c r="L474" s="58"/>
      <c r="M474" s="58"/>
      <c r="N474" s="58"/>
      <c r="O474" s="58"/>
      <c r="P474" s="61">
        <f t="shared" si="7"/>
        <v>5</v>
      </c>
      <c r="Q474" s="62" t="s">
        <v>6899</v>
      </c>
      <c r="R474" s="73"/>
      <c r="S474" s="74"/>
    </row>
    <row r="475" spans="1:19" s="63" customFormat="1" ht="45" x14ac:dyDescent="0.25">
      <c r="A475" s="71">
        <v>467</v>
      </c>
      <c r="B475" s="72" t="s">
        <v>6900</v>
      </c>
      <c r="C475" s="56" t="s">
        <v>6901</v>
      </c>
      <c r="D475" s="57"/>
      <c r="E475" s="58">
        <v>1</v>
      </c>
      <c r="F475" s="58">
        <v>5</v>
      </c>
      <c r="G475" s="59">
        <v>41648</v>
      </c>
      <c r="H475" s="59">
        <v>41663</v>
      </c>
      <c r="I475" s="60">
        <v>5</v>
      </c>
      <c r="J475" s="58"/>
      <c r="K475" s="58" t="s">
        <v>5502</v>
      </c>
      <c r="L475" s="58"/>
      <c r="M475" s="58"/>
      <c r="N475" s="58"/>
      <c r="O475" s="58"/>
      <c r="P475" s="61">
        <f t="shared" si="7"/>
        <v>5</v>
      </c>
      <c r="Q475" s="62" t="s">
        <v>6902</v>
      </c>
      <c r="R475" s="73"/>
      <c r="S475" s="74"/>
    </row>
    <row r="476" spans="1:19" s="63" customFormat="1" ht="45" x14ac:dyDescent="0.25">
      <c r="A476" s="71">
        <v>468</v>
      </c>
      <c r="B476" s="72" t="s">
        <v>6903</v>
      </c>
      <c r="C476" s="56" t="s">
        <v>6904</v>
      </c>
      <c r="D476" s="57"/>
      <c r="E476" s="58">
        <v>1</v>
      </c>
      <c r="F476" s="58">
        <v>5</v>
      </c>
      <c r="G476" s="59">
        <v>41575</v>
      </c>
      <c r="H476" s="59">
        <v>41585</v>
      </c>
      <c r="I476" s="60">
        <v>5</v>
      </c>
      <c r="J476" s="58"/>
      <c r="K476" s="58" t="s">
        <v>5502</v>
      </c>
      <c r="L476" s="58"/>
      <c r="M476" s="58"/>
      <c r="N476" s="58"/>
      <c r="O476" s="58"/>
      <c r="P476" s="61">
        <f t="shared" si="7"/>
        <v>5</v>
      </c>
      <c r="Q476" s="62" t="s">
        <v>6905</v>
      </c>
      <c r="R476" s="73"/>
      <c r="S476" s="74"/>
    </row>
    <row r="477" spans="1:19" s="63" customFormat="1" ht="45" x14ac:dyDescent="0.25">
      <c r="A477" s="71">
        <v>469</v>
      </c>
      <c r="B477" s="72" t="s">
        <v>6906</v>
      </c>
      <c r="C477" s="56" t="s">
        <v>6907</v>
      </c>
      <c r="D477" s="57"/>
      <c r="E477" s="58">
        <v>1</v>
      </c>
      <c r="F477" s="58">
        <v>5</v>
      </c>
      <c r="G477" s="59">
        <v>41320</v>
      </c>
      <c r="H477" s="59">
        <v>41331</v>
      </c>
      <c r="I477" s="60">
        <v>5</v>
      </c>
      <c r="J477" s="58"/>
      <c r="K477" s="58" t="s">
        <v>5502</v>
      </c>
      <c r="L477" s="58"/>
      <c r="M477" s="58"/>
      <c r="N477" s="58"/>
      <c r="O477" s="58"/>
      <c r="P477" s="61">
        <f t="shared" si="7"/>
        <v>5</v>
      </c>
      <c r="Q477" s="62" t="s">
        <v>6908</v>
      </c>
      <c r="R477" s="73"/>
      <c r="S477" s="74"/>
    </row>
    <row r="478" spans="1:19" s="63" customFormat="1" ht="45" x14ac:dyDescent="0.25">
      <c r="A478" s="71">
        <v>470</v>
      </c>
      <c r="B478" s="72" t="s">
        <v>6909</v>
      </c>
      <c r="C478" s="56" t="s">
        <v>6910</v>
      </c>
      <c r="D478" s="57"/>
      <c r="E478" s="58">
        <v>1</v>
      </c>
      <c r="F478" s="58">
        <v>5</v>
      </c>
      <c r="G478" s="59">
        <v>41299</v>
      </c>
      <c r="H478" s="59">
        <v>41305</v>
      </c>
      <c r="I478" s="60">
        <v>5</v>
      </c>
      <c r="J478" s="58"/>
      <c r="K478" s="58" t="s">
        <v>5502</v>
      </c>
      <c r="L478" s="58"/>
      <c r="M478" s="58"/>
      <c r="N478" s="58"/>
      <c r="O478" s="58"/>
      <c r="P478" s="61">
        <f t="shared" si="7"/>
        <v>5</v>
      </c>
      <c r="Q478" s="62" t="s">
        <v>6911</v>
      </c>
      <c r="R478" s="73"/>
      <c r="S478" s="74"/>
    </row>
    <row r="479" spans="1:19" s="63" customFormat="1" ht="45" x14ac:dyDescent="0.25">
      <c r="A479" s="71">
        <v>471</v>
      </c>
      <c r="B479" s="72" t="s">
        <v>6912</v>
      </c>
      <c r="C479" s="56" t="s">
        <v>6913</v>
      </c>
      <c r="D479" s="57"/>
      <c r="E479" s="58">
        <v>1</v>
      </c>
      <c r="F479" s="58">
        <v>5</v>
      </c>
      <c r="G479" s="59">
        <v>41246</v>
      </c>
      <c r="H479" s="59">
        <v>41263</v>
      </c>
      <c r="I479" s="60">
        <v>5</v>
      </c>
      <c r="J479" s="58"/>
      <c r="K479" s="58" t="s">
        <v>5502</v>
      </c>
      <c r="L479" s="58"/>
      <c r="M479" s="58"/>
      <c r="N479" s="58"/>
      <c r="O479" s="58"/>
      <c r="P479" s="61">
        <f t="shared" si="7"/>
        <v>5</v>
      </c>
      <c r="Q479" s="62" t="s">
        <v>6914</v>
      </c>
      <c r="R479" s="73"/>
      <c r="S479" s="74"/>
    </row>
    <row r="480" spans="1:19" s="63" customFormat="1" ht="45" x14ac:dyDescent="0.25">
      <c r="A480" s="71">
        <v>472</v>
      </c>
      <c r="B480" s="72" t="s">
        <v>6915</v>
      </c>
      <c r="C480" s="56" t="s">
        <v>6916</v>
      </c>
      <c r="D480" s="57"/>
      <c r="E480" s="58">
        <v>1</v>
      </c>
      <c r="F480" s="58">
        <v>5</v>
      </c>
      <c r="G480" s="59">
        <v>41228</v>
      </c>
      <c r="H480" s="59">
        <v>41243</v>
      </c>
      <c r="I480" s="60">
        <v>5</v>
      </c>
      <c r="J480" s="58"/>
      <c r="K480" s="58" t="s">
        <v>5502</v>
      </c>
      <c r="L480" s="58"/>
      <c r="M480" s="58"/>
      <c r="N480" s="58"/>
      <c r="O480" s="58"/>
      <c r="P480" s="61">
        <f t="shared" si="7"/>
        <v>5</v>
      </c>
      <c r="Q480" s="62" t="s">
        <v>6917</v>
      </c>
      <c r="R480" s="73"/>
      <c r="S480" s="74"/>
    </row>
    <row r="481" spans="1:19" s="63" customFormat="1" ht="45" x14ac:dyDescent="0.25">
      <c r="A481" s="71">
        <v>473</v>
      </c>
      <c r="B481" s="72" t="s">
        <v>6918</v>
      </c>
      <c r="C481" s="56" t="s">
        <v>6919</v>
      </c>
      <c r="D481" s="57"/>
      <c r="E481" s="58">
        <v>1</v>
      </c>
      <c r="F481" s="58">
        <v>5</v>
      </c>
      <c r="G481" s="59">
        <v>41173</v>
      </c>
      <c r="H481" s="59">
        <v>41186</v>
      </c>
      <c r="I481" s="60">
        <v>5</v>
      </c>
      <c r="J481" s="58"/>
      <c r="K481" s="58" t="s">
        <v>5502</v>
      </c>
      <c r="L481" s="58"/>
      <c r="M481" s="58"/>
      <c r="N481" s="58"/>
      <c r="O481" s="58"/>
      <c r="P481" s="61">
        <f t="shared" si="7"/>
        <v>5</v>
      </c>
      <c r="Q481" s="62" t="s">
        <v>6920</v>
      </c>
      <c r="R481" s="73"/>
      <c r="S481" s="74"/>
    </row>
    <row r="482" spans="1:19" s="63" customFormat="1" ht="45" x14ac:dyDescent="0.25">
      <c r="A482" s="71">
        <v>474</v>
      </c>
      <c r="B482" s="72" t="s">
        <v>6921</v>
      </c>
      <c r="C482" s="56" t="s">
        <v>6922</v>
      </c>
      <c r="D482" s="57"/>
      <c r="E482" s="58">
        <v>1</v>
      </c>
      <c r="F482" s="58">
        <v>5</v>
      </c>
      <c r="G482" s="59">
        <v>41015</v>
      </c>
      <c r="H482" s="59">
        <v>41033</v>
      </c>
      <c r="I482" s="60">
        <v>5</v>
      </c>
      <c r="J482" s="58"/>
      <c r="K482" s="58" t="s">
        <v>5502</v>
      </c>
      <c r="L482" s="58"/>
      <c r="M482" s="58"/>
      <c r="N482" s="58"/>
      <c r="O482" s="58"/>
      <c r="P482" s="61">
        <f t="shared" si="7"/>
        <v>5</v>
      </c>
      <c r="Q482" s="62" t="s">
        <v>6923</v>
      </c>
      <c r="R482" s="73"/>
      <c r="S482" s="74"/>
    </row>
    <row r="483" spans="1:19" s="63" customFormat="1" ht="45" x14ac:dyDescent="0.25">
      <c r="A483" s="71">
        <v>475</v>
      </c>
      <c r="B483" s="72" t="s">
        <v>6924</v>
      </c>
      <c r="C483" s="56" t="s">
        <v>6925</v>
      </c>
      <c r="D483" s="57"/>
      <c r="E483" s="58">
        <v>1</v>
      </c>
      <c r="F483" s="58">
        <v>5</v>
      </c>
      <c r="G483" s="59">
        <v>40973</v>
      </c>
      <c r="H483" s="59">
        <v>40981</v>
      </c>
      <c r="I483" s="60">
        <v>5</v>
      </c>
      <c r="J483" s="58"/>
      <c r="K483" s="58" t="s">
        <v>5502</v>
      </c>
      <c r="L483" s="58"/>
      <c r="M483" s="58"/>
      <c r="N483" s="58"/>
      <c r="O483" s="58"/>
      <c r="P483" s="61">
        <f t="shared" si="7"/>
        <v>5</v>
      </c>
      <c r="Q483" s="62" t="s">
        <v>6926</v>
      </c>
      <c r="R483" s="73"/>
      <c r="S483" s="74"/>
    </row>
    <row r="484" spans="1:19" s="63" customFormat="1" ht="45" x14ac:dyDescent="0.25">
      <c r="A484" s="71">
        <v>476</v>
      </c>
      <c r="B484" s="72" t="s">
        <v>6927</v>
      </c>
      <c r="C484" s="56" t="s">
        <v>6928</v>
      </c>
      <c r="D484" s="57"/>
      <c r="E484" s="58">
        <v>1</v>
      </c>
      <c r="F484" s="58">
        <v>5</v>
      </c>
      <c r="G484" s="59">
        <v>40758</v>
      </c>
      <c r="H484" s="59">
        <v>40773</v>
      </c>
      <c r="I484" s="60">
        <v>5</v>
      </c>
      <c r="J484" s="58"/>
      <c r="K484" s="58" t="s">
        <v>5502</v>
      </c>
      <c r="L484" s="58"/>
      <c r="M484" s="58"/>
      <c r="N484" s="58"/>
      <c r="O484" s="58"/>
      <c r="P484" s="61">
        <f t="shared" si="7"/>
        <v>5</v>
      </c>
      <c r="Q484" s="62" t="s">
        <v>6929</v>
      </c>
      <c r="R484" s="73"/>
      <c r="S484" s="74"/>
    </row>
    <row r="485" spans="1:19" s="63" customFormat="1" ht="45" x14ac:dyDescent="0.25">
      <c r="A485" s="71">
        <v>477</v>
      </c>
      <c r="B485" s="72" t="s">
        <v>6930</v>
      </c>
      <c r="C485" s="56" t="s">
        <v>6931</v>
      </c>
      <c r="D485" s="57"/>
      <c r="E485" s="58">
        <v>1</v>
      </c>
      <c r="F485" s="58">
        <v>5</v>
      </c>
      <c r="G485" s="59">
        <v>40730</v>
      </c>
      <c r="H485" s="59">
        <v>40745</v>
      </c>
      <c r="I485" s="60">
        <v>5</v>
      </c>
      <c r="J485" s="58"/>
      <c r="K485" s="58" t="s">
        <v>5502</v>
      </c>
      <c r="L485" s="58"/>
      <c r="M485" s="58"/>
      <c r="N485" s="58"/>
      <c r="O485" s="58"/>
      <c r="P485" s="61">
        <f t="shared" si="7"/>
        <v>5</v>
      </c>
      <c r="Q485" s="62" t="s">
        <v>6932</v>
      </c>
      <c r="R485" s="73"/>
      <c r="S485" s="74"/>
    </row>
    <row r="486" spans="1:19" s="63" customFormat="1" ht="45" x14ac:dyDescent="0.25">
      <c r="A486" s="71">
        <v>478</v>
      </c>
      <c r="B486" s="72" t="s">
        <v>6933</v>
      </c>
      <c r="C486" s="56" t="s">
        <v>6934</v>
      </c>
      <c r="D486" s="57"/>
      <c r="E486" s="58">
        <v>1</v>
      </c>
      <c r="F486" s="58">
        <v>5</v>
      </c>
      <c r="G486" s="59">
        <v>40639</v>
      </c>
      <c r="H486" s="59">
        <v>40661</v>
      </c>
      <c r="I486" s="60">
        <v>5</v>
      </c>
      <c r="J486" s="58"/>
      <c r="K486" s="58" t="s">
        <v>5502</v>
      </c>
      <c r="L486" s="58"/>
      <c r="M486" s="58"/>
      <c r="N486" s="58"/>
      <c r="O486" s="58"/>
      <c r="P486" s="61">
        <f t="shared" si="7"/>
        <v>5</v>
      </c>
      <c r="Q486" s="62" t="s">
        <v>6935</v>
      </c>
      <c r="R486" s="73"/>
      <c r="S486" s="74"/>
    </row>
    <row r="487" spans="1:19" s="63" customFormat="1" ht="45" x14ac:dyDescent="0.25">
      <c r="A487" s="71">
        <v>479</v>
      </c>
      <c r="B487" s="72" t="s">
        <v>6936</v>
      </c>
      <c r="C487" s="56" t="s">
        <v>6937</v>
      </c>
      <c r="D487" s="57"/>
      <c r="E487" s="58">
        <v>1</v>
      </c>
      <c r="F487" s="58">
        <v>5</v>
      </c>
      <c r="G487" s="59">
        <v>40388</v>
      </c>
      <c r="H487" s="59">
        <v>40410</v>
      </c>
      <c r="I487" s="60">
        <v>5</v>
      </c>
      <c r="J487" s="58"/>
      <c r="K487" s="58" t="s">
        <v>5502</v>
      </c>
      <c r="L487" s="58"/>
      <c r="M487" s="58"/>
      <c r="N487" s="58"/>
      <c r="O487" s="58"/>
      <c r="P487" s="61">
        <f t="shared" si="7"/>
        <v>5</v>
      </c>
      <c r="Q487" s="62" t="s">
        <v>6938</v>
      </c>
      <c r="R487" s="73"/>
      <c r="S487" s="74"/>
    </row>
    <row r="488" spans="1:19" s="63" customFormat="1" ht="45" x14ac:dyDescent="0.25">
      <c r="A488" s="71">
        <v>480</v>
      </c>
      <c r="B488" s="72" t="s">
        <v>6939</v>
      </c>
      <c r="C488" s="56" t="s">
        <v>6940</v>
      </c>
      <c r="D488" s="57"/>
      <c r="E488" s="58">
        <v>1</v>
      </c>
      <c r="F488" s="58">
        <v>6</v>
      </c>
      <c r="G488" s="59">
        <v>40357</v>
      </c>
      <c r="H488" s="59">
        <v>40374</v>
      </c>
      <c r="I488" s="60">
        <v>5</v>
      </c>
      <c r="J488" s="58"/>
      <c r="K488" s="58" t="s">
        <v>5502</v>
      </c>
      <c r="L488" s="58"/>
      <c r="M488" s="58"/>
      <c r="N488" s="58"/>
      <c r="O488" s="58"/>
      <c r="P488" s="61">
        <f t="shared" si="7"/>
        <v>6</v>
      </c>
      <c r="Q488" s="62" t="s">
        <v>6941</v>
      </c>
      <c r="R488" s="73"/>
      <c r="S488" s="74"/>
    </row>
    <row r="489" spans="1:19" s="63" customFormat="1" ht="45" x14ac:dyDescent="0.25">
      <c r="A489" s="71">
        <v>481</v>
      </c>
      <c r="B489" s="72" t="s">
        <v>6942</v>
      </c>
      <c r="C489" s="56" t="s">
        <v>6943</v>
      </c>
      <c r="D489" s="57"/>
      <c r="E489" s="58">
        <v>1</v>
      </c>
      <c r="F489" s="58">
        <v>5</v>
      </c>
      <c r="G489" s="59">
        <v>39664</v>
      </c>
      <c r="H489" s="59">
        <v>39681</v>
      </c>
      <c r="I489" s="60">
        <v>5</v>
      </c>
      <c r="J489" s="58"/>
      <c r="K489" s="58" t="s">
        <v>5502</v>
      </c>
      <c r="L489" s="58"/>
      <c r="M489" s="58"/>
      <c r="N489" s="58"/>
      <c r="O489" s="58"/>
      <c r="P489" s="61">
        <f t="shared" si="7"/>
        <v>5</v>
      </c>
      <c r="Q489" s="62" t="s">
        <v>6944</v>
      </c>
      <c r="R489" s="73"/>
      <c r="S489" s="74"/>
    </row>
    <row r="490" spans="1:19" s="63" customFormat="1" ht="45" x14ac:dyDescent="0.25">
      <c r="A490" s="71">
        <v>482</v>
      </c>
      <c r="B490" s="72" t="s">
        <v>6945</v>
      </c>
      <c r="C490" s="56" t="s">
        <v>6946</v>
      </c>
      <c r="D490" s="57"/>
      <c r="E490" s="58">
        <v>1</v>
      </c>
      <c r="F490" s="58">
        <v>5</v>
      </c>
      <c r="G490" s="59">
        <v>39461</v>
      </c>
      <c r="H490" s="59">
        <v>39471</v>
      </c>
      <c r="I490" s="60">
        <v>5</v>
      </c>
      <c r="J490" s="58"/>
      <c r="K490" s="58" t="s">
        <v>5502</v>
      </c>
      <c r="L490" s="58"/>
      <c r="M490" s="58"/>
      <c r="N490" s="58"/>
      <c r="O490" s="58"/>
      <c r="P490" s="61">
        <f t="shared" si="7"/>
        <v>5</v>
      </c>
      <c r="Q490" s="62" t="s">
        <v>6947</v>
      </c>
      <c r="R490" s="73"/>
      <c r="S490" s="74"/>
    </row>
    <row r="491" spans="1:19" s="63" customFormat="1" ht="45" x14ac:dyDescent="0.25">
      <c r="A491" s="71">
        <v>483</v>
      </c>
      <c r="B491" s="72" t="s">
        <v>6948</v>
      </c>
      <c r="C491" s="56" t="s">
        <v>6949</v>
      </c>
      <c r="D491" s="57"/>
      <c r="E491" s="58">
        <v>1</v>
      </c>
      <c r="F491" s="58">
        <v>5</v>
      </c>
      <c r="G491" s="59">
        <v>39461</v>
      </c>
      <c r="H491" s="59">
        <v>39471</v>
      </c>
      <c r="I491" s="60">
        <v>5</v>
      </c>
      <c r="J491" s="58"/>
      <c r="K491" s="58" t="s">
        <v>5502</v>
      </c>
      <c r="L491" s="58"/>
      <c r="M491" s="58"/>
      <c r="N491" s="58"/>
      <c r="O491" s="58"/>
      <c r="P491" s="61">
        <f t="shared" si="7"/>
        <v>5</v>
      </c>
      <c r="Q491" s="62" t="s">
        <v>6950</v>
      </c>
      <c r="R491" s="73"/>
      <c r="S491" s="74"/>
    </row>
    <row r="492" spans="1:19" s="63" customFormat="1" ht="45" x14ac:dyDescent="0.25">
      <c r="A492" s="71">
        <v>484</v>
      </c>
      <c r="B492" s="72" t="s">
        <v>6951</v>
      </c>
      <c r="C492" s="56" t="s">
        <v>6952</v>
      </c>
      <c r="D492" s="57"/>
      <c r="E492" s="58">
        <v>1</v>
      </c>
      <c r="F492" s="58">
        <v>6</v>
      </c>
      <c r="G492" s="59">
        <v>39360</v>
      </c>
      <c r="H492" s="59">
        <v>39380</v>
      </c>
      <c r="I492" s="60">
        <v>5</v>
      </c>
      <c r="J492" s="58"/>
      <c r="K492" s="58" t="s">
        <v>5502</v>
      </c>
      <c r="L492" s="58"/>
      <c r="M492" s="58"/>
      <c r="N492" s="58"/>
      <c r="O492" s="58"/>
      <c r="P492" s="61">
        <f t="shared" si="7"/>
        <v>6</v>
      </c>
      <c r="Q492" s="62" t="s">
        <v>6953</v>
      </c>
      <c r="R492" s="73"/>
      <c r="S492" s="74"/>
    </row>
    <row r="493" spans="1:19" s="63" customFormat="1" ht="45" x14ac:dyDescent="0.25">
      <c r="A493" s="71">
        <v>485</v>
      </c>
      <c r="B493" s="72" t="s">
        <v>6954</v>
      </c>
      <c r="C493" s="56" t="s">
        <v>6955</v>
      </c>
      <c r="D493" s="57"/>
      <c r="E493" s="58">
        <v>1</v>
      </c>
      <c r="F493" s="58">
        <v>7</v>
      </c>
      <c r="G493" s="59">
        <v>39266</v>
      </c>
      <c r="H493" s="59">
        <v>39282</v>
      </c>
      <c r="I493" s="60">
        <v>5</v>
      </c>
      <c r="J493" s="58"/>
      <c r="K493" s="58" t="s">
        <v>5502</v>
      </c>
      <c r="L493" s="58"/>
      <c r="M493" s="58"/>
      <c r="N493" s="58"/>
      <c r="O493" s="58"/>
      <c r="P493" s="61">
        <f t="shared" si="7"/>
        <v>7</v>
      </c>
      <c r="Q493" s="62" t="s">
        <v>6956</v>
      </c>
      <c r="R493" s="73"/>
      <c r="S493" s="74"/>
    </row>
    <row r="494" spans="1:19" s="63" customFormat="1" ht="45" x14ac:dyDescent="0.25">
      <c r="A494" s="71">
        <v>486</v>
      </c>
      <c r="B494" s="72" t="s">
        <v>6957</v>
      </c>
      <c r="C494" s="56" t="s">
        <v>6958</v>
      </c>
      <c r="D494" s="57"/>
      <c r="E494" s="58">
        <v>1</v>
      </c>
      <c r="F494" s="58">
        <v>4</v>
      </c>
      <c r="G494" s="59">
        <v>39234</v>
      </c>
      <c r="H494" s="59">
        <v>39254</v>
      </c>
      <c r="I494" s="60">
        <v>5</v>
      </c>
      <c r="J494" s="58"/>
      <c r="K494" s="58" t="s">
        <v>5502</v>
      </c>
      <c r="L494" s="58"/>
      <c r="M494" s="58"/>
      <c r="N494" s="58"/>
      <c r="O494" s="58"/>
      <c r="P494" s="61">
        <f t="shared" si="7"/>
        <v>4</v>
      </c>
      <c r="Q494" s="62" t="s">
        <v>6959</v>
      </c>
      <c r="R494" s="73"/>
      <c r="S494" s="74"/>
    </row>
    <row r="495" spans="1:19" s="63" customFormat="1" ht="45" x14ac:dyDescent="0.25">
      <c r="A495" s="71">
        <v>487</v>
      </c>
      <c r="B495" s="72" t="s">
        <v>6960</v>
      </c>
      <c r="C495" s="56" t="s">
        <v>6961</v>
      </c>
      <c r="D495" s="57"/>
      <c r="E495" s="58">
        <v>1</v>
      </c>
      <c r="F495" s="58">
        <v>6</v>
      </c>
      <c r="G495" s="59">
        <v>39206</v>
      </c>
      <c r="H495" s="59">
        <v>39219</v>
      </c>
      <c r="I495" s="60">
        <v>5</v>
      </c>
      <c r="J495" s="58"/>
      <c r="K495" s="58" t="s">
        <v>5502</v>
      </c>
      <c r="L495" s="58"/>
      <c r="M495" s="58"/>
      <c r="N495" s="58"/>
      <c r="O495" s="58"/>
      <c r="P495" s="61">
        <f t="shared" si="7"/>
        <v>6</v>
      </c>
      <c r="Q495" s="62" t="s">
        <v>6962</v>
      </c>
      <c r="R495" s="73"/>
      <c r="S495" s="74"/>
    </row>
    <row r="496" spans="1:19" s="63" customFormat="1" ht="45" x14ac:dyDescent="0.25">
      <c r="A496" s="71">
        <v>488</v>
      </c>
      <c r="B496" s="72" t="s">
        <v>6963</v>
      </c>
      <c r="C496" s="56" t="s">
        <v>6964</v>
      </c>
      <c r="D496" s="57"/>
      <c r="E496" s="58">
        <v>1</v>
      </c>
      <c r="F496" s="58">
        <v>6</v>
      </c>
      <c r="G496" s="59">
        <v>39118</v>
      </c>
      <c r="H496" s="59">
        <v>39128</v>
      </c>
      <c r="I496" s="60">
        <v>5</v>
      </c>
      <c r="J496" s="58"/>
      <c r="K496" s="58" t="s">
        <v>5502</v>
      </c>
      <c r="L496" s="58"/>
      <c r="M496" s="58"/>
      <c r="N496" s="58"/>
      <c r="O496" s="58"/>
      <c r="P496" s="61">
        <f t="shared" si="7"/>
        <v>6</v>
      </c>
      <c r="Q496" s="62" t="s">
        <v>6965</v>
      </c>
      <c r="R496" s="73"/>
      <c r="S496" s="74"/>
    </row>
    <row r="497" spans="1:19" s="63" customFormat="1" ht="45" x14ac:dyDescent="0.25">
      <c r="A497" s="71">
        <v>489</v>
      </c>
      <c r="B497" s="72" t="s">
        <v>6966</v>
      </c>
      <c r="C497" s="56" t="s">
        <v>6967</v>
      </c>
      <c r="D497" s="57"/>
      <c r="E497" s="58">
        <v>1</v>
      </c>
      <c r="F497" s="58">
        <v>5</v>
      </c>
      <c r="G497" s="59">
        <v>39056</v>
      </c>
      <c r="H497" s="59">
        <v>39066</v>
      </c>
      <c r="I497" s="60">
        <v>5</v>
      </c>
      <c r="J497" s="58"/>
      <c r="K497" s="58" t="s">
        <v>5502</v>
      </c>
      <c r="L497" s="58"/>
      <c r="M497" s="58"/>
      <c r="N497" s="58"/>
      <c r="O497" s="58"/>
      <c r="P497" s="61">
        <f t="shared" si="7"/>
        <v>5</v>
      </c>
      <c r="Q497" s="62" t="s">
        <v>6968</v>
      </c>
      <c r="R497" s="73"/>
      <c r="S497" s="74"/>
    </row>
    <row r="498" spans="1:19" s="63" customFormat="1" ht="45" x14ac:dyDescent="0.25">
      <c r="A498" s="71">
        <v>490</v>
      </c>
      <c r="B498" s="72" t="s">
        <v>6969</v>
      </c>
      <c r="C498" s="56" t="s">
        <v>6970</v>
      </c>
      <c r="D498" s="57"/>
      <c r="E498" s="58">
        <v>1</v>
      </c>
      <c r="F498" s="58">
        <v>5</v>
      </c>
      <c r="G498" s="59">
        <v>39056</v>
      </c>
      <c r="H498" s="59">
        <v>39066</v>
      </c>
      <c r="I498" s="60">
        <v>5</v>
      </c>
      <c r="J498" s="58"/>
      <c r="K498" s="58" t="s">
        <v>5502</v>
      </c>
      <c r="L498" s="58"/>
      <c r="M498" s="58"/>
      <c r="N498" s="58"/>
      <c r="O498" s="58"/>
      <c r="P498" s="61">
        <f t="shared" si="7"/>
        <v>5</v>
      </c>
      <c r="Q498" s="62" t="s">
        <v>6971</v>
      </c>
      <c r="R498" s="73"/>
      <c r="S498" s="74"/>
    </row>
    <row r="499" spans="1:19" s="63" customFormat="1" ht="34.5" customHeight="1" x14ac:dyDescent="0.25">
      <c r="A499" s="71">
        <v>491</v>
      </c>
      <c r="B499" s="72" t="s">
        <v>6972</v>
      </c>
      <c r="C499" s="56" t="s">
        <v>6973</v>
      </c>
      <c r="D499" s="57"/>
      <c r="E499" s="58">
        <v>1</v>
      </c>
      <c r="F499" s="58">
        <v>6</v>
      </c>
      <c r="G499" s="59">
        <v>38750</v>
      </c>
      <c r="H499" s="59">
        <v>38764</v>
      </c>
      <c r="I499" s="60">
        <v>5</v>
      </c>
      <c r="J499" s="58"/>
      <c r="K499" s="58" t="s">
        <v>5502</v>
      </c>
      <c r="L499" s="58"/>
      <c r="M499" s="58"/>
      <c r="N499" s="58"/>
      <c r="O499" s="58"/>
      <c r="P499" s="61">
        <f t="shared" si="7"/>
        <v>6</v>
      </c>
      <c r="Q499" s="62" t="s">
        <v>6974</v>
      </c>
      <c r="R499" s="73"/>
      <c r="S499" s="74"/>
    </row>
    <row r="500" spans="1:19" s="63" customFormat="1" ht="45" x14ac:dyDescent="0.25">
      <c r="A500" s="71">
        <v>492</v>
      </c>
      <c r="B500" s="72" t="s">
        <v>6975</v>
      </c>
      <c r="C500" s="56" t="s">
        <v>6976</v>
      </c>
      <c r="D500" s="57"/>
      <c r="E500" s="58">
        <v>1</v>
      </c>
      <c r="F500" s="58">
        <v>5</v>
      </c>
      <c r="G500" s="59">
        <v>38565</v>
      </c>
      <c r="H500" s="59">
        <v>38582</v>
      </c>
      <c r="I500" s="60">
        <v>5</v>
      </c>
      <c r="J500" s="58"/>
      <c r="K500" s="58" t="s">
        <v>5502</v>
      </c>
      <c r="L500" s="58"/>
      <c r="M500" s="58"/>
      <c r="N500" s="58"/>
      <c r="O500" s="58"/>
      <c r="P500" s="61">
        <f t="shared" si="7"/>
        <v>5</v>
      </c>
      <c r="Q500" s="62" t="s">
        <v>6977</v>
      </c>
      <c r="R500" s="73"/>
      <c r="S500" s="74"/>
    </row>
    <row r="501" spans="1:19" s="63" customFormat="1" ht="38.25" customHeight="1" x14ac:dyDescent="0.25">
      <c r="A501" s="71">
        <v>493</v>
      </c>
      <c r="B501" s="72" t="s">
        <v>6978</v>
      </c>
      <c r="C501" s="56" t="s">
        <v>6979</v>
      </c>
      <c r="D501" s="57"/>
      <c r="E501" s="58">
        <v>1</v>
      </c>
      <c r="F501" s="58">
        <v>6</v>
      </c>
      <c r="G501" s="59">
        <v>38565</v>
      </c>
      <c r="H501" s="59">
        <v>38582</v>
      </c>
      <c r="I501" s="60">
        <v>5</v>
      </c>
      <c r="J501" s="58"/>
      <c r="K501" s="58" t="s">
        <v>5502</v>
      </c>
      <c r="L501" s="58"/>
      <c r="M501" s="58"/>
      <c r="N501" s="58"/>
      <c r="O501" s="58"/>
      <c r="P501" s="61">
        <f t="shared" si="7"/>
        <v>6</v>
      </c>
      <c r="Q501" s="62" t="s">
        <v>6980</v>
      </c>
      <c r="R501" s="73"/>
      <c r="S501" s="74"/>
    </row>
    <row r="502" spans="1:19" s="63" customFormat="1" ht="36" customHeight="1" x14ac:dyDescent="0.25">
      <c r="A502" s="71">
        <v>494</v>
      </c>
      <c r="B502" s="72" t="s">
        <v>6981</v>
      </c>
      <c r="C502" s="56" t="s">
        <v>6982</v>
      </c>
      <c r="D502" s="57"/>
      <c r="E502" s="58">
        <v>1</v>
      </c>
      <c r="F502" s="58">
        <v>6</v>
      </c>
      <c r="G502" s="59">
        <v>38565</v>
      </c>
      <c r="H502" s="59">
        <v>38582</v>
      </c>
      <c r="I502" s="60">
        <v>5</v>
      </c>
      <c r="J502" s="58"/>
      <c r="K502" s="58" t="s">
        <v>5502</v>
      </c>
      <c r="L502" s="58"/>
      <c r="M502" s="58"/>
      <c r="N502" s="58"/>
      <c r="O502" s="58"/>
      <c r="P502" s="61">
        <f t="shared" si="7"/>
        <v>6</v>
      </c>
      <c r="Q502" s="62" t="s">
        <v>6983</v>
      </c>
      <c r="R502" s="73"/>
      <c r="S502" s="74"/>
    </row>
    <row r="503" spans="1:19" s="63" customFormat="1" ht="45" x14ac:dyDescent="0.25">
      <c r="A503" s="71">
        <v>495</v>
      </c>
      <c r="B503" s="72" t="s">
        <v>6984</v>
      </c>
      <c r="C503" s="56" t="s">
        <v>6985</v>
      </c>
      <c r="D503" s="57"/>
      <c r="E503" s="58">
        <v>1</v>
      </c>
      <c r="F503" s="58">
        <v>6</v>
      </c>
      <c r="G503" s="59">
        <v>38474</v>
      </c>
      <c r="H503" s="59">
        <v>38491</v>
      </c>
      <c r="I503" s="60">
        <v>5</v>
      </c>
      <c r="J503" s="58"/>
      <c r="K503" s="58" t="s">
        <v>5502</v>
      </c>
      <c r="L503" s="58"/>
      <c r="M503" s="58"/>
      <c r="N503" s="58"/>
      <c r="O503" s="58"/>
      <c r="P503" s="61">
        <f t="shared" si="7"/>
        <v>6</v>
      </c>
      <c r="Q503" s="62" t="s">
        <v>6986</v>
      </c>
      <c r="R503" s="73"/>
      <c r="S503" s="74"/>
    </row>
    <row r="504" spans="1:19" s="63" customFormat="1" ht="33.75" x14ac:dyDescent="0.25">
      <c r="A504" s="71">
        <v>496</v>
      </c>
      <c r="B504" s="72" t="s">
        <v>6987</v>
      </c>
      <c r="C504" s="56" t="s">
        <v>6988</v>
      </c>
      <c r="D504" s="57"/>
      <c r="E504" s="58">
        <v>1</v>
      </c>
      <c r="F504" s="58">
        <v>6</v>
      </c>
      <c r="G504" s="59">
        <v>38386</v>
      </c>
      <c r="H504" s="59">
        <v>38400</v>
      </c>
      <c r="I504" s="60">
        <v>5</v>
      </c>
      <c r="J504" s="58"/>
      <c r="K504" s="58" t="s">
        <v>5502</v>
      </c>
      <c r="L504" s="58"/>
      <c r="M504" s="58"/>
      <c r="N504" s="58"/>
      <c r="O504" s="58"/>
      <c r="P504" s="61">
        <f t="shared" si="7"/>
        <v>6</v>
      </c>
      <c r="Q504" s="62" t="s">
        <v>6989</v>
      </c>
      <c r="R504" s="73"/>
      <c r="S504" s="74"/>
    </row>
    <row r="505" spans="1:19" s="63" customFormat="1" ht="36" customHeight="1" x14ac:dyDescent="0.25">
      <c r="A505" s="71">
        <v>497</v>
      </c>
      <c r="B505" s="72" t="s">
        <v>6990</v>
      </c>
      <c r="C505" s="56" t="s">
        <v>6991</v>
      </c>
      <c r="D505" s="57"/>
      <c r="E505" s="58">
        <v>1</v>
      </c>
      <c r="F505" s="58">
        <v>5</v>
      </c>
      <c r="G505" s="59">
        <v>38266</v>
      </c>
      <c r="H505" s="59">
        <v>38281</v>
      </c>
      <c r="I505" s="60">
        <v>5</v>
      </c>
      <c r="J505" s="58"/>
      <c r="K505" s="58" t="s">
        <v>5502</v>
      </c>
      <c r="L505" s="58"/>
      <c r="M505" s="58"/>
      <c r="N505" s="58"/>
      <c r="O505" s="58"/>
      <c r="P505" s="61">
        <f t="shared" si="7"/>
        <v>5</v>
      </c>
      <c r="Q505" s="62" t="s">
        <v>6992</v>
      </c>
      <c r="R505" s="73"/>
      <c r="S505" s="74"/>
    </row>
    <row r="506" spans="1:19" s="63" customFormat="1" ht="45" x14ac:dyDescent="0.25">
      <c r="A506" s="71">
        <v>498</v>
      </c>
      <c r="B506" s="72" t="s">
        <v>6993</v>
      </c>
      <c r="C506" s="56" t="s">
        <v>6994</v>
      </c>
      <c r="D506" s="57"/>
      <c r="E506" s="58">
        <v>1</v>
      </c>
      <c r="F506" s="58">
        <v>5</v>
      </c>
      <c r="G506" s="59">
        <v>38266</v>
      </c>
      <c r="H506" s="59">
        <v>38281</v>
      </c>
      <c r="I506" s="60">
        <v>5</v>
      </c>
      <c r="J506" s="58"/>
      <c r="K506" s="58" t="s">
        <v>5502</v>
      </c>
      <c r="L506" s="58"/>
      <c r="M506" s="58"/>
      <c r="N506" s="58"/>
      <c r="O506" s="58"/>
      <c r="P506" s="61">
        <f t="shared" si="7"/>
        <v>5</v>
      </c>
      <c r="Q506" s="62" t="s">
        <v>6995</v>
      </c>
      <c r="R506" s="73"/>
      <c r="S506" s="74"/>
    </row>
    <row r="507" spans="1:19" s="63" customFormat="1" ht="36.75" customHeight="1" x14ac:dyDescent="0.25">
      <c r="A507" s="71">
        <v>499</v>
      </c>
      <c r="B507" s="72" t="s">
        <v>6996</v>
      </c>
      <c r="C507" s="56" t="s">
        <v>6997</v>
      </c>
      <c r="D507" s="57"/>
      <c r="E507" s="58">
        <v>1</v>
      </c>
      <c r="F507" s="58">
        <v>5</v>
      </c>
      <c r="G507" s="59">
        <v>37957</v>
      </c>
      <c r="H507" s="59">
        <v>37973</v>
      </c>
      <c r="I507" s="60">
        <v>5</v>
      </c>
      <c r="J507" s="58"/>
      <c r="K507" s="58" t="s">
        <v>5502</v>
      </c>
      <c r="L507" s="58"/>
      <c r="M507" s="58"/>
      <c r="N507" s="58"/>
      <c r="O507" s="58"/>
      <c r="P507" s="61">
        <f t="shared" si="7"/>
        <v>5</v>
      </c>
      <c r="Q507" s="62" t="s">
        <v>6998</v>
      </c>
      <c r="R507" s="73"/>
      <c r="S507" s="74"/>
    </row>
    <row r="508" spans="1:19" s="63" customFormat="1" ht="38.25" customHeight="1" x14ac:dyDescent="0.25">
      <c r="A508" s="71">
        <v>500</v>
      </c>
      <c r="B508" s="72" t="s">
        <v>6999</v>
      </c>
      <c r="C508" s="56" t="s">
        <v>7000</v>
      </c>
      <c r="D508" s="57"/>
      <c r="E508" s="58">
        <v>1</v>
      </c>
      <c r="F508" s="58">
        <v>5</v>
      </c>
      <c r="G508" s="59">
        <v>37838</v>
      </c>
      <c r="H508" s="59">
        <v>37854</v>
      </c>
      <c r="I508" s="60">
        <v>5</v>
      </c>
      <c r="J508" s="58"/>
      <c r="K508" s="58" t="s">
        <v>5502</v>
      </c>
      <c r="L508" s="58"/>
      <c r="M508" s="58"/>
      <c r="N508" s="58"/>
      <c r="O508" s="58"/>
      <c r="P508" s="61">
        <f t="shared" si="7"/>
        <v>5</v>
      </c>
      <c r="Q508" s="62" t="s">
        <v>7001</v>
      </c>
      <c r="R508" s="73"/>
      <c r="S508" s="74"/>
    </row>
    <row r="509" spans="1:19" s="63" customFormat="1" ht="45" x14ac:dyDescent="0.25">
      <c r="A509" s="71">
        <v>501</v>
      </c>
      <c r="B509" s="72" t="s">
        <v>7002</v>
      </c>
      <c r="C509" s="56" t="s">
        <v>7003</v>
      </c>
      <c r="D509" s="57"/>
      <c r="E509" s="58">
        <v>1</v>
      </c>
      <c r="F509" s="58">
        <v>5</v>
      </c>
      <c r="G509" s="59">
        <v>37838</v>
      </c>
      <c r="H509" s="59">
        <v>37854</v>
      </c>
      <c r="I509" s="60">
        <v>5</v>
      </c>
      <c r="J509" s="58"/>
      <c r="K509" s="58" t="s">
        <v>5502</v>
      </c>
      <c r="L509" s="58"/>
      <c r="M509" s="58"/>
      <c r="N509" s="58"/>
      <c r="O509" s="58"/>
      <c r="P509" s="61">
        <f t="shared" si="7"/>
        <v>5</v>
      </c>
      <c r="Q509" s="62" t="s">
        <v>7004</v>
      </c>
      <c r="R509" s="73"/>
      <c r="S509" s="74"/>
    </row>
    <row r="510" spans="1:19" s="63" customFormat="1" ht="33.75" x14ac:dyDescent="0.25">
      <c r="A510" s="71">
        <v>502</v>
      </c>
      <c r="B510" s="72" t="s">
        <v>7005</v>
      </c>
      <c r="C510" s="56" t="s">
        <v>7006</v>
      </c>
      <c r="D510" s="57"/>
      <c r="E510" s="58">
        <v>1</v>
      </c>
      <c r="F510" s="58">
        <v>1</v>
      </c>
      <c r="G510" s="59">
        <v>34484</v>
      </c>
      <c r="H510" s="59">
        <v>34536</v>
      </c>
      <c r="I510" s="60">
        <v>5</v>
      </c>
      <c r="J510" s="58"/>
      <c r="K510" s="58" t="s">
        <v>5502</v>
      </c>
      <c r="L510" s="58"/>
      <c r="M510" s="58"/>
      <c r="N510" s="58"/>
      <c r="O510" s="58"/>
      <c r="P510" s="61">
        <f t="shared" si="7"/>
        <v>1</v>
      </c>
      <c r="Q510" s="62" t="s">
        <v>7007</v>
      </c>
      <c r="R510" s="73"/>
      <c r="S510" s="74"/>
    </row>
    <row r="511" spans="1:19" s="63" customFormat="1" ht="33.75" x14ac:dyDescent="0.25">
      <c r="A511" s="71">
        <v>503</v>
      </c>
      <c r="B511" s="72" t="s">
        <v>7008</v>
      </c>
      <c r="C511" s="56" t="s">
        <v>7009</v>
      </c>
      <c r="D511" s="57"/>
      <c r="E511" s="58">
        <v>1</v>
      </c>
      <c r="F511" s="58">
        <v>6</v>
      </c>
      <c r="G511" s="59">
        <v>34782</v>
      </c>
      <c r="H511" s="59">
        <v>34809</v>
      </c>
      <c r="I511" s="60">
        <v>5</v>
      </c>
      <c r="J511" s="58"/>
      <c r="K511" s="58" t="s">
        <v>5502</v>
      </c>
      <c r="L511" s="58"/>
      <c r="M511" s="58"/>
      <c r="N511" s="58"/>
      <c r="O511" s="58"/>
      <c r="P511" s="61">
        <f t="shared" si="7"/>
        <v>6</v>
      </c>
      <c r="Q511" s="62" t="s">
        <v>7010</v>
      </c>
      <c r="R511" s="73"/>
      <c r="S511" s="74"/>
    </row>
    <row r="512" spans="1:19" s="63" customFormat="1" ht="33.75" x14ac:dyDescent="0.25">
      <c r="A512" s="71">
        <v>504</v>
      </c>
      <c r="B512" s="72" t="s">
        <v>7011</v>
      </c>
      <c r="C512" s="56" t="s">
        <v>7012</v>
      </c>
      <c r="D512" s="57"/>
      <c r="E512" s="58">
        <v>1</v>
      </c>
      <c r="F512" s="58">
        <v>1</v>
      </c>
      <c r="G512" s="59">
        <v>34484</v>
      </c>
      <c r="H512" s="59">
        <v>34536</v>
      </c>
      <c r="I512" s="60">
        <v>5</v>
      </c>
      <c r="J512" s="58"/>
      <c r="K512" s="58" t="s">
        <v>5502</v>
      </c>
      <c r="L512" s="58"/>
      <c r="M512" s="58"/>
      <c r="N512" s="58"/>
      <c r="O512" s="58"/>
      <c r="P512" s="61">
        <f t="shared" si="7"/>
        <v>1</v>
      </c>
      <c r="Q512" s="62" t="s">
        <v>7013</v>
      </c>
      <c r="R512" s="73"/>
      <c r="S512" s="74"/>
    </row>
    <row r="513" spans="1:19" s="63" customFormat="1" ht="33.75" x14ac:dyDescent="0.25">
      <c r="A513" s="71">
        <v>505</v>
      </c>
      <c r="B513" s="72" t="s">
        <v>7014</v>
      </c>
      <c r="C513" s="56" t="s">
        <v>7015</v>
      </c>
      <c r="D513" s="57"/>
      <c r="E513" s="58">
        <v>1</v>
      </c>
      <c r="F513" s="58">
        <v>6</v>
      </c>
      <c r="G513" s="59">
        <v>34948</v>
      </c>
      <c r="H513" s="59">
        <v>34963</v>
      </c>
      <c r="I513" s="60">
        <v>5</v>
      </c>
      <c r="J513" s="58"/>
      <c r="K513" s="58" t="s">
        <v>5502</v>
      </c>
      <c r="L513" s="58"/>
      <c r="M513" s="58"/>
      <c r="N513" s="58"/>
      <c r="O513" s="58"/>
      <c r="P513" s="61">
        <f t="shared" si="7"/>
        <v>6</v>
      </c>
      <c r="Q513" s="62" t="s">
        <v>7016</v>
      </c>
      <c r="R513" s="73"/>
      <c r="S513" s="74"/>
    </row>
    <row r="514" spans="1:19" s="63" customFormat="1" ht="33.75" x14ac:dyDescent="0.25">
      <c r="A514" s="71">
        <v>506</v>
      </c>
      <c r="B514" s="72" t="s">
        <v>7017</v>
      </c>
      <c r="C514" s="56" t="s">
        <v>7018</v>
      </c>
      <c r="D514" s="57"/>
      <c r="E514" s="58">
        <v>1</v>
      </c>
      <c r="F514" s="58">
        <v>1</v>
      </c>
      <c r="G514" s="59">
        <v>34589</v>
      </c>
      <c r="H514" s="59">
        <v>34606</v>
      </c>
      <c r="I514" s="60">
        <v>5</v>
      </c>
      <c r="J514" s="58"/>
      <c r="K514" s="58" t="s">
        <v>5502</v>
      </c>
      <c r="L514" s="58"/>
      <c r="M514" s="58"/>
      <c r="N514" s="58"/>
      <c r="O514" s="58"/>
      <c r="P514" s="61">
        <f t="shared" si="7"/>
        <v>1</v>
      </c>
      <c r="Q514" s="62" t="s">
        <v>7019</v>
      </c>
      <c r="R514" s="73"/>
      <c r="S514" s="74"/>
    </row>
    <row r="515" spans="1:19" s="63" customFormat="1" ht="33.75" x14ac:dyDescent="0.25">
      <c r="A515" s="71">
        <v>507</v>
      </c>
      <c r="B515" s="72" t="s">
        <v>7020</v>
      </c>
      <c r="C515" s="56" t="s">
        <v>7021</v>
      </c>
      <c r="D515" s="57"/>
      <c r="E515" s="58">
        <v>1</v>
      </c>
      <c r="F515" s="58">
        <v>8</v>
      </c>
      <c r="G515" s="59">
        <v>34750</v>
      </c>
      <c r="H515" s="59">
        <v>34809</v>
      </c>
      <c r="I515" s="60">
        <v>5</v>
      </c>
      <c r="J515" s="58"/>
      <c r="K515" s="58" t="s">
        <v>5502</v>
      </c>
      <c r="L515" s="58"/>
      <c r="M515" s="58"/>
      <c r="N515" s="58"/>
      <c r="O515" s="58"/>
      <c r="P515" s="61">
        <f t="shared" si="7"/>
        <v>8</v>
      </c>
      <c r="Q515" s="62" t="s">
        <v>7022</v>
      </c>
      <c r="R515" s="73"/>
      <c r="S515" s="74"/>
    </row>
    <row r="516" spans="1:19" s="63" customFormat="1" ht="39" customHeight="1" x14ac:dyDescent="0.25">
      <c r="A516" s="71">
        <v>508</v>
      </c>
      <c r="B516" s="72" t="s">
        <v>7023</v>
      </c>
      <c r="C516" s="56" t="s">
        <v>7024</v>
      </c>
      <c r="D516" s="57"/>
      <c r="E516" s="58">
        <v>1</v>
      </c>
      <c r="F516" s="58">
        <v>8</v>
      </c>
      <c r="G516" s="59">
        <v>34948</v>
      </c>
      <c r="H516" s="59">
        <v>34963</v>
      </c>
      <c r="I516" s="60">
        <v>5</v>
      </c>
      <c r="J516" s="58"/>
      <c r="K516" s="58" t="s">
        <v>5502</v>
      </c>
      <c r="L516" s="58"/>
      <c r="M516" s="58"/>
      <c r="N516" s="58"/>
      <c r="O516" s="58"/>
      <c r="P516" s="61">
        <f t="shared" si="7"/>
        <v>8</v>
      </c>
      <c r="Q516" s="62" t="s">
        <v>7025</v>
      </c>
      <c r="R516" s="73"/>
      <c r="S516" s="74"/>
    </row>
    <row r="517" spans="1:19" s="63" customFormat="1" ht="33.75" x14ac:dyDescent="0.25">
      <c r="A517" s="71">
        <v>509</v>
      </c>
      <c r="B517" s="72" t="s">
        <v>7026</v>
      </c>
      <c r="C517" s="56" t="s">
        <v>7027</v>
      </c>
      <c r="D517" s="57"/>
      <c r="E517" s="58">
        <v>1</v>
      </c>
      <c r="F517" s="58">
        <v>1</v>
      </c>
      <c r="G517" s="59">
        <v>34589</v>
      </c>
      <c r="H517" s="59">
        <v>34606</v>
      </c>
      <c r="I517" s="60">
        <v>5</v>
      </c>
      <c r="J517" s="58"/>
      <c r="K517" s="58" t="s">
        <v>5502</v>
      </c>
      <c r="L517" s="58"/>
      <c r="M517" s="58"/>
      <c r="N517" s="58"/>
      <c r="O517" s="58"/>
      <c r="P517" s="61">
        <f t="shared" si="7"/>
        <v>1</v>
      </c>
      <c r="Q517" s="62" t="s">
        <v>7028</v>
      </c>
      <c r="R517" s="73"/>
      <c r="S517" s="74"/>
    </row>
    <row r="518" spans="1:19" s="63" customFormat="1" ht="39.75" customHeight="1" x14ac:dyDescent="0.25">
      <c r="A518" s="71">
        <v>510</v>
      </c>
      <c r="B518" s="72" t="s">
        <v>7029</v>
      </c>
      <c r="C518" s="56" t="s">
        <v>7030</v>
      </c>
      <c r="D518" s="57"/>
      <c r="E518" s="58">
        <v>1</v>
      </c>
      <c r="F518" s="58">
        <v>5</v>
      </c>
      <c r="G518" s="59">
        <v>34750</v>
      </c>
      <c r="H518" s="59">
        <v>34809</v>
      </c>
      <c r="I518" s="60">
        <v>5</v>
      </c>
      <c r="J518" s="58"/>
      <c r="K518" s="58" t="s">
        <v>5502</v>
      </c>
      <c r="L518" s="58"/>
      <c r="M518" s="58"/>
      <c r="N518" s="58"/>
      <c r="O518" s="58"/>
      <c r="P518" s="61">
        <f t="shared" si="7"/>
        <v>5</v>
      </c>
      <c r="Q518" s="62" t="s">
        <v>7031</v>
      </c>
      <c r="R518" s="73"/>
      <c r="S518" s="74"/>
    </row>
    <row r="519" spans="1:19" s="63" customFormat="1" ht="33.75" x14ac:dyDescent="0.25">
      <c r="A519" s="71">
        <v>511</v>
      </c>
      <c r="B519" s="72" t="s">
        <v>7032</v>
      </c>
      <c r="C519" s="56" t="s">
        <v>7033</v>
      </c>
      <c r="D519" s="57"/>
      <c r="E519" s="58">
        <v>1</v>
      </c>
      <c r="F519" s="58">
        <v>6</v>
      </c>
      <c r="G519" s="59">
        <v>35474</v>
      </c>
      <c r="H519" s="59">
        <v>35537</v>
      </c>
      <c r="I519" s="60">
        <v>5</v>
      </c>
      <c r="J519" s="58"/>
      <c r="K519" s="58" t="s">
        <v>5502</v>
      </c>
      <c r="L519" s="58"/>
      <c r="M519" s="58"/>
      <c r="N519" s="58"/>
      <c r="O519" s="58"/>
      <c r="P519" s="61">
        <f t="shared" si="7"/>
        <v>6</v>
      </c>
      <c r="Q519" s="62" t="s">
        <v>7034</v>
      </c>
      <c r="R519" s="73"/>
      <c r="S519" s="74"/>
    </row>
    <row r="520" spans="1:19" s="63" customFormat="1" ht="56.25" x14ac:dyDescent="0.25">
      <c r="A520" s="71">
        <v>512</v>
      </c>
      <c r="B520" s="72" t="s">
        <v>7035</v>
      </c>
      <c r="C520" s="56" t="s">
        <v>7036</v>
      </c>
      <c r="D520" s="57"/>
      <c r="E520" s="58">
        <v>1</v>
      </c>
      <c r="F520" s="58">
        <v>5</v>
      </c>
      <c r="G520" s="59">
        <v>35558</v>
      </c>
      <c r="H520" s="59">
        <v>35569</v>
      </c>
      <c r="I520" s="60">
        <v>7</v>
      </c>
      <c r="J520" s="58"/>
      <c r="K520" s="58" t="s">
        <v>5502</v>
      </c>
      <c r="L520" s="58"/>
      <c r="M520" s="58"/>
      <c r="N520" s="58"/>
      <c r="O520" s="58"/>
      <c r="P520" s="61">
        <f t="shared" si="7"/>
        <v>5</v>
      </c>
      <c r="Q520" s="62" t="s">
        <v>7037</v>
      </c>
      <c r="R520" s="73"/>
      <c r="S520" s="74"/>
    </row>
    <row r="521" spans="1:19" s="63" customFormat="1" ht="56.25" x14ac:dyDescent="0.25">
      <c r="A521" s="71">
        <v>513</v>
      </c>
      <c r="B521" s="72" t="s">
        <v>7038</v>
      </c>
      <c r="C521" s="56" t="s">
        <v>7039</v>
      </c>
      <c r="D521" s="57"/>
      <c r="E521" s="58">
        <v>1</v>
      </c>
      <c r="F521" s="58">
        <v>5</v>
      </c>
      <c r="G521" s="59">
        <v>37651</v>
      </c>
      <c r="H521" s="59">
        <v>37679</v>
      </c>
      <c r="I521" s="60">
        <v>8</v>
      </c>
      <c r="J521" s="58"/>
      <c r="K521" s="58" t="s">
        <v>5502</v>
      </c>
      <c r="L521" s="58"/>
      <c r="M521" s="58"/>
      <c r="N521" s="58"/>
      <c r="O521" s="58"/>
      <c r="P521" s="61">
        <f t="shared" ref="P521:P584" si="8">IF(F521="","",IF(ISERR(F521-E521)=TRUE,"",F521-E521+1))</f>
        <v>5</v>
      </c>
      <c r="Q521" s="62" t="s">
        <v>7040</v>
      </c>
      <c r="R521" s="73"/>
      <c r="S521" s="74"/>
    </row>
    <row r="522" spans="1:19" s="63" customFormat="1" ht="56.25" x14ac:dyDescent="0.25">
      <c r="A522" s="71">
        <v>514</v>
      </c>
      <c r="B522" s="72" t="s">
        <v>7041</v>
      </c>
      <c r="C522" s="56" t="s">
        <v>7042</v>
      </c>
      <c r="D522" s="57"/>
      <c r="E522" s="58">
        <v>1</v>
      </c>
      <c r="F522" s="58">
        <v>7</v>
      </c>
      <c r="G522" s="59">
        <v>37699</v>
      </c>
      <c r="H522" s="59">
        <v>37735</v>
      </c>
      <c r="I522" s="60">
        <v>8</v>
      </c>
      <c r="J522" s="58"/>
      <c r="K522" s="58" t="s">
        <v>5502</v>
      </c>
      <c r="L522" s="58"/>
      <c r="M522" s="58"/>
      <c r="N522" s="58"/>
      <c r="O522" s="58"/>
      <c r="P522" s="61">
        <f t="shared" si="8"/>
        <v>7</v>
      </c>
      <c r="Q522" s="62" t="s">
        <v>7043</v>
      </c>
      <c r="R522" s="73"/>
      <c r="S522" s="74"/>
    </row>
    <row r="523" spans="1:19" s="63" customFormat="1" ht="56.25" x14ac:dyDescent="0.25">
      <c r="A523" s="71">
        <v>515</v>
      </c>
      <c r="B523" s="72" t="s">
        <v>7044</v>
      </c>
      <c r="C523" s="56" t="s">
        <v>7045</v>
      </c>
      <c r="D523" s="57"/>
      <c r="E523" s="58">
        <v>1</v>
      </c>
      <c r="F523" s="58">
        <v>6</v>
      </c>
      <c r="G523" s="59">
        <v>37833</v>
      </c>
      <c r="H523" s="59">
        <v>37854</v>
      </c>
      <c r="I523" s="60">
        <v>8</v>
      </c>
      <c r="J523" s="58"/>
      <c r="K523" s="58" t="s">
        <v>5502</v>
      </c>
      <c r="L523" s="58"/>
      <c r="M523" s="58"/>
      <c r="N523" s="58"/>
      <c r="O523" s="58"/>
      <c r="P523" s="61">
        <f t="shared" si="8"/>
        <v>6</v>
      </c>
      <c r="Q523" s="62" t="s">
        <v>7046</v>
      </c>
      <c r="R523" s="73"/>
      <c r="S523" s="74"/>
    </row>
    <row r="524" spans="1:19" s="63" customFormat="1" ht="56.25" x14ac:dyDescent="0.25">
      <c r="A524" s="71">
        <v>516</v>
      </c>
      <c r="B524" s="72" t="s">
        <v>7047</v>
      </c>
      <c r="C524" s="56" t="s">
        <v>7048</v>
      </c>
      <c r="D524" s="57"/>
      <c r="E524" s="58">
        <v>1</v>
      </c>
      <c r="F524" s="58">
        <v>6</v>
      </c>
      <c r="G524" s="59">
        <v>37965</v>
      </c>
      <c r="H524" s="59">
        <v>37973</v>
      </c>
      <c r="I524" s="60">
        <v>8</v>
      </c>
      <c r="J524" s="58"/>
      <c r="K524" s="58" t="s">
        <v>5502</v>
      </c>
      <c r="L524" s="58"/>
      <c r="M524" s="58"/>
      <c r="N524" s="58"/>
      <c r="O524" s="58"/>
      <c r="P524" s="61">
        <f t="shared" si="8"/>
        <v>6</v>
      </c>
      <c r="Q524" s="62" t="s">
        <v>7049</v>
      </c>
      <c r="R524" s="73"/>
      <c r="S524" s="74"/>
    </row>
    <row r="525" spans="1:19" s="63" customFormat="1" ht="56.25" x14ac:dyDescent="0.25">
      <c r="A525" s="71">
        <v>517</v>
      </c>
      <c r="B525" s="72" t="s">
        <v>7050</v>
      </c>
      <c r="C525" s="56" t="s">
        <v>7051</v>
      </c>
      <c r="D525" s="57"/>
      <c r="E525" s="58">
        <v>1</v>
      </c>
      <c r="F525" s="58">
        <v>6</v>
      </c>
      <c r="G525" s="59">
        <v>37965</v>
      </c>
      <c r="H525" s="59">
        <v>37973</v>
      </c>
      <c r="I525" s="60">
        <v>8</v>
      </c>
      <c r="J525" s="58"/>
      <c r="K525" s="58" t="s">
        <v>5502</v>
      </c>
      <c r="L525" s="58"/>
      <c r="M525" s="58"/>
      <c r="N525" s="58"/>
      <c r="O525" s="58"/>
      <c r="P525" s="61">
        <f t="shared" si="8"/>
        <v>6</v>
      </c>
      <c r="Q525" s="62" t="s">
        <v>7052</v>
      </c>
      <c r="R525" s="73"/>
      <c r="S525" s="74"/>
    </row>
    <row r="526" spans="1:19" s="63" customFormat="1" ht="56.25" x14ac:dyDescent="0.25">
      <c r="A526" s="71">
        <v>518</v>
      </c>
      <c r="B526" s="72" t="s">
        <v>7053</v>
      </c>
      <c r="C526" s="56" t="s">
        <v>7054</v>
      </c>
      <c r="D526" s="57"/>
      <c r="E526" s="58">
        <v>1</v>
      </c>
      <c r="F526" s="58">
        <v>7</v>
      </c>
      <c r="G526" s="59">
        <v>38022</v>
      </c>
      <c r="H526" s="59">
        <v>38036</v>
      </c>
      <c r="I526" s="60">
        <v>8</v>
      </c>
      <c r="J526" s="58"/>
      <c r="K526" s="58" t="s">
        <v>5502</v>
      </c>
      <c r="L526" s="58"/>
      <c r="M526" s="58"/>
      <c r="N526" s="58"/>
      <c r="O526" s="58"/>
      <c r="P526" s="61">
        <f t="shared" si="8"/>
        <v>7</v>
      </c>
      <c r="Q526" s="62" t="s">
        <v>7055</v>
      </c>
      <c r="R526" s="73"/>
      <c r="S526" s="74"/>
    </row>
    <row r="527" spans="1:19" s="63" customFormat="1" ht="56.25" x14ac:dyDescent="0.25">
      <c r="A527" s="71">
        <v>519</v>
      </c>
      <c r="B527" s="72" t="s">
        <v>7056</v>
      </c>
      <c r="C527" s="56" t="s">
        <v>7057</v>
      </c>
      <c r="D527" s="57"/>
      <c r="E527" s="58">
        <v>1</v>
      </c>
      <c r="F527" s="58">
        <v>5</v>
      </c>
      <c r="G527" s="59">
        <v>38209</v>
      </c>
      <c r="H527" s="59">
        <v>38218</v>
      </c>
      <c r="I527" s="60">
        <v>8</v>
      </c>
      <c r="J527" s="58"/>
      <c r="K527" s="58" t="s">
        <v>5502</v>
      </c>
      <c r="L527" s="58"/>
      <c r="M527" s="58"/>
      <c r="N527" s="58"/>
      <c r="O527" s="58"/>
      <c r="P527" s="61">
        <f t="shared" si="8"/>
        <v>5</v>
      </c>
      <c r="Q527" s="62" t="s">
        <v>7058</v>
      </c>
      <c r="R527" s="73"/>
      <c r="S527" s="74"/>
    </row>
    <row r="528" spans="1:19" s="63" customFormat="1" ht="56.25" x14ac:dyDescent="0.25">
      <c r="A528" s="71">
        <v>520</v>
      </c>
      <c r="B528" s="72" t="s">
        <v>7059</v>
      </c>
      <c r="C528" s="56" t="s">
        <v>7060</v>
      </c>
      <c r="D528" s="57"/>
      <c r="E528" s="58">
        <v>1</v>
      </c>
      <c r="F528" s="58">
        <v>5</v>
      </c>
      <c r="G528" s="59">
        <v>38300</v>
      </c>
      <c r="H528" s="59">
        <v>38309</v>
      </c>
      <c r="I528" s="60">
        <v>8</v>
      </c>
      <c r="J528" s="58"/>
      <c r="K528" s="58" t="s">
        <v>5502</v>
      </c>
      <c r="L528" s="58"/>
      <c r="M528" s="58"/>
      <c r="N528" s="58"/>
      <c r="O528" s="58"/>
      <c r="P528" s="61">
        <f t="shared" si="8"/>
        <v>5</v>
      </c>
      <c r="Q528" s="62" t="s">
        <v>7061</v>
      </c>
      <c r="R528" s="73"/>
      <c r="S528" s="74"/>
    </row>
    <row r="529" spans="1:19" s="63" customFormat="1" ht="56.25" x14ac:dyDescent="0.25">
      <c r="A529" s="71">
        <v>521</v>
      </c>
      <c r="B529" s="72" t="s">
        <v>7062</v>
      </c>
      <c r="C529" s="56" t="s">
        <v>7063</v>
      </c>
      <c r="D529" s="57"/>
      <c r="E529" s="58">
        <v>1</v>
      </c>
      <c r="F529" s="58">
        <v>5</v>
      </c>
      <c r="G529" s="59">
        <v>38448</v>
      </c>
      <c r="H529" s="59">
        <v>38463</v>
      </c>
      <c r="I529" s="60">
        <v>8</v>
      </c>
      <c r="J529" s="58"/>
      <c r="K529" s="58" t="s">
        <v>5502</v>
      </c>
      <c r="L529" s="58"/>
      <c r="M529" s="58"/>
      <c r="N529" s="58"/>
      <c r="O529" s="58"/>
      <c r="P529" s="61">
        <f t="shared" si="8"/>
        <v>5</v>
      </c>
      <c r="Q529" s="62" t="s">
        <v>7064</v>
      </c>
      <c r="R529" s="73"/>
      <c r="S529" s="74"/>
    </row>
    <row r="530" spans="1:19" s="63" customFormat="1" ht="56.25" x14ac:dyDescent="0.25">
      <c r="A530" s="71">
        <v>522</v>
      </c>
      <c r="B530" s="72" t="s">
        <v>7065</v>
      </c>
      <c r="C530" s="56" t="s">
        <v>7066</v>
      </c>
      <c r="D530" s="57"/>
      <c r="E530" s="58">
        <v>1</v>
      </c>
      <c r="F530" s="58">
        <v>5</v>
      </c>
      <c r="G530" s="59">
        <v>38504</v>
      </c>
      <c r="H530" s="59">
        <v>38519</v>
      </c>
      <c r="I530" s="60">
        <v>8</v>
      </c>
      <c r="J530" s="58"/>
      <c r="K530" s="58" t="s">
        <v>5502</v>
      </c>
      <c r="L530" s="58"/>
      <c r="M530" s="58"/>
      <c r="N530" s="58"/>
      <c r="O530" s="58"/>
      <c r="P530" s="61">
        <f t="shared" si="8"/>
        <v>5</v>
      </c>
      <c r="Q530" s="62" t="s">
        <v>7067</v>
      </c>
      <c r="R530" s="73"/>
      <c r="S530" s="74"/>
    </row>
    <row r="531" spans="1:19" s="63" customFormat="1" ht="56.25" x14ac:dyDescent="0.25">
      <c r="A531" s="71">
        <v>523</v>
      </c>
      <c r="B531" s="72" t="s">
        <v>7068</v>
      </c>
      <c r="C531" s="56" t="s">
        <v>7069</v>
      </c>
      <c r="D531" s="57"/>
      <c r="E531" s="58">
        <v>1</v>
      </c>
      <c r="F531" s="58">
        <v>5</v>
      </c>
      <c r="G531" s="59">
        <v>38659</v>
      </c>
      <c r="H531" s="59">
        <v>38673</v>
      </c>
      <c r="I531" s="60">
        <v>8</v>
      </c>
      <c r="J531" s="58"/>
      <c r="K531" s="58" t="s">
        <v>5502</v>
      </c>
      <c r="L531" s="58"/>
      <c r="M531" s="58"/>
      <c r="N531" s="58"/>
      <c r="O531" s="58"/>
      <c r="P531" s="61">
        <f t="shared" si="8"/>
        <v>5</v>
      </c>
      <c r="Q531" s="62" t="s">
        <v>7070</v>
      </c>
      <c r="R531" s="73"/>
      <c r="S531" s="74"/>
    </row>
    <row r="532" spans="1:19" s="63" customFormat="1" ht="56.25" x14ac:dyDescent="0.25">
      <c r="A532" s="71">
        <v>524</v>
      </c>
      <c r="B532" s="72" t="s">
        <v>7071</v>
      </c>
      <c r="C532" s="56" t="s">
        <v>7072</v>
      </c>
      <c r="D532" s="57"/>
      <c r="E532" s="58">
        <v>1</v>
      </c>
      <c r="F532" s="58">
        <v>5</v>
      </c>
      <c r="G532" s="59">
        <v>38755</v>
      </c>
      <c r="H532" s="59">
        <v>38764</v>
      </c>
      <c r="I532" s="60">
        <v>8</v>
      </c>
      <c r="J532" s="58"/>
      <c r="K532" s="58" t="s">
        <v>5502</v>
      </c>
      <c r="L532" s="58"/>
      <c r="M532" s="58"/>
      <c r="N532" s="58"/>
      <c r="O532" s="58"/>
      <c r="P532" s="61">
        <f t="shared" si="8"/>
        <v>5</v>
      </c>
      <c r="Q532" s="62" t="s">
        <v>7073</v>
      </c>
      <c r="R532" s="73"/>
      <c r="S532" s="74"/>
    </row>
    <row r="533" spans="1:19" s="63" customFormat="1" ht="56.25" x14ac:dyDescent="0.25">
      <c r="A533" s="71">
        <v>525</v>
      </c>
      <c r="B533" s="72" t="s">
        <v>7074</v>
      </c>
      <c r="C533" s="56" t="s">
        <v>7075</v>
      </c>
      <c r="D533" s="57"/>
      <c r="E533" s="58">
        <v>1</v>
      </c>
      <c r="F533" s="58">
        <v>5</v>
      </c>
      <c r="G533" s="59">
        <v>38755</v>
      </c>
      <c r="H533" s="59">
        <v>38764</v>
      </c>
      <c r="I533" s="60">
        <v>8</v>
      </c>
      <c r="J533" s="58"/>
      <c r="K533" s="58" t="s">
        <v>5502</v>
      </c>
      <c r="L533" s="58"/>
      <c r="M533" s="58"/>
      <c r="N533" s="58"/>
      <c r="O533" s="58"/>
      <c r="P533" s="61">
        <f t="shared" si="8"/>
        <v>5</v>
      </c>
      <c r="Q533" s="62" t="s">
        <v>7076</v>
      </c>
      <c r="R533" s="73"/>
      <c r="S533" s="74"/>
    </row>
    <row r="534" spans="1:19" s="63" customFormat="1" ht="56.25" x14ac:dyDescent="0.25">
      <c r="A534" s="71">
        <v>526</v>
      </c>
      <c r="B534" s="72" t="s">
        <v>7077</v>
      </c>
      <c r="C534" s="56" t="s">
        <v>7078</v>
      </c>
      <c r="D534" s="57"/>
      <c r="E534" s="58">
        <v>1</v>
      </c>
      <c r="F534" s="58">
        <v>5</v>
      </c>
      <c r="G534" s="59">
        <v>38782</v>
      </c>
      <c r="H534" s="59">
        <v>38798</v>
      </c>
      <c r="I534" s="60">
        <v>8</v>
      </c>
      <c r="J534" s="58"/>
      <c r="K534" s="58" t="s">
        <v>5502</v>
      </c>
      <c r="L534" s="58"/>
      <c r="M534" s="58"/>
      <c r="N534" s="58"/>
      <c r="O534" s="58"/>
      <c r="P534" s="61">
        <f t="shared" si="8"/>
        <v>5</v>
      </c>
      <c r="Q534" s="62" t="s">
        <v>7079</v>
      </c>
      <c r="R534" s="73"/>
      <c r="S534" s="74"/>
    </row>
    <row r="535" spans="1:19" s="63" customFormat="1" ht="48" customHeight="1" x14ac:dyDescent="0.25">
      <c r="A535" s="71">
        <v>527</v>
      </c>
      <c r="B535" s="72" t="s">
        <v>7080</v>
      </c>
      <c r="C535" s="56" t="s">
        <v>7081</v>
      </c>
      <c r="D535" s="57"/>
      <c r="E535" s="58">
        <v>1</v>
      </c>
      <c r="F535" s="58">
        <v>6</v>
      </c>
      <c r="G535" s="59">
        <v>38931</v>
      </c>
      <c r="H535" s="59">
        <v>38946</v>
      </c>
      <c r="I535" s="60">
        <v>8</v>
      </c>
      <c r="J535" s="58"/>
      <c r="K535" s="58" t="s">
        <v>5502</v>
      </c>
      <c r="L535" s="58"/>
      <c r="M535" s="58"/>
      <c r="N535" s="58"/>
      <c r="O535" s="58"/>
      <c r="P535" s="61">
        <f t="shared" si="8"/>
        <v>6</v>
      </c>
      <c r="Q535" s="62" t="s">
        <v>7082</v>
      </c>
      <c r="R535" s="73"/>
      <c r="S535" s="74"/>
    </row>
    <row r="536" spans="1:19" s="63" customFormat="1" ht="56.25" x14ac:dyDescent="0.25">
      <c r="A536" s="71">
        <v>528</v>
      </c>
      <c r="B536" s="72" t="s">
        <v>7083</v>
      </c>
      <c r="C536" s="56" t="s">
        <v>7084</v>
      </c>
      <c r="D536" s="57"/>
      <c r="E536" s="58">
        <v>1</v>
      </c>
      <c r="F536" s="58">
        <v>5</v>
      </c>
      <c r="G536" s="59">
        <v>39093</v>
      </c>
      <c r="H536" s="59">
        <v>39107</v>
      </c>
      <c r="I536" s="60">
        <v>8</v>
      </c>
      <c r="J536" s="58"/>
      <c r="K536" s="58" t="s">
        <v>5502</v>
      </c>
      <c r="L536" s="58"/>
      <c r="M536" s="58"/>
      <c r="N536" s="58"/>
      <c r="O536" s="58"/>
      <c r="P536" s="61">
        <f t="shared" si="8"/>
        <v>5</v>
      </c>
      <c r="Q536" s="62" t="s">
        <v>7085</v>
      </c>
      <c r="R536" s="73"/>
      <c r="S536" s="74"/>
    </row>
    <row r="537" spans="1:19" s="63" customFormat="1" ht="56.25" x14ac:dyDescent="0.25">
      <c r="A537" s="71">
        <v>529</v>
      </c>
      <c r="B537" s="72" t="s">
        <v>7086</v>
      </c>
      <c r="C537" s="56" t="s">
        <v>7087</v>
      </c>
      <c r="D537" s="57"/>
      <c r="E537" s="58">
        <v>1</v>
      </c>
      <c r="F537" s="58">
        <v>5</v>
      </c>
      <c r="G537" s="59">
        <v>39119</v>
      </c>
      <c r="H537" s="59">
        <v>39128</v>
      </c>
      <c r="I537" s="60">
        <v>8</v>
      </c>
      <c r="J537" s="58"/>
      <c r="K537" s="58" t="s">
        <v>5502</v>
      </c>
      <c r="L537" s="58"/>
      <c r="M537" s="58"/>
      <c r="N537" s="58"/>
      <c r="O537" s="58"/>
      <c r="P537" s="61">
        <f t="shared" si="8"/>
        <v>5</v>
      </c>
      <c r="Q537" s="62" t="s">
        <v>7088</v>
      </c>
      <c r="R537" s="73"/>
      <c r="S537" s="74"/>
    </row>
    <row r="538" spans="1:19" s="63" customFormat="1" ht="47.25" customHeight="1" x14ac:dyDescent="0.25">
      <c r="A538" s="71">
        <v>530</v>
      </c>
      <c r="B538" s="72" t="s">
        <v>7089</v>
      </c>
      <c r="C538" s="56" t="s">
        <v>7090</v>
      </c>
      <c r="D538" s="57"/>
      <c r="E538" s="58">
        <v>1</v>
      </c>
      <c r="F538" s="58">
        <v>5</v>
      </c>
      <c r="G538" s="59">
        <v>39324</v>
      </c>
      <c r="H538" s="59">
        <v>39337</v>
      </c>
      <c r="I538" s="60">
        <v>8</v>
      </c>
      <c r="J538" s="58"/>
      <c r="K538" s="58" t="s">
        <v>5502</v>
      </c>
      <c r="L538" s="58"/>
      <c r="M538" s="58"/>
      <c r="N538" s="58"/>
      <c r="O538" s="58"/>
      <c r="P538" s="61">
        <f t="shared" si="8"/>
        <v>5</v>
      </c>
      <c r="Q538" s="62" t="s">
        <v>7091</v>
      </c>
      <c r="R538" s="73"/>
      <c r="S538" s="74"/>
    </row>
    <row r="539" spans="1:19" s="63" customFormat="1" ht="56.25" x14ac:dyDescent="0.25">
      <c r="A539" s="71">
        <v>531</v>
      </c>
      <c r="B539" s="72" t="s">
        <v>7092</v>
      </c>
      <c r="C539" s="56" t="s">
        <v>7093</v>
      </c>
      <c r="D539" s="57"/>
      <c r="E539" s="58">
        <v>1</v>
      </c>
      <c r="F539" s="58">
        <v>5</v>
      </c>
      <c r="G539" s="59">
        <v>39484</v>
      </c>
      <c r="H539" s="59">
        <v>39499</v>
      </c>
      <c r="I539" s="60">
        <v>8</v>
      </c>
      <c r="J539" s="58"/>
      <c r="K539" s="58" t="s">
        <v>5502</v>
      </c>
      <c r="L539" s="58"/>
      <c r="M539" s="58"/>
      <c r="N539" s="58"/>
      <c r="O539" s="58"/>
      <c r="P539" s="61">
        <f t="shared" si="8"/>
        <v>5</v>
      </c>
      <c r="Q539" s="62" t="s">
        <v>7094</v>
      </c>
      <c r="R539" s="73"/>
      <c r="S539" s="74"/>
    </row>
    <row r="540" spans="1:19" s="63" customFormat="1" ht="46.5" customHeight="1" x14ac:dyDescent="0.25">
      <c r="A540" s="71">
        <v>532</v>
      </c>
      <c r="B540" s="72" t="s">
        <v>7095</v>
      </c>
      <c r="C540" s="56" t="s">
        <v>7096</v>
      </c>
      <c r="D540" s="57"/>
      <c r="E540" s="58">
        <v>1</v>
      </c>
      <c r="F540" s="58">
        <v>5</v>
      </c>
      <c r="G540" s="59">
        <v>39484</v>
      </c>
      <c r="H540" s="59">
        <v>39499</v>
      </c>
      <c r="I540" s="60">
        <v>8</v>
      </c>
      <c r="J540" s="58"/>
      <c r="K540" s="58" t="s">
        <v>5502</v>
      </c>
      <c r="L540" s="58"/>
      <c r="M540" s="58"/>
      <c r="N540" s="58"/>
      <c r="O540" s="58"/>
      <c r="P540" s="61">
        <f t="shared" si="8"/>
        <v>5</v>
      </c>
      <c r="Q540" s="62" t="s">
        <v>7097</v>
      </c>
      <c r="R540" s="73"/>
      <c r="S540" s="74"/>
    </row>
    <row r="541" spans="1:19" s="63" customFormat="1" ht="46.5" customHeight="1" x14ac:dyDescent="0.25">
      <c r="A541" s="71">
        <v>533</v>
      </c>
      <c r="B541" s="72" t="s">
        <v>7098</v>
      </c>
      <c r="C541" s="56" t="s">
        <v>7099</v>
      </c>
      <c r="D541" s="57"/>
      <c r="E541" s="58">
        <v>1</v>
      </c>
      <c r="F541" s="58">
        <v>5</v>
      </c>
      <c r="G541" s="59">
        <v>39603</v>
      </c>
      <c r="H541" s="59">
        <v>39618</v>
      </c>
      <c r="I541" s="60">
        <v>8</v>
      </c>
      <c r="J541" s="58"/>
      <c r="K541" s="58" t="s">
        <v>5502</v>
      </c>
      <c r="L541" s="58"/>
      <c r="M541" s="58"/>
      <c r="N541" s="58"/>
      <c r="O541" s="58"/>
      <c r="P541" s="61">
        <f t="shared" si="8"/>
        <v>5</v>
      </c>
      <c r="Q541" s="62" t="s">
        <v>7100</v>
      </c>
      <c r="R541" s="73"/>
      <c r="S541" s="74"/>
    </row>
    <row r="542" spans="1:19" s="63" customFormat="1" ht="56.25" x14ac:dyDescent="0.25">
      <c r="A542" s="71">
        <v>534</v>
      </c>
      <c r="B542" s="72" t="s">
        <v>7101</v>
      </c>
      <c r="C542" s="56" t="s">
        <v>7102</v>
      </c>
      <c r="D542" s="57"/>
      <c r="E542" s="58">
        <v>1</v>
      </c>
      <c r="F542" s="58">
        <v>5</v>
      </c>
      <c r="G542" s="59">
        <v>39603</v>
      </c>
      <c r="H542" s="59">
        <v>39618</v>
      </c>
      <c r="I542" s="60">
        <v>8</v>
      </c>
      <c r="J542" s="58"/>
      <c r="K542" s="58" t="s">
        <v>5502</v>
      </c>
      <c r="L542" s="58"/>
      <c r="M542" s="58"/>
      <c r="N542" s="58"/>
      <c r="O542" s="58"/>
      <c r="P542" s="61">
        <f t="shared" si="8"/>
        <v>5</v>
      </c>
      <c r="Q542" s="62" t="s">
        <v>7103</v>
      </c>
      <c r="R542" s="73"/>
      <c r="S542" s="74"/>
    </row>
    <row r="543" spans="1:19" s="63" customFormat="1" ht="47.25" customHeight="1" x14ac:dyDescent="0.25">
      <c r="A543" s="71">
        <v>535</v>
      </c>
      <c r="B543" s="72" t="s">
        <v>7104</v>
      </c>
      <c r="C543" s="56" t="s">
        <v>7105</v>
      </c>
      <c r="D543" s="57"/>
      <c r="E543" s="58">
        <v>1</v>
      </c>
      <c r="F543" s="58">
        <v>5</v>
      </c>
      <c r="G543" s="59">
        <v>40605</v>
      </c>
      <c r="H543" s="59">
        <v>40619</v>
      </c>
      <c r="I543" s="60">
        <v>8</v>
      </c>
      <c r="J543" s="58"/>
      <c r="K543" s="58" t="s">
        <v>5502</v>
      </c>
      <c r="L543" s="58"/>
      <c r="M543" s="58"/>
      <c r="N543" s="58"/>
      <c r="O543" s="58"/>
      <c r="P543" s="61">
        <f t="shared" si="8"/>
        <v>5</v>
      </c>
      <c r="Q543" s="62" t="s">
        <v>7106</v>
      </c>
      <c r="R543" s="73"/>
      <c r="S543" s="74"/>
    </row>
    <row r="544" spans="1:19" s="63" customFormat="1" ht="48" customHeight="1" x14ac:dyDescent="0.25">
      <c r="A544" s="71">
        <v>536</v>
      </c>
      <c r="B544" s="72" t="s">
        <v>7107</v>
      </c>
      <c r="C544" s="56" t="s">
        <v>7108</v>
      </c>
      <c r="D544" s="57"/>
      <c r="E544" s="58">
        <v>1</v>
      </c>
      <c r="F544" s="58">
        <v>5</v>
      </c>
      <c r="G544" s="59">
        <v>40731</v>
      </c>
      <c r="H544" s="59">
        <v>40745</v>
      </c>
      <c r="I544" s="60">
        <v>8</v>
      </c>
      <c r="J544" s="58"/>
      <c r="K544" s="58" t="s">
        <v>5502</v>
      </c>
      <c r="L544" s="58"/>
      <c r="M544" s="58"/>
      <c r="N544" s="58"/>
      <c r="O544" s="58"/>
      <c r="P544" s="61">
        <f t="shared" si="8"/>
        <v>5</v>
      </c>
      <c r="Q544" s="62" t="s">
        <v>7109</v>
      </c>
      <c r="R544" s="73"/>
      <c r="S544" s="74"/>
    </row>
    <row r="545" spans="1:19" s="63" customFormat="1" ht="56.25" x14ac:dyDescent="0.25">
      <c r="A545" s="71">
        <v>537</v>
      </c>
      <c r="B545" s="72" t="s">
        <v>7110</v>
      </c>
      <c r="C545" s="56" t="s">
        <v>7111</v>
      </c>
      <c r="D545" s="57"/>
      <c r="E545" s="58">
        <v>1</v>
      </c>
      <c r="F545" s="58">
        <v>5</v>
      </c>
      <c r="G545" s="59">
        <v>40882</v>
      </c>
      <c r="H545" s="59">
        <v>40892</v>
      </c>
      <c r="I545" s="60">
        <v>8</v>
      </c>
      <c r="J545" s="58"/>
      <c r="K545" s="58" t="s">
        <v>5502</v>
      </c>
      <c r="L545" s="58"/>
      <c r="M545" s="58"/>
      <c r="N545" s="58"/>
      <c r="O545" s="58"/>
      <c r="P545" s="61">
        <f t="shared" si="8"/>
        <v>5</v>
      </c>
      <c r="Q545" s="62" t="s">
        <v>7112</v>
      </c>
      <c r="R545" s="73"/>
      <c r="S545" s="74"/>
    </row>
    <row r="546" spans="1:19" s="63" customFormat="1" ht="56.25" x14ac:dyDescent="0.25">
      <c r="A546" s="71">
        <v>538</v>
      </c>
      <c r="B546" s="72" t="s">
        <v>7113</v>
      </c>
      <c r="C546" s="56" t="s">
        <v>7114</v>
      </c>
      <c r="D546" s="57"/>
      <c r="E546" s="58">
        <v>1</v>
      </c>
      <c r="F546" s="58">
        <v>5</v>
      </c>
      <c r="G546" s="59">
        <v>41310</v>
      </c>
      <c r="H546" s="59">
        <v>41319</v>
      </c>
      <c r="I546" s="60">
        <v>8</v>
      </c>
      <c r="J546" s="58"/>
      <c r="K546" s="58" t="s">
        <v>5502</v>
      </c>
      <c r="L546" s="58"/>
      <c r="M546" s="58"/>
      <c r="N546" s="58"/>
      <c r="O546" s="58"/>
      <c r="P546" s="61">
        <f t="shared" si="8"/>
        <v>5</v>
      </c>
      <c r="Q546" s="62" t="s">
        <v>7115</v>
      </c>
      <c r="R546" s="73"/>
      <c r="S546" s="74"/>
    </row>
    <row r="547" spans="1:19" s="63" customFormat="1" ht="56.25" x14ac:dyDescent="0.25">
      <c r="A547" s="71">
        <v>539</v>
      </c>
      <c r="B547" s="72" t="s">
        <v>7116</v>
      </c>
      <c r="C547" s="56" t="s">
        <v>7117</v>
      </c>
      <c r="D547" s="57"/>
      <c r="E547" s="58">
        <v>1</v>
      </c>
      <c r="F547" s="58">
        <v>5</v>
      </c>
      <c r="G547" s="59">
        <v>41808</v>
      </c>
      <c r="H547" s="59">
        <v>41823</v>
      </c>
      <c r="I547" s="60">
        <v>8</v>
      </c>
      <c r="J547" s="58"/>
      <c r="K547" s="58" t="s">
        <v>5502</v>
      </c>
      <c r="L547" s="58"/>
      <c r="M547" s="58"/>
      <c r="N547" s="58"/>
      <c r="O547" s="58"/>
      <c r="P547" s="61">
        <f t="shared" si="8"/>
        <v>5</v>
      </c>
      <c r="Q547" s="62" t="s">
        <v>7118</v>
      </c>
      <c r="R547" s="73"/>
      <c r="S547" s="74"/>
    </row>
    <row r="548" spans="1:19" s="63" customFormat="1" ht="33.75" x14ac:dyDescent="0.25">
      <c r="A548" s="71">
        <v>540</v>
      </c>
      <c r="B548" s="72" t="s">
        <v>7119</v>
      </c>
      <c r="C548" s="56" t="s">
        <v>7120</v>
      </c>
      <c r="D548" s="57"/>
      <c r="E548" s="58">
        <v>1</v>
      </c>
      <c r="F548" s="58">
        <v>3</v>
      </c>
      <c r="G548" s="59">
        <v>14964</v>
      </c>
      <c r="H548" s="59">
        <v>14964</v>
      </c>
      <c r="I548" s="60">
        <v>8</v>
      </c>
      <c r="J548" s="58"/>
      <c r="K548" s="58" t="s">
        <v>5502</v>
      </c>
      <c r="L548" s="58"/>
      <c r="M548" s="58"/>
      <c r="N548" s="58"/>
      <c r="O548" s="58"/>
      <c r="P548" s="61">
        <f t="shared" si="8"/>
        <v>3</v>
      </c>
      <c r="Q548" s="62" t="s">
        <v>7121</v>
      </c>
      <c r="R548" s="73"/>
      <c r="S548" s="74"/>
    </row>
    <row r="549" spans="1:19" s="63" customFormat="1" ht="33.75" x14ac:dyDescent="0.25">
      <c r="A549" s="71">
        <v>541</v>
      </c>
      <c r="B549" s="72" t="s">
        <v>7122</v>
      </c>
      <c r="C549" s="56" t="s">
        <v>7123</v>
      </c>
      <c r="D549" s="57"/>
      <c r="E549" s="58">
        <v>1</v>
      </c>
      <c r="F549" s="58">
        <v>4</v>
      </c>
      <c r="G549" s="59">
        <v>14662</v>
      </c>
      <c r="H549" s="59">
        <v>14707</v>
      </c>
      <c r="I549" s="60">
        <v>8</v>
      </c>
      <c r="J549" s="58"/>
      <c r="K549" s="58" t="s">
        <v>5502</v>
      </c>
      <c r="L549" s="58"/>
      <c r="M549" s="58"/>
      <c r="N549" s="58"/>
      <c r="O549" s="58"/>
      <c r="P549" s="61">
        <f t="shared" si="8"/>
        <v>4</v>
      </c>
      <c r="Q549" s="62" t="s">
        <v>7124</v>
      </c>
      <c r="R549" s="73"/>
      <c r="S549" s="74"/>
    </row>
    <row r="550" spans="1:19" s="63" customFormat="1" ht="58.5" customHeight="1" x14ac:dyDescent="0.25">
      <c r="A550" s="71">
        <v>542</v>
      </c>
      <c r="B550" s="72" t="s">
        <v>7125</v>
      </c>
      <c r="C550" s="56" t="s">
        <v>7126</v>
      </c>
      <c r="D550" s="57"/>
      <c r="E550" s="58">
        <v>1</v>
      </c>
      <c r="F550" s="58">
        <v>6</v>
      </c>
      <c r="G550" s="59">
        <v>35670</v>
      </c>
      <c r="H550" s="59">
        <v>35688</v>
      </c>
      <c r="I550" s="60">
        <v>8</v>
      </c>
      <c r="J550" s="58"/>
      <c r="K550" s="58" t="s">
        <v>5502</v>
      </c>
      <c r="L550" s="58"/>
      <c r="M550" s="58"/>
      <c r="N550" s="58"/>
      <c r="O550" s="58"/>
      <c r="P550" s="61">
        <f t="shared" si="8"/>
        <v>6</v>
      </c>
      <c r="Q550" s="62" t="s">
        <v>7127</v>
      </c>
      <c r="R550" s="73"/>
      <c r="S550" s="74"/>
    </row>
    <row r="551" spans="1:19" s="63" customFormat="1" ht="33.75" x14ac:dyDescent="0.25">
      <c r="A551" s="71">
        <v>543</v>
      </c>
      <c r="B551" s="72" t="s">
        <v>7128</v>
      </c>
      <c r="C551" s="56" t="s">
        <v>7129</v>
      </c>
      <c r="D551" s="57"/>
      <c r="E551" s="58">
        <v>1</v>
      </c>
      <c r="F551" s="58">
        <v>8</v>
      </c>
      <c r="G551" s="59">
        <v>35488</v>
      </c>
      <c r="H551" s="59">
        <v>35508</v>
      </c>
      <c r="I551" s="60">
        <v>8</v>
      </c>
      <c r="J551" s="58"/>
      <c r="K551" s="58" t="s">
        <v>5502</v>
      </c>
      <c r="L551" s="58"/>
      <c r="M551" s="58"/>
      <c r="N551" s="58"/>
      <c r="O551" s="58"/>
      <c r="P551" s="61">
        <f t="shared" si="8"/>
        <v>8</v>
      </c>
      <c r="Q551" s="62" t="s">
        <v>7130</v>
      </c>
      <c r="R551" s="73"/>
      <c r="S551" s="74"/>
    </row>
    <row r="552" spans="1:19" s="63" customFormat="1" ht="57" customHeight="1" x14ac:dyDescent="0.25">
      <c r="A552" s="71">
        <v>544</v>
      </c>
      <c r="B552" s="72" t="s">
        <v>7131</v>
      </c>
      <c r="C552" s="56" t="s">
        <v>7132</v>
      </c>
      <c r="D552" s="57"/>
      <c r="E552" s="58">
        <v>1</v>
      </c>
      <c r="F552" s="58">
        <v>6</v>
      </c>
      <c r="G552" s="59">
        <v>34927</v>
      </c>
      <c r="H552" s="59">
        <v>34991</v>
      </c>
      <c r="I552" s="60">
        <v>8</v>
      </c>
      <c r="J552" s="58"/>
      <c r="K552" s="58" t="s">
        <v>5502</v>
      </c>
      <c r="L552" s="58"/>
      <c r="M552" s="58"/>
      <c r="N552" s="58"/>
      <c r="O552" s="58"/>
      <c r="P552" s="61">
        <f t="shared" si="8"/>
        <v>6</v>
      </c>
      <c r="Q552" s="62" t="s">
        <v>7133</v>
      </c>
      <c r="R552" s="73"/>
      <c r="S552" s="74"/>
    </row>
    <row r="553" spans="1:19" s="63" customFormat="1" ht="56.25" x14ac:dyDescent="0.25">
      <c r="A553" s="71">
        <v>545</v>
      </c>
      <c r="B553" s="72" t="s">
        <v>7134</v>
      </c>
      <c r="C553" s="56" t="s">
        <v>7135</v>
      </c>
      <c r="D553" s="57"/>
      <c r="E553" s="58">
        <v>1</v>
      </c>
      <c r="F553" s="58">
        <v>5</v>
      </c>
      <c r="G553" s="59">
        <v>36111</v>
      </c>
      <c r="H553" s="59">
        <v>36122</v>
      </c>
      <c r="I553" s="60">
        <v>8</v>
      </c>
      <c r="J553" s="58"/>
      <c r="K553" s="58" t="s">
        <v>5502</v>
      </c>
      <c r="L553" s="58"/>
      <c r="M553" s="58"/>
      <c r="N553" s="58"/>
      <c r="O553" s="58"/>
      <c r="P553" s="61">
        <f t="shared" si="8"/>
        <v>5</v>
      </c>
      <c r="Q553" s="62" t="s">
        <v>7136</v>
      </c>
      <c r="R553" s="73"/>
      <c r="S553" s="74"/>
    </row>
    <row r="554" spans="1:19" s="63" customFormat="1" ht="56.25" x14ac:dyDescent="0.25">
      <c r="A554" s="71">
        <v>546</v>
      </c>
      <c r="B554" s="72" t="s">
        <v>7137</v>
      </c>
      <c r="C554" s="56" t="s">
        <v>7138</v>
      </c>
      <c r="D554" s="57"/>
      <c r="E554" s="58">
        <v>1</v>
      </c>
      <c r="F554" s="58">
        <v>5</v>
      </c>
      <c r="G554" s="59">
        <v>34463</v>
      </c>
      <c r="H554" s="59">
        <v>34536</v>
      </c>
      <c r="I554" s="60">
        <v>8</v>
      </c>
      <c r="J554" s="58"/>
      <c r="K554" s="58" t="s">
        <v>5502</v>
      </c>
      <c r="L554" s="58"/>
      <c r="M554" s="58"/>
      <c r="N554" s="58"/>
      <c r="O554" s="58"/>
      <c r="P554" s="61">
        <f t="shared" si="8"/>
        <v>5</v>
      </c>
      <c r="Q554" s="62" t="s">
        <v>7139</v>
      </c>
      <c r="R554" s="73"/>
      <c r="S554" s="74"/>
    </row>
    <row r="555" spans="1:19" s="63" customFormat="1" ht="57" customHeight="1" x14ac:dyDescent="0.25">
      <c r="A555" s="71">
        <v>547</v>
      </c>
      <c r="B555" s="72" t="s">
        <v>7140</v>
      </c>
      <c r="C555" s="56" t="s">
        <v>7141</v>
      </c>
      <c r="D555" s="57"/>
      <c r="E555" s="58">
        <v>1</v>
      </c>
      <c r="F555" s="58">
        <v>5</v>
      </c>
      <c r="G555" s="59">
        <v>35244</v>
      </c>
      <c r="H555" s="59">
        <v>35278</v>
      </c>
      <c r="I555" s="60">
        <v>8</v>
      </c>
      <c r="J555" s="58"/>
      <c r="K555" s="58" t="s">
        <v>5502</v>
      </c>
      <c r="L555" s="58"/>
      <c r="M555" s="58"/>
      <c r="N555" s="58"/>
      <c r="O555" s="58"/>
      <c r="P555" s="61">
        <f t="shared" si="8"/>
        <v>5</v>
      </c>
      <c r="Q555" s="62" t="s">
        <v>7142</v>
      </c>
      <c r="R555" s="73"/>
      <c r="S555" s="74"/>
    </row>
    <row r="556" spans="1:19" s="63" customFormat="1" ht="57.75" customHeight="1" x14ac:dyDescent="0.25">
      <c r="A556" s="71">
        <v>548</v>
      </c>
      <c r="B556" s="72" t="s">
        <v>7143</v>
      </c>
      <c r="C556" s="56" t="s">
        <v>7144</v>
      </c>
      <c r="D556" s="57"/>
      <c r="E556" s="58">
        <v>1</v>
      </c>
      <c r="F556" s="58">
        <v>6</v>
      </c>
      <c r="G556" s="59">
        <v>34767</v>
      </c>
      <c r="H556" s="59">
        <v>34837</v>
      </c>
      <c r="I556" s="60">
        <v>8</v>
      </c>
      <c r="J556" s="58"/>
      <c r="K556" s="58" t="s">
        <v>5502</v>
      </c>
      <c r="L556" s="58"/>
      <c r="M556" s="58"/>
      <c r="N556" s="58"/>
      <c r="O556" s="58"/>
      <c r="P556" s="61">
        <f t="shared" si="8"/>
        <v>6</v>
      </c>
      <c r="Q556" s="62" t="s">
        <v>7145</v>
      </c>
      <c r="R556" s="73"/>
      <c r="S556" s="74"/>
    </row>
    <row r="557" spans="1:19" s="63" customFormat="1" ht="56.25" x14ac:dyDescent="0.25">
      <c r="A557" s="71">
        <v>549</v>
      </c>
      <c r="B557" s="72" t="s">
        <v>7146</v>
      </c>
      <c r="C557" s="56" t="s">
        <v>7147</v>
      </c>
      <c r="D557" s="57"/>
      <c r="E557" s="58">
        <v>1</v>
      </c>
      <c r="F557" s="58">
        <v>5</v>
      </c>
      <c r="G557" s="59">
        <v>34463</v>
      </c>
      <c r="H557" s="59">
        <v>34536</v>
      </c>
      <c r="I557" s="60">
        <v>8</v>
      </c>
      <c r="J557" s="58"/>
      <c r="K557" s="58" t="s">
        <v>5502</v>
      </c>
      <c r="L557" s="58"/>
      <c r="M557" s="58"/>
      <c r="N557" s="58"/>
      <c r="O557" s="58"/>
      <c r="P557" s="61">
        <f t="shared" si="8"/>
        <v>5</v>
      </c>
      <c r="Q557" s="62" t="s">
        <v>7148</v>
      </c>
      <c r="R557" s="73"/>
      <c r="S557" s="74"/>
    </row>
    <row r="558" spans="1:19" s="63" customFormat="1" ht="60" customHeight="1" x14ac:dyDescent="0.25">
      <c r="A558" s="71">
        <v>550</v>
      </c>
      <c r="B558" s="72" t="s">
        <v>7149</v>
      </c>
      <c r="C558" s="56" t="s">
        <v>7150</v>
      </c>
      <c r="D558" s="57"/>
      <c r="E558" s="58">
        <v>1</v>
      </c>
      <c r="F558" s="58">
        <v>6</v>
      </c>
      <c r="G558" s="59">
        <v>34463</v>
      </c>
      <c r="H558" s="59">
        <v>34536</v>
      </c>
      <c r="I558" s="60">
        <v>8</v>
      </c>
      <c r="J558" s="58"/>
      <c r="K558" s="58" t="s">
        <v>5502</v>
      </c>
      <c r="L558" s="58"/>
      <c r="M558" s="58"/>
      <c r="N558" s="58"/>
      <c r="O558" s="58"/>
      <c r="P558" s="61">
        <f t="shared" si="8"/>
        <v>6</v>
      </c>
      <c r="Q558" s="62" t="s">
        <v>7151</v>
      </c>
      <c r="R558" s="73"/>
      <c r="S558" s="74"/>
    </row>
    <row r="559" spans="1:19" s="63" customFormat="1" ht="58.5" customHeight="1" x14ac:dyDescent="0.25">
      <c r="A559" s="71">
        <v>551</v>
      </c>
      <c r="B559" s="72" t="s">
        <v>7152</v>
      </c>
      <c r="C559" s="56" t="s">
        <v>7153</v>
      </c>
      <c r="D559" s="57"/>
      <c r="E559" s="58">
        <v>1</v>
      </c>
      <c r="F559" s="58">
        <v>5</v>
      </c>
      <c r="G559" s="59">
        <v>34432</v>
      </c>
      <c r="H559" s="59">
        <v>34473</v>
      </c>
      <c r="I559" s="60">
        <v>8</v>
      </c>
      <c r="J559" s="58"/>
      <c r="K559" s="58" t="s">
        <v>5502</v>
      </c>
      <c r="L559" s="58"/>
      <c r="M559" s="58"/>
      <c r="N559" s="58"/>
      <c r="O559" s="58"/>
      <c r="P559" s="61">
        <f t="shared" si="8"/>
        <v>5</v>
      </c>
      <c r="Q559" s="62" t="s">
        <v>7154</v>
      </c>
      <c r="R559" s="73"/>
      <c r="S559" s="74"/>
    </row>
    <row r="560" spans="1:19" s="63" customFormat="1" ht="56.25" x14ac:dyDescent="0.25">
      <c r="A560" s="71">
        <v>552</v>
      </c>
      <c r="B560" s="72" t="s">
        <v>7155</v>
      </c>
      <c r="C560" s="56" t="s">
        <v>7156</v>
      </c>
      <c r="D560" s="57"/>
      <c r="E560" s="58">
        <v>1</v>
      </c>
      <c r="F560" s="58">
        <v>6</v>
      </c>
      <c r="G560" s="59">
        <v>35488</v>
      </c>
      <c r="H560" s="59">
        <v>35508</v>
      </c>
      <c r="I560" s="60">
        <v>8</v>
      </c>
      <c r="J560" s="58"/>
      <c r="K560" s="58" t="s">
        <v>5502</v>
      </c>
      <c r="L560" s="58"/>
      <c r="M560" s="58"/>
      <c r="N560" s="58"/>
      <c r="O560" s="58"/>
      <c r="P560" s="61">
        <f t="shared" si="8"/>
        <v>6</v>
      </c>
      <c r="Q560" s="62" t="s">
        <v>7157</v>
      </c>
      <c r="R560" s="73"/>
      <c r="S560" s="74"/>
    </row>
    <row r="561" spans="1:19" s="63" customFormat="1" ht="56.25" x14ac:dyDescent="0.25">
      <c r="A561" s="71">
        <v>553</v>
      </c>
      <c r="B561" s="72" t="s">
        <v>7158</v>
      </c>
      <c r="C561" s="56" t="s">
        <v>7159</v>
      </c>
      <c r="D561" s="57"/>
      <c r="E561" s="58">
        <v>1</v>
      </c>
      <c r="F561" s="58">
        <v>6</v>
      </c>
      <c r="G561" s="59">
        <v>35415</v>
      </c>
      <c r="H561" s="59">
        <v>35459</v>
      </c>
      <c r="I561" s="60">
        <v>8</v>
      </c>
      <c r="J561" s="58"/>
      <c r="K561" s="58" t="s">
        <v>5502</v>
      </c>
      <c r="L561" s="58"/>
      <c r="M561" s="58"/>
      <c r="N561" s="58"/>
      <c r="O561" s="58"/>
      <c r="P561" s="61">
        <f t="shared" si="8"/>
        <v>6</v>
      </c>
      <c r="Q561" s="62" t="s">
        <v>7160</v>
      </c>
      <c r="R561" s="73"/>
      <c r="S561" s="74"/>
    </row>
    <row r="562" spans="1:19" s="63" customFormat="1" ht="56.25" x14ac:dyDescent="0.25">
      <c r="A562" s="71">
        <v>554</v>
      </c>
      <c r="B562" s="72" t="s">
        <v>7161</v>
      </c>
      <c r="C562" s="56" t="s">
        <v>7162</v>
      </c>
      <c r="D562" s="57"/>
      <c r="E562" s="58">
        <v>1</v>
      </c>
      <c r="F562" s="58">
        <v>6</v>
      </c>
      <c r="G562" s="59">
        <v>34463</v>
      </c>
      <c r="H562" s="59">
        <v>34536</v>
      </c>
      <c r="I562" s="60">
        <v>8</v>
      </c>
      <c r="J562" s="58"/>
      <c r="K562" s="58" t="s">
        <v>5502</v>
      </c>
      <c r="L562" s="58"/>
      <c r="M562" s="58"/>
      <c r="N562" s="58"/>
      <c r="O562" s="58"/>
      <c r="P562" s="61">
        <f t="shared" si="8"/>
        <v>6</v>
      </c>
      <c r="Q562" s="62" t="s">
        <v>7163</v>
      </c>
      <c r="R562" s="73"/>
      <c r="S562" s="74"/>
    </row>
    <row r="563" spans="1:19" s="63" customFormat="1" ht="56.25" x14ac:dyDescent="0.25">
      <c r="A563" s="71">
        <v>555</v>
      </c>
      <c r="B563" s="72" t="s">
        <v>7164</v>
      </c>
      <c r="C563" s="56" t="s">
        <v>7165</v>
      </c>
      <c r="D563" s="57"/>
      <c r="E563" s="58">
        <v>1</v>
      </c>
      <c r="F563" s="58">
        <v>5</v>
      </c>
      <c r="G563" s="59">
        <v>36111</v>
      </c>
      <c r="H563" s="59">
        <v>36122</v>
      </c>
      <c r="I563" s="60">
        <v>8</v>
      </c>
      <c r="J563" s="58"/>
      <c r="K563" s="58" t="s">
        <v>5502</v>
      </c>
      <c r="L563" s="58"/>
      <c r="M563" s="58"/>
      <c r="N563" s="58"/>
      <c r="O563" s="58"/>
      <c r="P563" s="61">
        <f t="shared" si="8"/>
        <v>5</v>
      </c>
      <c r="Q563" s="62" t="s">
        <v>7166</v>
      </c>
      <c r="R563" s="73"/>
      <c r="S563" s="74"/>
    </row>
    <row r="564" spans="1:19" s="63" customFormat="1" ht="56.25" x14ac:dyDescent="0.25">
      <c r="A564" s="71">
        <v>556</v>
      </c>
      <c r="B564" s="72" t="s">
        <v>7167</v>
      </c>
      <c r="C564" s="56" t="s">
        <v>7168</v>
      </c>
      <c r="D564" s="57"/>
      <c r="E564" s="58">
        <v>1</v>
      </c>
      <c r="F564" s="58">
        <v>5</v>
      </c>
      <c r="G564" s="59">
        <v>34514</v>
      </c>
      <c r="H564" s="59">
        <v>34536</v>
      </c>
      <c r="I564" s="60">
        <v>8</v>
      </c>
      <c r="J564" s="58"/>
      <c r="K564" s="58" t="s">
        <v>5502</v>
      </c>
      <c r="L564" s="58"/>
      <c r="M564" s="58"/>
      <c r="N564" s="58"/>
      <c r="O564" s="58"/>
      <c r="P564" s="61">
        <f t="shared" si="8"/>
        <v>5</v>
      </c>
      <c r="Q564" s="62" t="s">
        <v>7169</v>
      </c>
      <c r="R564" s="73"/>
      <c r="S564" s="74"/>
    </row>
    <row r="565" spans="1:19" s="63" customFormat="1" ht="56.25" x14ac:dyDescent="0.25">
      <c r="A565" s="71">
        <v>557</v>
      </c>
      <c r="B565" s="72" t="s">
        <v>7170</v>
      </c>
      <c r="C565" s="56" t="s">
        <v>7171</v>
      </c>
      <c r="D565" s="57"/>
      <c r="E565" s="58">
        <v>1</v>
      </c>
      <c r="F565" s="58">
        <v>6</v>
      </c>
      <c r="G565" s="59">
        <v>35488</v>
      </c>
      <c r="H565" s="59">
        <v>35508</v>
      </c>
      <c r="I565" s="60">
        <v>8</v>
      </c>
      <c r="J565" s="58"/>
      <c r="K565" s="58" t="s">
        <v>5502</v>
      </c>
      <c r="L565" s="58"/>
      <c r="M565" s="58"/>
      <c r="N565" s="58"/>
      <c r="O565" s="58"/>
      <c r="P565" s="61">
        <f t="shared" si="8"/>
        <v>6</v>
      </c>
      <c r="Q565" s="62" t="s">
        <v>7172</v>
      </c>
      <c r="R565" s="73"/>
      <c r="S565" s="74"/>
    </row>
    <row r="566" spans="1:19" s="63" customFormat="1" ht="45" x14ac:dyDescent="0.25">
      <c r="A566" s="71">
        <v>558</v>
      </c>
      <c r="B566" s="72" t="s">
        <v>7173</v>
      </c>
      <c r="C566" s="56" t="s">
        <v>7174</v>
      </c>
      <c r="D566" s="57"/>
      <c r="E566" s="58">
        <v>1</v>
      </c>
      <c r="F566" s="58">
        <v>8</v>
      </c>
      <c r="G566" s="59">
        <v>34019</v>
      </c>
      <c r="H566" s="59">
        <v>34046</v>
      </c>
      <c r="I566" s="60">
        <v>8</v>
      </c>
      <c r="J566" s="58"/>
      <c r="K566" s="58" t="s">
        <v>5502</v>
      </c>
      <c r="L566" s="58"/>
      <c r="M566" s="58"/>
      <c r="N566" s="58"/>
      <c r="O566" s="58"/>
      <c r="P566" s="61">
        <f t="shared" si="8"/>
        <v>8</v>
      </c>
      <c r="Q566" s="62" t="s">
        <v>7175</v>
      </c>
      <c r="R566" s="73"/>
      <c r="S566" s="74"/>
    </row>
    <row r="567" spans="1:19" s="63" customFormat="1" ht="56.25" x14ac:dyDescent="0.25">
      <c r="A567" s="71">
        <v>559</v>
      </c>
      <c r="B567" s="72" t="s">
        <v>7176</v>
      </c>
      <c r="C567" s="56" t="s">
        <v>7177</v>
      </c>
      <c r="D567" s="57"/>
      <c r="E567" s="58">
        <v>1</v>
      </c>
      <c r="F567" s="58">
        <v>5</v>
      </c>
      <c r="G567" s="59">
        <v>34019</v>
      </c>
      <c r="H567" s="59">
        <v>34046</v>
      </c>
      <c r="I567" s="60">
        <v>8</v>
      </c>
      <c r="J567" s="58"/>
      <c r="K567" s="58" t="s">
        <v>5502</v>
      </c>
      <c r="L567" s="58"/>
      <c r="M567" s="58"/>
      <c r="N567" s="58"/>
      <c r="O567" s="58"/>
      <c r="P567" s="61">
        <f t="shared" si="8"/>
        <v>5</v>
      </c>
      <c r="Q567" s="62" t="s">
        <v>7178</v>
      </c>
      <c r="R567" s="73"/>
      <c r="S567" s="74"/>
    </row>
    <row r="568" spans="1:19" s="63" customFormat="1" ht="56.25" x14ac:dyDescent="0.25">
      <c r="A568" s="71">
        <v>560</v>
      </c>
      <c r="B568" s="72" t="s">
        <v>7179</v>
      </c>
      <c r="C568" s="56" t="s">
        <v>7180</v>
      </c>
      <c r="D568" s="57"/>
      <c r="E568" s="58">
        <v>1</v>
      </c>
      <c r="F568" s="58">
        <v>4</v>
      </c>
      <c r="G568" s="59">
        <v>34019</v>
      </c>
      <c r="H568" s="59">
        <v>34046</v>
      </c>
      <c r="I568" s="60">
        <v>8</v>
      </c>
      <c r="J568" s="58"/>
      <c r="K568" s="58" t="s">
        <v>5502</v>
      </c>
      <c r="L568" s="58"/>
      <c r="M568" s="58"/>
      <c r="N568" s="58"/>
      <c r="O568" s="58"/>
      <c r="P568" s="61">
        <f t="shared" si="8"/>
        <v>4</v>
      </c>
      <c r="Q568" s="62" t="s">
        <v>7181</v>
      </c>
      <c r="R568" s="73"/>
      <c r="S568" s="74"/>
    </row>
    <row r="569" spans="1:19" s="63" customFormat="1" ht="56.25" x14ac:dyDescent="0.25">
      <c r="A569" s="71">
        <v>561</v>
      </c>
      <c r="B569" s="72" t="s">
        <v>7182</v>
      </c>
      <c r="C569" s="56" t="s">
        <v>7183</v>
      </c>
      <c r="D569" s="57"/>
      <c r="E569" s="58">
        <v>1</v>
      </c>
      <c r="F569" s="58">
        <v>7</v>
      </c>
      <c r="G569" s="59">
        <v>34019</v>
      </c>
      <c r="H569" s="59">
        <v>34046</v>
      </c>
      <c r="I569" s="60">
        <v>8</v>
      </c>
      <c r="J569" s="58"/>
      <c r="K569" s="58" t="s">
        <v>5502</v>
      </c>
      <c r="L569" s="58"/>
      <c r="M569" s="58"/>
      <c r="N569" s="58"/>
      <c r="O569" s="58"/>
      <c r="P569" s="61">
        <f t="shared" si="8"/>
        <v>7</v>
      </c>
      <c r="Q569" s="62" t="s">
        <v>7184</v>
      </c>
      <c r="R569" s="73"/>
      <c r="S569" s="74"/>
    </row>
    <row r="570" spans="1:19" s="63" customFormat="1" ht="57.75" customHeight="1" x14ac:dyDescent="0.25">
      <c r="A570" s="71">
        <v>562</v>
      </c>
      <c r="B570" s="72" t="s">
        <v>7185</v>
      </c>
      <c r="C570" s="56" t="s">
        <v>7186</v>
      </c>
      <c r="D570" s="57"/>
      <c r="E570" s="58">
        <v>1</v>
      </c>
      <c r="F570" s="58">
        <v>7</v>
      </c>
      <c r="G570" s="59">
        <v>34019</v>
      </c>
      <c r="H570" s="59">
        <v>34046</v>
      </c>
      <c r="I570" s="60">
        <v>8</v>
      </c>
      <c r="J570" s="58"/>
      <c r="K570" s="58" t="s">
        <v>5502</v>
      </c>
      <c r="L570" s="58"/>
      <c r="M570" s="58"/>
      <c r="N570" s="58"/>
      <c r="O570" s="58"/>
      <c r="P570" s="61">
        <f t="shared" si="8"/>
        <v>7</v>
      </c>
      <c r="Q570" s="62" t="s">
        <v>7187</v>
      </c>
      <c r="R570" s="73"/>
      <c r="S570" s="74"/>
    </row>
    <row r="571" spans="1:19" s="63" customFormat="1" ht="58.5" customHeight="1" x14ac:dyDescent="0.25">
      <c r="A571" s="71">
        <v>563</v>
      </c>
      <c r="B571" s="72" t="s">
        <v>7188</v>
      </c>
      <c r="C571" s="56" t="s">
        <v>7189</v>
      </c>
      <c r="D571" s="57"/>
      <c r="E571" s="58">
        <v>1</v>
      </c>
      <c r="F571" s="58">
        <v>7</v>
      </c>
      <c r="G571" s="59">
        <v>34019</v>
      </c>
      <c r="H571" s="59">
        <v>34046</v>
      </c>
      <c r="I571" s="60">
        <v>8</v>
      </c>
      <c r="J571" s="58"/>
      <c r="K571" s="58" t="s">
        <v>5502</v>
      </c>
      <c r="L571" s="58"/>
      <c r="M571" s="58"/>
      <c r="N571" s="58"/>
      <c r="O571" s="58"/>
      <c r="P571" s="61">
        <f t="shared" si="8"/>
        <v>7</v>
      </c>
      <c r="Q571" s="62" t="s">
        <v>7190</v>
      </c>
      <c r="R571" s="73"/>
      <c r="S571" s="74"/>
    </row>
    <row r="572" spans="1:19" s="63" customFormat="1" ht="60" customHeight="1" x14ac:dyDescent="0.25">
      <c r="A572" s="71">
        <v>564</v>
      </c>
      <c r="B572" s="72" t="s">
        <v>7191</v>
      </c>
      <c r="C572" s="56" t="s">
        <v>7192</v>
      </c>
      <c r="D572" s="57"/>
      <c r="E572" s="58">
        <v>1</v>
      </c>
      <c r="F572" s="58">
        <v>7</v>
      </c>
      <c r="G572" s="59">
        <v>34019</v>
      </c>
      <c r="H572" s="59">
        <v>34046</v>
      </c>
      <c r="I572" s="60">
        <v>8</v>
      </c>
      <c r="J572" s="58"/>
      <c r="K572" s="58" t="s">
        <v>5502</v>
      </c>
      <c r="L572" s="58"/>
      <c r="M572" s="58"/>
      <c r="N572" s="58"/>
      <c r="O572" s="58"/>
      <c r="P572" s="61">
        <f t="shared" si="8"/>
        <v>7</v>
      </c>
      <c r="Q572" s="62" t="s">
        <v>7193</v>
      </c>
      <c r="R572" s="73"/>
      <c r="S572" s="74"/>
    </row>
    <row r="573" spans="1:19" s="63" customFormat="1" ht="54" customHeight="1" x14ac:dyDescent="0.25">
      <c r="A573" s="71">
        <v>565</v>
      </c>
      <c r="B573" s="72" t="s">
        <v>7194</v>
      </c>
      <c r="C573" s="56" t="s">
        <v>7195</v>
      </c>
      <c r="D573" s="57"/>
      <c r="E573" s="58">
        <v>1</v>
      </c>
      <c r="F573" s="58">
        <v>7</v>
      </c>
      <c r="G573" s="59">
        <v>34019</v>
      </c>
      <c r="H573" s="59">
        <v>34046</v>
      </c>
      <c r="I573" s="60">
        <v>8</v>
      </c>
      <c r="J573" s="58"/>
      <c r="K573" s="58" t="s">
        <v>5502</v>
      </c>
      <c r="L573" s="58"/>
      <c r="M573" s="58"/>
      <c r="N573" s="58"/>
      <c r="O573" s="58"/>
      <c r="P573" s="61">
        <f t="shared" si="8"/>
        <v>7</v>
      </c>
      <c r="Q573" s="62" t="s">
        <v>7196</v>
      </c>
      <c r="R573" s="73"/>
      <c r="S573" s="74"/>
    </row>
    <row r="574" spans="1:19" s="63" customFormat="1" ht="56.25" x14ac:dyDescent="0.25">
      <c r="A574" s="71">
        <v>566</v>
      </c>
      <c r="B574" s="72" t="s">
        <v>7197</v>
      </c>
      <c r="C574" s="56" t="s">
        <v>7198</v>
      </c>
      <c r="D574" s="57"/>
      <c r="E574" s="58">
        <v>1</v>
      </c>
      <c r="F574" s="58">
        <v>7</v>
      </c>
      <c r="G574" s="59">
        <v>34019</v>
      </c>
      <c r="H574" s="59">
        <v>34046</v>
      </c>
      <c r="I574" s="60">
        <v>8</v>
      </c>
      <c r="J574" s="58"/>
      <c r="K574" s="58" t="s">
        <v>5502</v>
      </c>
      <c r="L574" s="58"/>
      <c r="M574" s="58"/>
      <c r="N574" s="58"/>
      <c r="O574" s="58"/>
      <c r="P574" s="61">
        <f t="shared" si="8"/>
        <v>7</v>
      </c>
      <c r="Q574" s="62" t="s">
        <v>7199</v>
      </c>
      <c r="R574" s="73"/>
      <c r="S574" s="74"/>
    </row>
    <row r="575" spans="1:19" s="63" customFormat="1" ht="60" customHeight="1" x14ac:dyDescent="0.25">
      <c r="A575" s="71">
        <v>567</v>
      </c>
      <c r="B575" s="72" t="s">
        <v>7200</v>
      </c>
      <c r="C575" s="56" t="s">
        <v>7201</v>
      </c>
      <c r="D575" s="57"/>
      <c r="E575" s="58">
        <v>1</v>
      </c>
      <c r="F575" s="58">
        <v>4</v>
      </c>
      <c r="G575" s="59">
        <v>34019</v>
      </c>
      <c r="H575" s="59">
        <v>34046</v>
      </c>
      <c r="I575" s="60">
        <v>8</v>
      </c>
      <c r="J575" s="58"/>
      <c r="K575" s="58" t="s">
        <v>5502</v>
      </c>
      <c r="L575" s="58"/>
      <c r="M575" s="58"/>
      <c r="N575" s="58"/>
      <c r="O575" s="58"/>
      <c r="P575" s="61">
        <f t="shared" si="8"/>
        <v>4</v>
      </c>
      <c r="Q575" s="62" t="s">
        <v>7202</v>
      </c>
      <c r="R575" s="73"/>
      <c r="S575" s="74"/>
    </row>
    <row r="576" spans="1:19" s="63" customFormat="1" ht="57.75" customHeight="1" x14ac:dyDescent="0.25">
      <c r="A576" s="71">
        <v>568</v>
      </c>
      <c r="B576" s="72" t="s">
        <v>7203</v>
      </c>
      <c r="C576" s="56" t="s">
        <v>7204</v>
      </c>
      <c r="D576" s="57"/>
      <c r="E576" s="58">
        <v>1</v>
      </c>
      <c r="F576" s="58">
        <v>7</v>
      </c>
      <c r="G576" s="59">
        <v>34019</v>
      </c>
      <c r="H576" s="59">
        <v>34165</v>
      </c>
      <c r="I576" s="60">
        <v>8</v>
      </c>
      <c r="J576" s="58"/>
      <c r="K576" s="58" t="s">
        <v>5502</v>
      </c>
      <c r="L576" s="58"/>
      <c r="M576" s="58"/>
      <c r="N576" s="58"/>
      <c r="O576" s="58"/>
      <c r="P576" s="61">
        <f t="shared" si="8"/>
        <v>7</v>
      </c>
      <c r="Q576" s="62" t="s">
        <v>7205</v>
      </c>
      <c r="R576" s="73"/>
      <c r="S576" s="74"/>
    </row>
    <row r="577" spans="1:19" s="63" customFormat="1" ht="56.25" customHeight="1" x14ac:dyDescent="0.25">
      <c r="A577" s="71">
        <v>569</v>
      </c>
      <c r="B577" s="72" t="s">
        <v>7206</v>
      </c>
      <c r="C577" s="56" t="s">
        <v>7207</v>
      </c>
      <c r="D577" s="57"/>
      <c r="E577" s="58">
        <v>1</v>
      </c>
      <c r="F577" s="58">
        <v>7</v>
      </c>
      <c r="G577" s="59">
        <v>34583</v>
      </c>
      <c r="H577" s="59">
        <v>34606</v>
      </c>
      <c r="I577" s="60">
        <v>8</v>
      </c>
      <c r="J577" s="58"/>
      <c r="K577" s="58" t="s">
        <v>5502</v>
      </c>
      <c r="L577" s="58"/>
      <c r="M577" s="58"/>
      <c r="N577" s="58"/>
      <c r="O577" s="58"/>
      <c r="P577" s="61">
        <f t="shared" si="8"/>
        <v>7</v>
      </c>
      <c r="Q577" s="62" t="s">
        <v>7208</v>
      </c>
      <c r="R577" s="73"/>
      <c r="S577" s="74"/>
    </row>
    <row r="578" spans="1:19" s="63" customFormat="1" ht="54.75" customHeight="1" x14ac:dyDescent="0.25">
      <c r="A578" s="71">
        <v>570</v>
      </c>
      <c r="B578" s="72" t="s">
        <v>7209</v>
      </c>
      <c r="C578" s="56" t="s">
        <v>7210</v>
      </c>
      <c r="D578" s="57"/>
      <c r="E578" s="58">
        <v>1</v>
      </c>
      <c r="F578" s="58">
        <v>4</v>
      </c>
      <c r="G578" s="59">
        <v>34019</v>
      </c>
      <c r="H578" s="59">
        <v>34046</v>
      </c>
      <c r="I578" s="60">
        <v>8</v>
      </c>
      <c r="J578" s="58"/>
      <c r="K578" s="58" t="s">
        <v>5502</v>
      </c>
      <c r="L578" s="58"/>
      <c r="M578" s="58"/>
      <c r="N578" s="58"/>
      <c r="O578" s="58"/>
      <c r="P578" s="61">
        <f t="shared" si="8"/>
        <v>4</v>
      </c>
      <c r="Q578" s="62" t="s">
        <v>7211</v>
      </c>
      <c r="R578" s="73"/>
      <c r="S578" s="74"/>
    </row>
    <row r="579" spans="1:19" s="63" customFormat="1" ht="59.25" customHeight="1" x14ac:dyDescent="0.25">
      <c r="A579" s="71">
        <v>571</v>
      </c>
      <c r="B579" s="72" t="s">
        <v>7212</v>
      </c>
      <c r="C579" s="56" t="s">
        <v>7213</v>
      </c>
      <c r="D579" s="57"/>
      <c r="E579" s="58">
        <v>1</v>
      </c>
      <c r="F579" s="58">
        <v>4</v>
      </c>
      <c r="G579" s="59">
        <v>34019</v>
      </c>
      <c r="H579" s="59">
        <v>34046</v>
      </c>
      <c r="I579" s="60">
        <v>8</v>
      </c>
      <c r="J579" s="58"/>
      <c r="K579" s="58" t="s">
        <v>5502</v>
      </c>
      <c r="L579" s="58"/>
      <c r="M579" s="58"/>
      <c r="N579" s="58"/>
      <c r="O579" s="58"/>
      <c r="P579" s="61">
        <f t="shared" si="8"/>
        <v>4</v>
      </c>
      <c r="Q579" s="62" t="s">
        <v>7214</v>
      </c>
      <c r="R579" s="73"/>
      <c r="S579" s="74"/>
    </row>
    <row r="580" spans="1:19" s="63" customFormat="1" ht="56.25" customHeight="1" x14ac:dyDescent="0.25">
      <c r="A580" s="71">
        <v>572</v>
      </c>
      <c r="B580" s="72" t="s">
        <v>7215</v>
      </c>
      <c r="C580" s="56" t="s">
        <v>7216</v>
      </c>
      <c r="D580" s="57"/>
      <c r="E580" s="58">
        <v>1</v>
      </c>
      <c r="F580" s="58">
        <v>4</v>
      </c>
      <c r="G580" s="59">
        <v>34019</v>
      </c>
      <c r="H580" s="59">
        <v>34046</v>
      </c>
      <c r="I580" s="60">
        <v>8</v>
      </c>
      <c r="J580" s="58"/>
      <c r="K580" s="58" t="s">
        <v>5502</v>
      </c>
      <c r="L580" s="58"/>
      <c r="M580" s="58"/>
      <c r="N580" s="58"/>
      <c r="O580" s="58"/>
      <c r="P580" s="61">
        <f t="shared" si="8"/>
        <v>4</v>
      </c>
      <c r="Q580" s="62" t="s">
        <v>7217</v>
      </c>
      <c r="R580" s="73"/>
      <c r="S580" s="74"/>
    </row>
    <row r="581" spans="1:19" s="63" customFormat="1" ht="56.25" x14ac:dyDescent="0.25">
      <c r="A581" s="71">
        <v>573</v>
      </c>
      <c r="B581" s="72" t="s">
        <v>7218</v>
      </c>
      <c r="C581" s="56" t="s">
        <v>7219</v>
      </c>
      <c r="D581" s="57"/>
      <c r="E581" s="58">
        <v>1</v>
      </c>
      <c r="F581" s="58">
        <v>5</v>
      </c>
      <c r="G581" s="59">
        <v>34019</v>
      </c>
      <c r="H581" s="59">
        <v>34046</v>
      </c>
      <c r="I581" s="60">
        <v>8</v>
      </c>
      <c r="J581" s="58"/>
      <c r="K581" s="58" t="s">
        <v>5502</v>
      </c>
      <c r="L581" s="58"/>
      <c r="M581" s="58"/>
      <c r="N581" s="58"/>
      <c r="O581" s="58"/>
      <c r="P581" s="61">
        <f t="shared" si="8"/>
        <v>5</v>
      </c>
      <c r="Q581" s="62" t="s">
        <v>7220</v>
      </c>
      <c r="R581" s="73"/>
      <c r="S581" s="74"/>
    </row>
    <row r="582" spans="1:19" s="63" customFormat="1" ht="57" customHeight="1" x14ac:dyDescent="0.25">
      <c r="A582" s="71">
        <v>574</v>
      </c>
      <c r="B582" s="72" t="s">
        <v>7221</v>
      </c>
      <c r="C582" s="56" t="s">
        <v>7222</v>
      </c>
      <c r="D582" s="57"/>
      <c r="E582" s="58">
        <v>1</v>
      </c>
      <c r="F582" s="58">
        <v>4</v>
      </c>
      <c r="G582" s="59">
        <v>34019</v>
      </c>
      <c r="H582" s="59">
        <v>34046</v>
      </c>
      <c r="I582" s="60">
        <v>8</v>
      </c>
      <c r="J582" s="58"/>
      <c r="K582" s="58" t="s">
        <v>5502</v>
      </c>
      <c r="L582" s="58"/>
      <c r="M582" s="58"/>
      <c r="N582" s="58"/>
      <c r="O582" s="58"/>
      <c r="P582" s="61">
        <f t="shared" si="8"/>
        <v>4</v>
      </c>
      <c r="Q582" s="62" t="s">
        <v>7223</v>
      </c>
      <c r="R582" s="73"/>
      <c r="S582" s="74"/>
    </row>
    <row r="583" spans="1:19" s="63" customFormat="1" ht="53.25" customHeight="1" x14ac:dyDescent="0.25">
      <c r="A583" s="71">
        <v>575</v>
      </c>
      <c r="B583" s="72" t="s">
        <v>7224</v>
      </c>
      <c r="C583" s="56" t="s">
        <v>7225</v>
      </c>
      <c r="D583" s="57"/>
      <c r="E583" s="58">
        <v>1</v>
      </c>
      <c r="F583" s="58">
        <v>7</v>
      </c>
      <c r="G583" s="59">
        <v>34019</v>
      </c>
      <c r="H583" s="59">
        <v>34046</v>
      </c>
      <c r="I583" s="60">
        <v>8</v>
      </c>
      <c r="J583" s="58"/>
      <c r="K583" s="58" t="s">
        <v>5502</v>
      </c>
      <c r="L583" s="58"/>
      <c r="M583" s="58"/>
      <c r="N583" s="58"/>
      <c r="O583" s="58"/>
      <c r="P583" s="61">
        <f t="shared" si="8"/>
        <v>7</v>
      </c>
      <c r="Q583" s="62" t="s">
        <v>7226</v>
      </c>
      <c r="R583" s="73"/>
      <c r="S583" s="74"/>
    </row>
    <row r="584" spans="1:19" s="63" customFormat="1" ht="56.25" x14ac:dyDescent="0.25">
      <c r="A584" s="71">
        <v>576</v>
      </c>
      <c r="B584" s="72" t="s">
        <v>7227</v>
      </c>
      <c r="C584" s="56" t="s">
        <v>7228</v>
      </c>
      <c r="D584" s="57"/>
      <c r="E584" s="58">
        <v>1</v>
      </c>
      <c r="F584" s="58">
        <v>5</v>
      </c>
      <c r="G584" s="59">
        <v>34019</v>
      </c>
      <c r="H584" s="59">
        <v>34046</v>
      </c>
      <c r="I584" s="60">
        <v>8</v>
      </c>
      <c r="J584" s="58"/>
      <c r="K584" s="58" t="s">
        <v>5502</v>
      </c>
      <c r="L584" s="58"/>
      <c r="M584" s="58"/>
      <c r="N584" s="58"/>
      <c r="O584" s="58"/>
      <c r="P584" s="61">
        <f t="shared" si="8"/>
        <v>5</v>
      </c>
      <c r="Q584" s="62" t="s">
        <v>7229</v>
      </c>
      <c r="R584" s="73"/>
      <c r="S584" s="74"/>
    </row>
    <row r="585" spans="1:19" s="63" customFormat="1" ht="57" customHeight="1" x14ac:dyDescent="0.25">
      <c r="A585" s="71">
        <v>577</v>
      </c>
      <c r="B585" s="72" t="s">
        <v>7230</v>
      </c>
      <c r="C585" s="56" t="s">
        <v>7231</v>
      </c>
      <c r="D585" s="57"/>
      <c r="E585" s="58">
        <v>1</v>
      </c>
      <c r="F585" s="58">
        <v>5</v>
      </c>
      <c r="G585" s="59">
        <v>34019</v>
      </c>
      <c r="H585" s="59">
        <v>34046</v>
      </c>
      <c r="I585" s="60">
        <v>8</v>
      </c>
      <c r="J585" s="58"/>
      <c r="K585" s="58" t="s">
        <v>5502</v>
      </c>
      <c r="L585" s="58"/>
      <c r="M585" s="58"/>
      <c r="N585" s="58"/>
      <c r="O585" s="58"/>
      <c r="P585" s="61">
        <f t="shared" ref="P585:P648" si="9">IF(F585="","",IF(ISERR(F585-E585)=TRUE,"",F585-E585+1))</f>
        <v>5</v>
      </c>
      <c r="Q585" s="62" t="s">
        <v>7232</v>
      </c>
      <c r="R585" s="73"/>
      <c r="S585" s="74"/>
    </row>
    <row r="586" spans="1:19" s="63" customFormat="1" ht="59.25" customHeight="1" x14ac:dyDescent="0.25">
      <c r="A586" s="71">
        <v>578</v>
      </c>
      <c r="B586" s="72" t="s">
        <v>7233</v>
      </c>
      <c r="C586" s="56" t="s">
        <v>7234</v>
      </c>
      <c r="D586" s="57"/>
      <c r="E586" s="58">
        <v>1</v>
      </c>
      <c r="F586" s="58">
        <v>4</v>
      </c>
      <c r="G586" s="59">
        <v>34019</v>
      </c>
      <c r="H586" s="59">
        <v>34046</v>
      </c>
      <c r="I586" s="60">
        <v>8</v>
      </c>
      <c r="J586" s="58"/>
      <c r="K586" s="58" t="s">
        <v>5502</v>
      </c>
      <c r="L586" s="58"/>
      <c r="M586" s="58"/>
      <c r="N586" s="58"/>
      <c r="O586" s="58"/>
      <c r="P586" s="61">
        <f t="shared" si="9"/>
        <v>4</v>
      </c>
      <c r="Q586" s="62" t="s">
        <v>7235</v>
      </c>
      <c r="R586" s="73"/>
      <c r="S586" s="74"/>
    </row>
    <row r="587" spans="1:19" s="63" customFormat="1" ht="60" customHeight="1" x14ac:dyDescent="0.25">
      <c r="A587" s="71">
        <v>579</v>
      </c>
      <c r="B587" s="72" t="s">
        <v>7236</v>
      </c>
      <c r="C587" s="56" t="s">
        <v>7237</v>
      </c>
      <c r="D587" s="57"/>
      <c r="E587" s="58">
        <v>1</v>
      </c>
      <c r="F587" s="58">
        <v>4</v>
      </c>
      <c r="G587" s="59">
        <v>34019</v>
      </c>
      <c r="H587" s="59">
        <v>34046</v>
      </c>
      <c r="I587" s="60">
        <v>8</v>
      </c>
      <c r="J587" s="58"/>
      <c r="K587" s="58" t="s">
        <v>5502</v>
      </c>
      <c r="L587" s="58"/>
      <c r="M587" s="58"/>
      <c r="N587" s="58"/>
      <c r="O587" s="58"/>
      <c r="P587" s="61">
        <f t="shared" si="9"/>
        <v>4</v>
      </c>
      <c r="Q587" s="62" t="s">
        <v>7238</v>
      </c>
      <c r="R587" s="73"/>
      <c r="S587" s="74"/>
    </row>
    <row r="588" spans="1:19" s="63" customFormat="1" ht="56.25" customHeight="1" x14ac:dyDescent="0.25">
      <c r="A588" s="71">
        <v>580</v>
      </c>
      <c r="B588" s="72" t="s">
        <v>7239</v>
      </c>
      <c r="C588" s="56" t="s">
        <v>7240</v>
      </c>
      <c r="D588" s="57"/>
      <c r="E588" s="58">
        <v>1</v>
      </c>
      <c r="F588" s="58">
        <v>4</v>
      </c>
      <c r="G588" s="59">
        <v>34019</v>
      </c>
      <c r="H588" s="59">
        <v>34046</v>
      </c>
      <c r="I588" s="60">
        <v>8</v>
      </c>
      <c r="J588" s="58"/>
      <c r="K588" s="58" t="s">
        <v>5502</v>
      </c>
      <c r="L588" s="58"/>
      <c r="M588" s="58"/>
      <c r="N588" s="58"/>
      <c r="O588" s="58"/>
      <c r="P588" s="61">
        <f t="shared" si="9"/>
        <v>4</v>
      </c>
      <c r="Q588" s="62" t="s">
        <v>7241</v>
      </c>
      <c r="R588" s="73"/>
      <c r="S588" s="74"/>
    </row>
    <row r="589" spans="1:19" s="63" customFormat="1" ht="60" customHeight="1" x14ac:dyDescent="0.25">
      <c r="A589" s="71">
        <v>581</v>
      </c>
      <c r="B589" s="72" t="s">
        <v>7242</v>
      </c>
      <c r="C589" s="56" t="s">
        <v>7243</v>
      </c>
      <c r="D589" s="57"/>
      <c r="E589" s="58">
        <v>1</v>
      </c>
      <c r="F589" s="58">
        <v>5</v>
      </c>
      <c r="G589" s="59">
        <v>34019</v>
      </c>
      <c r="H589" s="59">
        <v>34046</v>
      </c>
      <c r="I589" s="60">
        <v>8</v>
      </c>
      <c r="J589" s="58"/>
      <c r="K589" s="58" t="s">
        <v>5502</v>
      </c>
      <c r="L589" s="58"/>
      <c r="M589" s="58"/>
      <c r="N589" s="58"/>
      <c r="O589" s="58"/>
      <c r="P589" s="61">
        <f t="shared" si="9"/>
        <v>5</v>
      </c>
      <c r="Q589" s="62" t="s">
        <v>7244</v>
      </c>
      <c r="R589" s="73"/>
      <c r="S589" s="74"/>
    </row>
    <row r="590" spans="1:19" s="63" customFormat="1" ht="56.25" x14ac:dyDescent="0.25">
      <c r="A590" s="71">
        <v>582</v>
      </c>
      <c r="B590" s="72" t="s">
        <v>7245</v>
      </c>
      <c r="C590" s="56" t="s">
        <v>7246</v>
      </c>
      <c r="D590" s="57"/>
      <c r="E590" s="58">
        <v>1</v>
      </c>
      <c r="F590" s="58">
        <v>5</v>
      </c>
      <c r="G590" s="59">
        <v>34019</v>
      </c>
      <c r="H590" s="59">
        <v>34046</v>
      </c>
      <c r="I590" s="60">
        <v>8</v>
      </c>
      <c r="J590" s="58"/>
      <c r="K590" s="58" t="s">
        <v>5502</v>
      </c>
      <c r="L590" s="58"/>
      <c r="M590" s="58"/>
      <c r="N590" s="58"/>
      <c r="O590" s="58"/>
      <c r="P590" s="61">
        <f t="shared" si="9"/>
        <v>5</v>
      </c>
      <c r="Q590" s="62" t="s">
        <v>7247</v>
      </c>
      <c r="R590" s="73"/>
      <c r="S590" s="74"/>
    </row>
    <row r="591" spans="1:19" s="63" customFormat="1" ht="62.25" customHeight="1" x14ac:dyDescent="0.25">
      <c r="A591" s="71">
        <v>583</v>
      </c>
      <c r="B591" s="72" t="s">
        <v>7248</v>
      </c>
      <c r="C591" s="56" t="s">
        <v>7249</v>
      </c>
      <c r="D591" s="57"/>
      <c r="E591" s="58">
        <v>1</v>
      </c>
      <c r="F591" s="58">
        <v>5</v>
      </c>
      <c r="G591" s="59">
        <v>34019</v>
      </c>
      <c r="H591" s="59">
        <v>34046</v>
      </c>
      <c r="I591" s="60">
        <v>8</v>
      </c>
      <c r="J591" s="58"/>
      <c r="K591" s="58" t="s">
        <v>5502</v>
      </c>
      <c r="L591" s="58"/>
      <c r="M591" s="58"/>
      <c r="N591" s="58"/>
      <c r="O591" s="58"/>
      <c r="P591" s="61">
        <f t="shared" si="9"/>
        <v>5</v>
      </c>
      <c r="Q591" s="62" t="s">
        <v>7250</v>
      </c>
      <c r="R591" s="73"/>
      <c r="S591" s="74"/>
    </row>
    <row r="592" spans="1:19" s="63" customFormat="1" hidden="1" x14ac:dyDescent="0.25">
      <c r="A592" s="75"/>
      <c r="B592" s="76"/>
      <c r="C592" s="56"/>
      <c r="D592" s="57"/>
      <c r="E592" s="70"/>
      <c r="F592" s="58"/>
      <c r="G592" s="59"/>
      <c r="H592" s="59"/>
      <c r="I592" s="60"/>
      <c r="J592" s="58"/>
      <c r="K592" s="58"/>
      <c r="L592" s="58"/>
      <c r="M592" s="58"/>
      <c r="N592" s="58"/>
      <c r="O592" s="58"/>
      <c r="P592" s="61" t="str">
        <f t="shared" si="9"/>
        <v/>
      </c>
      <c r="Q592" s="62"/>
      <c r="R592" s="73"/>
      <c r="S592" s="74"/>
    </row>
    <row r="593" spans="1:19" s="63" customFormat="1" hidden="1" x14ac:dyDescent="0.25">
      <c r="A593" s="75"/>
      <c r="B593" s="76"/>
      <c r="C593" s="56"/>
      <c r="D593" s="57"/>
      <c r="E593" s="70"/>
      <c r="F593" s="58"/>
      <c r="G593" s="59"/>
      <c r="H593" s="59"/>
      <c r="I593" s="60"/>
      <c r="J593" s="58"/>
      <c r="K593" s="58"/>
      <c r="L593" s="58"/>
      <c r="M593" s="58"/>
      <c r="N593" s="58"/>
      <c r="O593" s="58"/>
      <c r="P593" s="61" t="str">
        <f t="shared" si="9"/>
        <v/>
      </c>
      <c r="Q593" s="62"/>
      <c r="R593" s="73"/>
      <c r="S593" s="74"/>
    </row>
    <row r="594" spans="1:19" s="63" customFormat="1" hidden="1" x14ac:dyDescent="0.25">
      <c r="A594" s="75"/>
      <c r="B594" s="76"/>
      <c r="C594" s="56"/>
      <c r="D594" s="57"/>
      <c r="E594" s="70"/>
      <c r="F594" s="58"/>
      <c r="G594" s="59"/>
      <c r="H594" s="59"/>
      <c r="I594" s="60"/>
      <c r="J594" s="58"/>
      <c r="K594" s="58"/>
      <c r="L594" s="58"/>
      <c r="M594" s="58"/>
      <c r="N594" s="58"/>
      <c r="O594" s="58"/>
      <c r="P594" s="61" t="str">
        <f t="shared" si="9"/>
        <v/>
      </c>
      <c r="Q594" s="62"/>
      <c r="R594" s="73"/>
      <c r="S594" s="74"/>
    </row>
    <row r="595" spans="1:19" s="63" customFormat="1" hidden="1" x14ac:dyDescent="0.25">
      <c r="A595" s="75"/>
      <c r="B595" s="76"/>
      <c r="C595" s="56"/>
      <c r="D595" s="57"/>
      <c r="E595" s="70"/>
      <c r="F595" s="58"/>
      <c r="G595" s="59"/>
      <c r="H595" s="59"/>
      <c r="I595" s="60"/>
      <c r="J595" s="58"/>
      <c r="K595" s="58"/>
      <c r="L595" s="58"/>
      <c r="M595" s="58"/>
      <c r="N595" s="58"/>
      <c r="O595" s="58"/>
      <c r="P595" s="61" t="str">
        <f t="shared" si="9"/>
        <v/>
      </c>
      <c r="Q595" s="62"/>
      <c r="R595" s="73"/>
      <c r="S595" s="74"/>
    </row>
    <row r="596" spans="1:19" s="63" customFormat="1" hidden="1" x14ac:dyDescent="0.25">
      <c r="A596" s="75"/>
      <c r="B596" s="76"/>
      <c r="C596" s="56"/>
      <c r="D596" s="57"/>
      <c r="E596" s="70"/>
      <c r="F596" s="58"/>
      <c r="G596" s="59"/>
      <c r="H596" s="59"/>
      <c r="I596" s="60"/>
      <c r="J596" s="58"/>
      <c r="K596" s="58"/>
      <c r="L596" s="58"/>
      <c r="M596" s="58"/>
      <c r="N596" s="58"/>
      <c r="O596" s="58"/>
      <c r="P596" s="61" t="str">
        <f t="shared" si="9"/>
        <v/>
      </c>
      <c r="Q596" s="62"/>
      <c r="R596" s="73"/>
      <c r="S596" s="74"/>
    </row>
    <row r="597" spans="1:19" s="63" customFormat="1" hidden="1" x14ac:dyDescent="0.25">
      <c r="A597" s="75"/>
      <c r="B597" s="76"/>
      <c r="C597" s="56"/>
      <c r="D597" s="57"/>
      <c r="E597" s="70"/>
      <c r="F597" s="58"/>
      <c r="G597" s="59"/>
      <c r="H597" s="59"/>
      <c r="I597" s="60"/>
      <c r="J597" s="58"/>
      <c r="K597" s="58"/>
      <c r="L597" s="58"/>
      <c r="M597" s="58"/>
      <c r="N597" s="58"/>
      <c r="O597" s="58"/>
      <c r="P597" s="61" t="str">
        <f t="shared" si="9"/>
        <v/>
      </c>
      <c r="Q597" s="62"/>
      <c r="R597" s="73"/>
      <c r="S597" s="74"/>
    </row>
    <row r="598" spans="1:19" s="63" customFormat="1" hidden="1" x14ac:dyDescent="0.25">
      <c r="A598" s="75"/>
      <c r="B598" s="76"/>
      <c r="C598" s="56"/>
      <c r="D598" s="57"/>
      <c r="E598" s="70"/>
      <c r="F598" s="58"/>
      <c r="G598" s="59"/>
      <c r="H598" s="59"/>
      <c r="I598" s="60"/>
      <c r="J598" s="58"/>
      <c r="K598" s="58"/>
      <c r="L598" s="58"/>
      <c r="M598" s="58"/>
      <c r="N598" s="58"/>
      <c r="O598" s="58"/>
      <c r="P598" s="61" t="str">
        <f t="shared" si="9"/>
        <v/>
      </c>
      <c r="Q598" s="62"/>
      <c r="R598" s="73"/>
      <c r="S598" s="74"/>
    </row>
    <row r="599" spans="1:19" s="63" customFormat="1" hidden="1" x14ac:dyDescent="0.25">
      <c r="A599" s="75"/>
      <c r="B599" s="76"/>
      <c r="C599" s="56"/>
      <c r="D599" s="57"/>
      <c r="E599" s="70"/>
      <c r="F599" s="58"/>
      <c r="G599" s="59"/>
      <c r="H599" s="59"/>
      <c r="I599" s="60"/>
      <c r="J599" s="58"/>
      <c r="K599" s="58"/>
      <c r="L599" s="58"/>
      <c r="M599" s="58"/>
      <c r="N599" s="58"/>
      <c r="O599" s="58"/>
      <c r="P599" s="61" t="str">
        <f t="shared" si="9"/>
        <v/>
      </c>
      <c r="Q599" s="62"/>
      <c r="R599" s="73"/>
      <c r="S599" s="74"/>
    </row>
    <row r="600" spans="1:19" s="63" customFormat="1" hidden="1" x14ac:dyDescent="0.25">
      <c r="A600" s="75"/>
      <c r="B600" s="76"/>
      <c r="C600" s="56"/>
      <c r="D600" s="57"/>
      <c r="E600" s="70"/>
      <c r="F600" s="58"/>
      <c r="G600" s="59"/>
      <c r="H600" s="59"/>
      <c r="I600" s="60"/>
      <c r="J600" s="58"/>
      <c r="K600" s="58"/>
      <c r="L600" s="58"/>
      <c r="M600" s="58"/>
      <c r="N600" s="58"/>
      <c r="O600" s="58"/>
      <c r="P600" s="61" t="str">
        <f t="shared" si="9"/>
        <v/>
      </c>
      <c r="Q600" s="62"/>
      <c r="R600" s="73"/>
      <c r="S600" s="74"/>
    </row>
    <row r="601" spans="1:19" s="63" customFormat="1" hidden="1" x14ac:dyDescent="0.25">
      <c r="A601" s="75"/>
      <c r="B601" s="76"/>
      <c r="C601" s="56"/>
      <c r="D601" s="57"/>
      <c r="E601" s="70"/>
      <c r="F601" s="58"/>
      <c r="G601" s="59"/>
      <c r="H601" s="59"/>
      <c r="I601" s="60"/>
      <c r="J601" s="58"/>
      <c r="K601" s="58"/>
      <c r="L601" s="58"/>
      <c r="M601" s="58"/>
      <c r="N601" s="58"/>
      <c r="O601" s="58"/>
      <c r="P601" s="61" t="str">
        <f t="shared" si="9"/>
        <v/>
      </c>
      <c r="Q601" s="62"/>
      <c r="R601" s="73"/>
      <c r="S601" s="74"/>
    </row>
    <row r="602" spans="1:19" s="63" customFormat="1" hidden="1" x14ac:dyDescent="0.25">
      <c r="A602" s="75"/>
      <c r="B602" s="76"/>
      <c r="C602" s="56"/>
      <c r="D602" s="57"/>
      <c r="E602" s="70"/>
      <c r="F602" s="58"/>
      <c r="G602" s="59"/>
      <c r="H602" s="59"/>
      <c r="I602" s="60"/>
      <c r="J602" s="58"/>
      <c r="K602" s="58"/>
      <c r="L602" s="58"/>
      <c r="M602" s="58"/>
      <c r="N602" s="58"/>
      <c r="O602" s="58"/>
      <c r="P602" s="61" t="str">
        <f t="shared" si="9"/>
        <v/>
      </c>
      <c r="Q602" s="62"/>
      <c r="R602" s="73"/>
      <c r="S602" s="74"/>
    </row>
    <row r="603" spans="1:19" s="63" customFormat="1" hidden="1" x14ac:dyDescent="0.25">
      <c r="A603" s="75"/>
      <c r="B603" s="76"/>
      <c r="C603" s="56"/>
      <c r="D603" s="57"/>
      <c r="E603" s="70"/>
      <c r="F603" s="58"/>
      <c r="G603" s="59"/>
      <c r="H603" s="59"/>
      <c r="I603" s="60"/>
      <c r="J603" s="58"/>
      <c r="K603" s="58"/>
      <c r="L603" s="58"/>
      <c r="M603" s="58"/>
      <c r="N603" s="58"/>
      <c r="O603" s="58"/>
      <c r="P603" s="61" t="str">
        <f t="shared" si="9"/>
        <v/>
      </c>
      <c r="Q603" s="62"/>
      <c r="R603" s="73"/>
      <c r="S603" s="74"/>
    </row>
    <row r="604" spans="1:19" s="63" customFormat="1" hidden="1" x14ac:dyDescent="0.25">
      <c r="A604" s="75"/>
      <c r="B604" s="76"/>
      <c r="C604" s="56"/>
      <c r="D604" s="57"/>
      <c r="E604" s="70"/>
      <c r="F604" s="58"/>
      <c r="G604" s="59"/>
      <c r="H604" s="59"/>
      <c r="I604" s="60"/>
      <c r="J604" s="58"/>
      <c r="K604" s="58"/>
      <c r="L604" s="58"/>
      <c r="M604" s="58"/>
      <c r="N604" s="58"/>
      <c r="O604" s="58"/>
      <c r="P604" s="61" t="str">
        <f t="shared" si="9"/>
        <v/>
      </c>
      <c r="Q604" s="62"/>
      <c r="R604" s="73"/>
      <c r="S604" s="74"/>
    </row>
    <row r="605" spans="1:19" s="63" customFormat="1" hidden="1" x14ac:dyDescent="0.25">
      <c r="A605" s="75"/>
      <c r="B605" s="76"/>
      <c r="C605" s="56"/>
      <c r="D605" s="57"/>
      <c r="E605" s="70"/>
      <c r="F605" s="58"/>
      <c r="G605" s="59"/>
      <c r="H605" s="59"/>
      <c r="I605" s="60"/>
      <c r="J605" s="58"/>
      <c r="K605" s="58"/>
      <c r="L605" s="58"/>
      <c r="M605" s="58"/>
      <c r="N605" s="58"/>
      <c r="O605" s="58"/>
      <c r="P605" s="61" t="str">
        <f t="shared" si="9"/>
        <v/>
      </c>
      <c r="Q605" s="62"/>
      <c r="R605" s="73"/>
      <c r="S605" s="74"/>
    </row>
    <row r="606" spans="1:19" s="63" customFormat="1" hidden="1" x14ac:dyDescent="0.25">
      <c r="A606" s="75"/>
      <c r="B606" s="76"/>
      <c r="C606" s="56"/>
      <c r="D606" s="57"/>
      <c r="E606" s="70"/>
      <c r="F606" s="58"/>
      <c r="G606" s="59"/>
      <c r="H606" s="59"/>
      <c r="I606" s="60"/>
      <c r="J606" s="58"/>
      <c r="K606" s="58"/>
      <c r="L606" s="58"/>
      <c r="M606" s="58"/>
      <c r="N606" s="58"/>
      <c r="O606" s="58"/>
      <c r="P606" s="61" t="str">
        <f t="shared" si="9"/>
        <v/>
      </c>
      <c r="Q606" s="62"/>
      <c r="R606" s="73"/>
      <c r="S606" s="74"/>
    </row>
    <row r="607" spans="1:19" s="63" customFormat="1" hidden="1" x14ac:dyDescent="0.25">
      <c r="A607" s="75"/>
      <c r="B607" s="76"/>
      <c r="C607" s="56"/>
      <c r="D607" s="57"/>
      <c r="E607" s="70"/>
      <c r="F607" s="58"/>
      <c r="G607" s="59"/>
      <c r="H607" s="59"/>
      <c r="I607" s="60"/>
      <c r="J607" s="58"/>
      <c r="K607" s="58"/>
      <c r="L607" s="58"/>
      <c r="M607" s="58"/>
      <c r="N607" s="58"/>
      <c r="O607" s="58"/>
      <c r="P607" s="61" t="str">
        <f t="shared" si="9"/>
        <v/>
      </c>
      <c r="Q607" s="62"/>
      <c r="R607" s="73"/>
      <c r="S607" s="74"/>
    </row>
    <row r="608" spans="1:19" s="63" customFormat="1" hidden="1" x14ac:dyDescent="0.25">
      <c r="A608" s="75"/>
      <c r="B608" s="76"/>
      <c r="C608" s="56"/>
      <c r="D608" s="57"/>
      <c r="E608" s="70"/>
      <c r="F608" s="58"/>
      <c r="G608" s="59"/>
      <c r="H608" s="59"/>
      <c r="I608" s="60"/>
      <c r="J608" s="58"/>
      <c r="K608" s="58"/>
      <c r="L608" s="58"/>
      <c r="M608" s="58"/>
      <c r="N608" s="58"/>
      <c r="O608" s="58"/>
      <c r="P608" s="61" t="str">
        <f t="shared" si="9"/>
        <v/>
      </c>
      <c r="Q608" s="62"/>
      <c r="R608" s="73"/>
      <c r="S608" s="74"/>
    </row>
    <row r="609" spans="1:19" s="63" customFormat="1" hidden="1" x14ac:dyDescent="0.25">
      <c r="A609" s="75"/>
      <c r="B609" s="76"/>
      <c r="C609" s="56"/>
      <c r="D609" s="57"/>
      <c r="E609" s="70"/>
      <c r="F609" s="58"/>
      <c r="G609" s="59"/>
      <c r="H609" s="59"/>
      <c r="I609" s="60"/>
      <c r="J609" s="58"/>
      <c r="K609" s="58"/>
      <c r="L609" s="58"/>
      <c r="M609" s="58"/>
      <c r="N609" s="58"/>
      <c r="O609" s="58"/>
      <c r="P609" s="61" t="str">
        <f t="shared" si="9"/>
        <v/>
      </c>
      <c r="Q609" s="62"/>
      <c r="R609" s="73"/>
      <c r="S609" s="74"/>
    </row>
    <row r="610" spans="1:19" s="63" customFormat="1" hidden="1" x14ac:dyDescent="0.25">
      <c r="A610" s="75"/>
      <c r="B610" s="76"/>
      <c r="C610" s="56"/>
      <c r="D610" s="57"/>
      <c r="E610" s="70"/>
      <c r="F610" s="58"/>
      <c r="G610" s="59"/>
      <c r="H610" s="59"/>
      <c r="I610" s="60"/>
      <c r="J610" s="58"/>
      <c r="K610" s="58"/>
      <c r="L610" s="58"/>
      <c r="M610" s="58"/>
      <c r="N610" s="58"/>
      <c r="O610" s="58"/>
      <c r="P610" s="61" t="str">
        <f t="shared" si="9"/>
        <v/>
      </c>
      <c r="Q610" s="62"/>
      <c r="R610" s="73"/>
      <c r="S610" s="74"/>
    </row>
    <row r="611" spans="1:19" s="63" customFormat="1" hidden="1" x14ac:dyDescent="0.25">
      <c r="A611" s="75"/>
      <c r="B611" s="76"/>
      <c r="C611" s="56"/>
      <c r="D611" s="57"/>
      <c r="E611" s="70"/>
      <c r="F611" s="58"/>
      <c r="G611" s="59"/>
      <c r="H611" s="59"/>
      <c r="I611" s="60"/>
      <c r="J611" s="58"/>
      <c r="K611" s="58"/>
      <c r="L611" s="58"/>
      <c r="M611" s="58"/>
      <c r="N611" s="58"/>
      <c r="O611" s="58"/>
      <c r="P611" s="61" t="str">
        <f t="shared" si="9"/>
        <v/>
      </c>
      <c r="Q611" s="62"/>
      <c r="R611" s="73"/>
      <c r="S611" s="74"/>
    </row>
    <row r="612" spans="1:19" s="63" customFormat="1" hidden="1" x14ac:dyDescent="0.25">
      <c r="A612" s="75"/>
      <c r="B612" s="76"/>
      <c r="C612" s="56"/>
      <c r="D612" s="57"/>
      <c r="E612" s="70"/>
      <c r="F612" s="58"/>
      <c r="G612" s="59"/>
      <c r="H612" s="59"/>
      <c r="I612" s="60"/>
      <c r="J612" s="58"/>
      <c r="K612" s="58"/>
      <c r="L612" s="58"/>
      <c r="M612" s="58"/>
      <c r="N612" s="58"/>
      <c r="O612" s="58"/>
      <c r="P612" s="61" t="str">
        <f t="shared" si="9"/>
        <v/>
      </c>
      <c r="Q612" s="62"/>
      <c r="R612" s="73"/>
      <c r="S612" s="74"/>
    </row>
    <row r="613" spans="1:19" s="63" customFormat="1" hidden="1" x14ac:dyDescent="0.25">
      <c r="A613" s="75"/>
      <c r="B613" s="76"/>
      <c r="C613" s="56"/>
      <c r="D613" s="57"/>
      <c r="E613" s="70"/>
      <c r="F613" s="58"/>
      <c r="G613" s="59"/>
      <c r="H613" s="59"/>
      <c r="I613" s="60"/>
      <c r="J613" s="58"/>
      <c r="K613" s="58"/>
      <c r="L613" s="58"/>
      <c r="M613" s="58"/>
      <c r="N613" s="58"/>
      <c r="O613" s="58"/>
      <c r="P613" s="61" t="str">
        <f t="shared" si="9"/>
        <v/>
      </c>
      <c r="Q613" s="62"/>
      <c r="R613" s="73"/>
      <c r="S613" s="74"/>
    </row>
    <row r="614" spans="1:19" s="63" customFormat="1" hidden="1" x14ac:dyDescent="0.25">
      <c r="A614" s="75"/>
      <c r="B614" s="76"/>
      <c r="C614" s="56"/>
      <c r="D614" s="57"/>
      <c r="E614" s="70"/>
      <c r="F614" s="58"/>
      <c r="G614" s="59"/>
      <c r="H614" s="59"/>
      <c r="I614" s="60"/>
      <c r="J614" s="58"/>
      <c r="K614" s="58"/>
      <c r="L614" s="58"/>
      <c r="M614" s="58"/>
      <c r="N614" s="58"/>
      <c r="O614" s="58"/>
      <c r="P614" s="61" t="str">
        <f t="shared" si="9"/>
        <v/>
      </c>
      <c r="Q614" s="62"/>
      <c r="R614" s="73"/>
      <c r="S614" s="74"/>
    </row>
    <row r="615" spans="1:19" s="63" customFormat="1" hidden="1" x14ac:dyDescent="0.25">
      <c r="A615" s="75"/>
      <c r="B615" s="76"/>
      <c r="C615" s="56"/>
      <c r="D615" s="57"/>
      <c r="E615" s="70"/>
      <c r="F615" s="58"/>
      <c r="G615" s="59"/>
      <c r="H615" s="59"/>
      <c r="I615" s="60"/>
      <c r="J615" s="58"/>
      <c r="K615" s="58"/>
      <c r="L615" s="58"/>
      <c r="M615" s="58"/>
      <c r="N615" s="58"/>
      <c r="O615" s="58"/>
      <c r="P615" s="61" t="str">
        <f t="shared" si="9"/>
        <v/>
      </c>
      <c r="Q615" s="62"/>
      <c r="R615" s="73"/>
      <c r="S615" s="74"/>
    </row>
    <row r="616" spans="1:19" s="63" customFormat="1" hidden="1" x14ac:dyDescent="0.25">
      <c r="A616" s="75"/>
      <c r="B616" s="76"/>
      <c r="C616" s="56"/>
      <c r="D616" s="57"/>
      <c r="E616" s="70"/>
      <c r="F616" s="58"/>
      <c r="G616" s="59"/>
      <c r="H616" s="59"/>
      <c r="I616" s="60"/>
      <c r="J616" s="58"/>
      <c r="K616" s="58"/>
      <c r="L616" s="58"/>
      <c r="M616" s="58"/>
      <c r="N616" s="58"/>
      <c r="O616" s="58"/>
      <c r="P616" s="61" t="str">
        <f t="shared" si="9"/>
        <v/>
      </c>
      <c r="Q616" s="62"/>
      <c r="R616" s="73"/>
      <c r="S616" s="74"/>
    </row>
    <row r="617" spans="1:19" s="63" customFormat="1" hidden="1" x14ac:dyDescent="0.25">
      <c r="A617" s="75"/>
      <c r="B617" s="76"/>
      <c r="C617" s="56"/>
      <c r="D617" s="57"/>
      <c r="E617" s="70"/>
      <c r="F617" s="58"/>
      <c r="G617" s="59"/>
      <c r="H617" s="59"/>
      <c r="I617" s="60"/>
      <c r="J617" s="58"/>
      <c r="K617" s="58"/>
      <c r="L617" s="58"/>
      <c r="M617" s="58"/>
      <c r="N617" s="58"/>
      <c r="O617" s="58"/>
      <c r="P617" s="61" t="str">
        <f t="shared" si="9"/>
        <v/>
      </c>
      <c r="Q617" s="62"/>
      <c r="R617" s="73"/>
      <c r="S617" s="74"/>
    </row>
    <row r="618" spans="1:19" s="63" customFormat="1" hidden="1" x14ac:dyDescent="0.25">
      <c r="A618" s="75"/>
      <c r="B618" s="76"/>
      <c r="C618" s="56"/>
      <c r="D618" s="57"/>
      <c r="E618" s="70"/>
      <c r="F618" s="58"/>
      <c r="G618" s="59"/>
      <c r="H618" s="59"/>
      <c r="I618" s="60"/>
      <c r="J618" s="58"/>
      <c r="K618" s="58"/>
      <c r="L618" s="58"/>
      <c r="M618" s="58"/>
      <c r="N618" s="58"/>
      <c r="O618" s="58"/>
      <c r="P618" s="61" t="str">
        <f t="shared" si="9"/>
        <v/>
      </c>
      <c r="Q618" s="62"/>
      <c r="R618" s="73"/>
      <c r="S618" s="74"/>
    </row>
    <row r="619" spans="1:19" s="63" customFormat="1" hidden="1" x14ac:dyDescent="0.25">
      <c r="A619" s="75"/>
      <c r="B619" s="76"/>
      <c r="C619" s="56"/>
      <c r="D619" s="57"/>
      <c r="E619" s="70"/>
      <c r="F619" s="58"/>
      <c r="G619" s="59"/>
      <c r="H619" s="59"/>
      <c r="I619" s="60"/>
      <c r="J619" s="58"/>
      <c r="K619" s="58"/>
      <c r="L619" s="58"/>
      <c r="M619" s="58"/>
      <c r="N619" s="58"/>
      <c r="O619" s="58"/>
      <c r="P619" s="61" t="str">
        <f t="shared" si="9"/>
        <v/>
      </c>
      <c r="Q619" s="62"/>
      <c r="R619" s="73"/>
      <c r="S619" s="74"/>
    </row>
    <row r="620" spans="1:19" s="63" customFormat="1" hidden="1" x14ac:dyDescent="0.25">
      <c r="A620" s="75"/>
      <c r="B620" s="76"/>
      <c r="C620" s="56"/>
      <c r="D620" s="57"/>
      <c r="E620" s="70"/>
      <c r="F620" s="58"/>
      <c r="G620" s="59"/>
      <c r="H620" s="59"/>
      <c r="I620" s="60"/>
      <c r="J620" s="58"/>
      <c r="K620" s="58"/>
      <c r="L620" s="58"/>
      <c r="M620" s="58"/>
      <c r="N620" s="58"/>
      <c r="O620" s="58"/>
      <c r="P620" s="61" t="str">
        <f t="shared" si="9"/>
        <v/>
      </c>
      <c r="Q620" s="62"/>
      <c r="R620" s="73"/>
      <c r="S620" s="74"/>
    </row>
    <row r="621" spans="1:19" s="63" customFormat="1" hidden="1" x14ac:dyDescent="0.25">
      <c r="A621" s="75"/>
      <c r="B621" s="76"/>
      <c r="C621" s="56"/>
      <c r="D621" s="57"/>
      <c r="E621" s="70"/>
      <c r="F621" s="58"/>
      <c r="G621" s="59"/>
      <c r="H621" s="59"/>
      <c r="I621" s="60"/>
      <c r="J621" s="58"/>
      <c r="K621" s="58"/>
      <c r="L621" s="58"/>
      <c r="M621" s="58"/>
      <c r="N621" s="58"/>
      <c r="O621" s="58"/>
      <c r="P621" s="61" t="str">
        <f t="shared" si="9"/>
        <v/>
      </c>
      <c r="Q621" s="62"/>
      <c r="R621" s="73"/>
      <c r="S621" s="74"/>
    </row>
    <row r="622" spans="1:19" s="63" customFormat="1" hidden="1" x14ac:dyDescent="0.25">
      <c r="A622" s="75"/>
      <c r="B622" s="76"/>
      <c r="C622" s="56"/>
      <c r="D622" s="57"/>
      <c r="E622" s="70"/>
      <c r="F622" s="58"/>
      <c r="G622" s="59"/>
      <c r="H622" s="59"/>
      <c r="I622" s="60"/>
      <c r="J622" s="58"/>
      <c r="K622" s="58"/>
      <c r="L622" s="58"/>
      <c r="M622" s="58"/>
      <c r="N622" s="58"/>
      <c r="O622" s="58"/>
      <c r="P622" s="61" t="str">
        <f t="shared" si="9"/>
        <v/>
      </c>
      <c r="Q622" s="62"/>
      <c r="R622" s="73"/>
      <c r="S622" s="74"/>
    </row>
    <row r="623" spans="1:19" s="63" customFormat="1" hidden="1" x14ac:dyDescent="0.25">
      <c r="A623" s="75"/>
      <c r="B623" s="76"/>
      <c r="C623" s="56"/>
      <c r="D623" s="57"/>
      <c r="E623" s="70"/>
      <c r="F623" s="58"/>
      <c r="G623" s="59"/>
      <c r="H623" s="59"/>
      <c r="I623" s="60"/>
      <c r="J623" s="58"/>
      <c r="K623" s="58"/>
      <c r="L623" s="58"/>
      <c r="M623" s="58"/>
      <c r="N623" s="58"/>
      <c r="O623" s="58"/>
      <c r="P623" s="61" t="str">
        <f t="shared" si="9"/>
        <v/>
      </c>
      <c r="Q623" s="62"/>
      <c r="R623" s="73"/>
      <c r="S623" s="74"/>
    </row>
    <row r="624" spans="1:19" s="63" customFormat="1" hidden="1" x14ac:dyDescent="0.25">
      <c r="A624" s="75"/>
      <c r="B624" s="76"/>
      <c r="C624" s="56"/>
      <c r="D624" s="57"/>
      <c r="E624" s="70"/>
      <c r="F624" s="58"/>
      <c r="G624" s="59"/>
      <c r="H624" s="59"/>
      <c r="I624" s="60"/>
      <c r="J624" s="58"/>
      <c r="K624" s="58"/>
      <c r="L624" s="58"/>
      <c r="M624" s="58"/>
      <c r="N624" s="58"/>
      <c r="O624" s="58"/>
      <c r="P624" s="61" t="str">
        <f t="shared" si="9"/>
        <v/>
      </c>
      <c r="Q624" s="62"/>
      <c r="R624" s="73"/>
      <c r="S624" s="74"/>
    </row>
    <row r="625" spans="1:19" s="63" customFormat="1" hidden="1" x14ac:dyDescent="0.25">
      <c r="A625" s="75"/>
      <c r="B625" s="76"/>
      <c r="C625" s="56"/>
      <c r="D625" s="57"/>
      <c r="E625" s="70"/>
      <c r="F625" s="58"/>
      <c r="G625" s="59"/>
      <c r="H625" s="59"/>
      <c r="I625" s="60"/>
      <c r="J625" s="58"/>
      <c r="K625" s="58"/>
      <c r="L625" s="58"/>
      <c r="M625" s="58"/>
      <c r="N625" s="58"/>
      <c r="O625" s="58"/>
      <c r="P625" s="61" t="str">
        <f t="shared" si="9"/>
        <v/>
      </c>
      <c r="Q625" s="62"/>
      <c r="R625" s="73"/>
      <c r="S625" s="74"/>
    </row>
    <row r="626" spans="1:19" s="63" customFormat="1" hidden="1" x14ac:dyDescent="0.25">
      <c r="A626" s="75"/>
      <c r="B626" s="76"/>
      <c r="C626" s="56"/>
      <c r="D626" s="57"/>
      <c r="E626" s="70"/>
      <c r="F626" s="58"/>
      <c r="G626" s="59"/>
      <c r="H626" s="59"/>
      <c r="I626" s="60"/>
      <c r="J626" s="58"/>
      <c r="K626" s="58"/>
      <c r="L626" s="58"/>
      <c r="M626" s="58"/>
      <c r="N626" s="58"/>
      <c r="O626" s="58"/>
      <c r="P626" s="61" t="str">
        <f t="shared" si="9"/>
        <v/>
      </c>
      <c r="Q626" s="62"/>
      <c r="R626" s="73"/>
      <c r="S626" s="74"/>
    </row>
    <row r="627" spans="1:19" s="63" customFormat="1" hidden="1" x14ac:dyDescent="0.25">
      <c r="A627" s="75"/>
      <c r="B627" s="76"/>
      <c r="C627" s="56"/>
      <c r="D627" s="57"/>
      <c r="E627" s="70"/>
      <c r="F627" s="58"/>
      <c r="G627" s="59"/>
      <c r="H627" s="59"/>
      <c r="I627" s="60"/>
      <c r="J627" s="58"/>
      <c r="K627" s="58"/>
      <c r="L627" s="58"/>
      <c r="M627" s="58"/>
      <c r="N627" s="58"/>
      <c r="O627" s="58"/>
      <c r="P627" s="61" t="str">
        <f t="shared" si="9"/>
        <v/>
      </c>
      <c r="Q627" s="62"/>
      <c r="R627" s="73"/>
      <c r="S627" s="74"/>
    </row>
    <row r="628" spans="1:19" s="63" customFormat="1" hidden="1" x14ac:dyDescent="0.25">
      <c r="A628" s="75"/>
      <c r="B628" s="76"/>
      <c r="C628" s="56"/>
      <c r="D628" s="57"/>
      <c r="E628" s="70"/>
      <c r="F628" s="58"/>
      <c r="G628" s="59"/>
      <c r="H628" s="59"/>
      <c r="I628" s="60"/>
      <c r="J628" s="58"/>
      <c r="K628" s="58"/>
      <c r="L628" s="58"/>
      <c r="M628" s="58"/>
      <c r="N628" s="58"/>
      <c r="O628" s="58"/>
      <c r="P628" s="61" t="str">
        <f t="shared" si="9"/>
        <v/>
      </c>
      <c r="Q628" s="62"/>
      <c r="R628" s="73"/>
      <c r="S628" s="74"/>
    </row>
    <row r="629" spans="1:19" s="63" customFormat="1" hidden="1" x14ac:dyDescent="0.25">
      <c r="A629" s="75"/>
      <c r="B629" s="76"/>
      <c r="C629" s="56"/>
      <c r="D629" s="57"/>
      <c r="E629" s="70"/>
      <c r="F629" s="58"/>
      <c r="G629" s="59"/>
      <c r="H629" s="59"/>
      <c r="I629" s="60"/>
      <c r="J629" s="58"/>
      <c r="K629" s="58"/>
      <c r="L629" s="58"/>
      <c r="M629" s="58"/>
      <c r="N629" s="58"/>
      <c r="O629" s="58"/>
      <c r="P629" s="61" t="str">
        <f t="shared" si="9"/>
        <v/>
      </c>
      <c r="Q629" s="62"/>
      <c r="R629" s="73"/>
      <c r="S629" s="74"/>
    </row>
    <row r="630" spans="1:19" s="63" customFormat="1" hidden="1" x14ac:dyDescent="0.25">
      <c r="A630" s="75"/>
      <c r="B630" s="76"/>
      <c r="C630" s="56"/>
      <c r="D630" s="57"/>
      <c r="E630" s="70"/>
      <c r="F630" s="58"/>
      <c r="G630" s="59"/>
      <c r="H630" s="59"/>
      <c r="I630" s="60"/>
      <c r="J630" s="58"/>
      <c r="K630" s="58"/>
      <c r="L630" s="58"/>
      <c r="M630" s="58"/>
      <c r="N630" s="58"/>
      <c r="O630" s="58"/>
      <c r="P630" s="61" t="str">
        <f t="shared" si="9"/>
        <v/>
      </c>
      <c r="Q630" s="62"/>
      <c r="R630" s="73"/>
      <c r="S630" s="74"/>
    </row>
    <row r="631" spans="1:19" s="63" customFormat="1" hidden="1" x14ac:dyDescent="0.25">
      <c r="A631" s="75"/>
      <c r="B631" s="76"/>
      <c r="C631" s="56"/>
      <c r="D631" s="57"/>
      <c r="E631" s="70"/>
      <c r="F631" s="58"/>
      <c r="G631" s="59"/>
      <c r="H631" s="59"/>
      <c r="I631" s="60"/>
      <c r="J631" s="58"/>
      <c r="K631" s="58"/>
      <c r="L631" s="58"/>
      <c r="M631" s="58"/>
      <c r="N631" s="58"/>
      <c r="O631" s="58"/>
      <c r="P631" s="61" t="str">
        <f t="shared" si="9"/>
        <v/>
      </c>
      <c r="Q631" s="62"/>
      <c r="R631" s="73"/>
      <c r="S631" s="74"/>
    </row>
    <row r="632" spans="1:19" s="63" customFormat="1" hidden="1" x14ac:dyDescent="0.25">
      <c r="A632" s="75"/>
      <c r="B632" s="76"/>
      <c r="C632" s="56"/>
      <c r="D632" s="57"/>
      <c r="E632" s="70"/>
      <c r="F632" s="58"/>
      <c r="G632" s="59"/>
      <c r="H632" s="59"/>
      <c r="I632" s="60"/>
      <c r="J632" s="58"/>
      <c r="K632" s="58"/>
      <c r="L632" s="58"/>
      <c r="M632" s="58"/>
      <c r="N632" s="58"/>
      <c r="O632" s="58"/>
      <c r="P632" s="61" t="str">
        <f t="shared" si="9"/>
        <v/>
      </c>
      <c r="Q632" s="62"/>
      <c r="R632" s="73"/>
      <c r="S632" s="74"/>
    </row>
    <row r="633" spans="1:19" s="63" customFormat="1" hidden="1" x14ac:dyDescent="0.25">
      <c r="A633" s="75"/>
      <c r="B633" s="76"/>
      <c r="C633" s="56"/>
      <c r="D633" s="57"/>
      <c r="E633" s="70"/>
      <c r="F633" s="58"/>
      <c r="G633" s="59"/>
      <c r="H633" s="59"/>
      <c r="I633" s="60"/>
      <c r="J633" s="58"/>
      <c r="K633" s="58"/>
      <c r="L633" s="58"/>
      <c r="M633" s="58"/>
      <c r="N633" s="58"/>
      <c r="O633" s="58"/>
      <c r="P633" s="61" t="str">
        <f t="shared" si="9"/>
        <v/>
      </c>
      <c r="Q633" s="62"/>
      <c r="R633" s="73"/>
      <c r="S633" s="74"/>
    </row>
    <row r="634" spans="1:19" s="63" customFormat="1" hidden="1" x14ac:dyDescent="0.25">
      <c r="A634" s="75"/>
      <c r="B634" s="76"/>
      <c r="C634" s="56"/>
      <c r="D634" s="57"/>
      <c r="E634" s="70"/>
      <c r="F634" s="58"/>
      <c r="G634" s="59"/>
      <c r="H634" s="59"/>
      <c r="I634" s="60"/>
      <c r="J634" s="58"/>
      <c r="K634" s="58"/>
      <c r="L634" s="58"/>
      <c r="M634" s="58"/>
      <c r="N634" s="58"/>
      <c r="O634" s="58"/>
      <c r="P634" s="61" t="str">
        <f t="shared" si="9"/>
        <v/>
      </c>
      <c r="Q634" s="62"/>
      <c r="R634" s="73"/>
      <c r="S634" s="74"/>
    </row>
    <row r="635" spans="1:19" s="63" customFormat="1" hidden="1" x14ac:dyDescent="0.25">
      <c r="A635" s="75"/>
      <c r="B635" s="76"/>
      <c r="C635" s="56"/>
      <c r="D635" s="57"/>
      <c r="E635" s="70"/>
      <c r="F635" s="58"/>
      <c r="G635" s="59"/>
      <c r="H635" s="59"/>
      <c r="I635" s="60"/>
      <c r="J635" s="58"/>
      <c r="K635" s="58"/>
      <c r="L635" s="58"/>
      <c r="M635" s="58"/>
      <c r="N635" s="58"/>
      <c r="O635" s="58"/>
      <c r="P635" s="61" t="str">
        <f t="shared" si="9"/>
        <v/>
      </c>
      <c r="Q635" s="62"/>
      <c r="R635" s="73"/>
      <c r="S635" s="74"/>
    </row>
    <row r="636" spans="1:19" s="63" customFormat="1" hidden="1" x14ac:dyDescent="0.25">
      <c r="A636" s="75"/>
      <c r="B636" s="76"/>
      <c r="C636" s="56"/>
      <c r="D636" s="57"/>
      <c r="E636" s="70"/>
      <c r="F636" s="58"/>
      <c r="G636" s="59"/>
      <c r="H636" s="59"/>
      <c r="I636" s="60"/>
      <c r="J636" s="58"/>
      <c r="K636" s="58"/>
      <c r="L636" s="58"/>
      <c r="M636" s="58"/>
      <c r="N636" s="58"/>
      <c r="O636" s="58"/>
      <c r="P636" s="61" t="str">
        <f t="shared" si="9"/>
        <v/>
      </c>
      <c r="Q636" s="62"/>
      <c r="R636" s="73"/>
      <c r="S636" s="74"/>
    </row>
    <row r="637" spans="1:19" s="63" customFormat="1" hidden="1" x14ac:dyDescent="0.25">
      <c r="A637" s="75"/>
      <c r="B637" s="76"/>
      <c r="C637" s="56"/>
      <c r="D637" s="57"/>
      <c r="E637" s="70"/>
      <c r="F637" s="58"/>
      <c r="G637" s="59"/>
      <c r="H637" s="59"/>
      <c r="I637" s="60"/>
      <c r="J637" s="58"/>
      <c r="K637" s="58"/>
      <c r="L637" s="58"/>
      <c r="M637" s="58"/>
      <c r="N637" s="58"/>
      <c r="O637" s="58"/>
      <c r="P637" s="61" t="str">
        <f t="shared" si="9"/>
        <v/>
      </c>
      <c r="Q637" s="62"/>
      <c r="R637" s="73"/>
      <c r="S637" s="74"/>
    </row>
    <row r="638" spans="1:19" s="63" customFormat="1" hidden="1" x14ac:dyDescent="0.25">
      <c r="A638" s="75"/>
      <c r="B638" s="76"/>
      <c r="C638" s="56"/>
      <c r="D638" s="57"/>
      <c r="E638" s="70"/>
      <c r="F638" s="58"/>
      <c r="G638" s="59"/>
      <c r="H638" s="59"/>
      <c r="I638" s="60"/>
      <c r="J638" s="58"/>
      <c r="K638" s="58"/>
      <c r="L638" s="58"/>
      <c r="M638" s="58"/>
      <c r="N638" s="58"/>
      <c r="O638" s="58"/>
      <c r="P638" s="61" t="str">
        <f t="shared" si="9"/>
        <v/>
      </c>
      <c r="Q638" s="62"/>
      <c r="R638" s="73"/>
      <c r="S638" s="74"/>
    </row>
    <row r="639" spans="1:19" s="63" customFormat="1" hidden="1" x14ac:dyDescent="0.25">
      <c r="A639" s="75"/>
      <c r="B639" s="76"/>
      <c r="C639" s="56"/>
      <c r="D639" s="57"/>
      <c r="E639" s="70"/>
      <c r="F639" s="58"/>
      <c r="G639" s="59"/>
      <c r="H639" s="59"/>
      <c r="I639" s="60"/>
      <c r="J639" s="58"/>
      <c r="K639" s="58"/>
      <c r="L639" s="58"/>
      <c r="M639" s="58"/>
      <c r="N639" s="58"/>
      <c r="O639" s="58"/>
      <c r="P639" s="61" t="str">
        <f t="shared" si="9"/>
        <v/>
      </c>
      <c r="Q639" s="62"/>
      <c r="R639" s="73"/>
      <c r="S639" s="74"/>
    </row>
    <row r="640" spans="1:19" s="63" customFormat="1" hidden="1" x14ac:dyDescent="0.25">
      <c r="A640" s="75"/>
      <c r="B640" s="76"/>
      <c r="C640" s="56"/>
      <c r="D640" s="57"/>
      <c r="E640" s="70"/>
      <c r="F640" s="58"/>
      <c r="G640" s="59"/>
      <c r="H640" s="59"/>
      <c r="I640" s="60"/>
      <c r="J640" s="58"/>
      <c r="K640" s="58"/>
      <c r="L640" s="58"/>
      <c r="M640" s="58"/>
      <c r="N640" s="58"/>
      <c r="O640" s="58"/>
      <c r="P640" s="61" t="str">
        <f t="shared" si="9"/>
        <v/>
      </c>
      <c r="Q640" s="62"/>
      <c r="R640" s="73"/>
      <c r="S640" s="74"/>
    </row>
    <row r="641" spans="1:19" s="63" customFormat="1" hidden="1" x14ac:dyDescent="0.25">
      <c r="A641" s="75"/>
      <c r="B641" s="76"/>
      <c r="C641" s="56"/>
      <c r="D641" s="57"/>
      <c r="E641" s="70"/>
      <c r="F641" s="58"/>
      <c r="G641" s="59"/>
      <c r="H641" s="59"/>
      <c r="I641" s="60"/>
      <c r="J641" s="58"/>
      <c r="K641" s="58"/>
      <c r="L641" s="58"/>
      <c r="M641" s="58"/>
      <c r="N641" s="58"/>
      <c r="O641" s="58"/>
      <c r="P641" s="61" t="str">
        <f t="shared" si="9"/>
        <v/>
      </c>
      <c r="Q641" s="62"/>
      <c r="R641" s="73"/>
      <c r="S641" s="74"/>
    </row>
    <row r="642" spans="1:19" s="63" customFormat="1" hidden="1" x14ac:dyDescent="0.25">
      <c r="A642" s="75"/>
      <c r="B642" s="76"/>
      <c r="C642" s="56"/>
      <c r="D642" s="57"/>
      <c r="E642" s="70"/>
      <c r="F642" s="58"/>
      <c r="G642" s="59"/>
      <c r="H642" s="59"/>
      <c r="I642" s="60"/>
      <c r="J642" s="58"/>
      <c r="K642" s="58"/>
      <c r="L642" s="58"/>
      <c r="M642" s="58"/>
      <c r="N642" s="58"/>
      <c r="O642" s="58"/>
      <c r="P642" s="61" t="str">
        <f t="shared" si="9"/>
        <v/>
      </c>
      <c r="Q642" s="62"/>
      <c r="R642" s="73"/>
      <c r="S642" s="74"/>
    </row>
    <row r="643" spans="1:19" s="63" customFormat="1" hidden="1" x14ac:dyDescent="0.25">
      <c r="A643" s="75"/>
      <c r="B643" s="76"/>
      <c r="C643" s="56"/>
      <c r="D643" s="57"/>
      <c r="E643" s="70"/>
      <c r="F643" s="58"/>
      <c r="G643" s="59"/>
      <c r="H643" s="59"/>
      <c r="I643" s="60"/>
      <c r="J643" s="58"/>
      <c r="K643" s="58"/>
      <c r="L643" s="58"/>
      <c r="M643" s="58"/>
      <c r="N643" s="58"/>
      <c r="O643" s="58"/>
      <c r="P643" s="61" t="str">
        <f t="shared" si="9"/>
        <v/>
      </c>
      <c r="Q643" s="62"/>
      <c r="R643" s="73"/>
      <c r="S643" s="74"/>
    </row>
    <row r="644" spans="1:19" s="63" customFormat="1" hidden="1" x14ac:dyDescent="0.25">
      <c r="A644" s="75"/>
      <c r="B644" s="76"/>
      <c r="C644" s="56"/>
      <c r="D644" s="57"/>
      <c r="E644" s="70"/>
      <c r="F644" s="58"/>
      <c r="G644" s="59"/>
      <c r="H644" s="59"/>
      <c r="I644" s="60"/>
      <c r="J644" s="58"/>
      <c r="K644" s="58"/>
      <c r="L644" s="58"/>
      <c r="M644" s="58"/>
      <c r="N644" s="58"/>
      <c r="O644" s="58"/>
      <c r="P644" s="61" t="str">
        <f t="shared" si="9"/>
        <v/>
      </c>
      <c r="Q644" s="62"/>
      <c r="R644" s="73"/>
      <c r="S644" s="74"/>
    </row>
    <row r="645" spans="1:19" s="63" customFormat="1" hidden="1" x14ac:dyDescent="0.25">
      <c r="A645" s="75"/>
      <c r="B645" s="76"/>
      <c r="C645" s="56"/>
      <c r="D645" s="57"/>
      <c r="E645" s="70"/>
      <c r="F645" s="58"/>
      <c r="G645" s="59"/>
      <c r="H645" s="59"/>
      <c r="I645" s="60"/>
      <c r="J645" s="58"/>
      <c r="K645" s="58"/>
      <c r="L645" s="58"/>
      <c r="M645" s="58"/>
      <c r="N645" s="58"/>
      <c r="O645" s="58"/>
      <c r="P645" s="61" t="str">
        <f t="shared" si="9"/>
        <v/>
      </c>
      <c r="Q645" s="62"/>
      <c r="R645" s="73"/>
      <c r="S645" s="74"/>
    </row>
    <row r="646" spans="1:19" s="63" customFormat="1" hidden="1" x14ac:dyDescent="0.25">
      <c r="A646" s="75"/>
      <c r="B646" s="76"/>
      <c r="C646" s="56"/>
      <c r="D646" s="57"/>
      <c r="E646" s="70"/>
      <c r="F646" s="58"/>
      <c r="G646" s="59"/>
      <c r="H646" s="59"/>
      <c r="I646" s="60"/>
      <c r="J646" s="58"/>
      <c r="K646" s="58"/>
      <c r="L646" s="58"/>
      <c r="M646" s="58"/>
      <c r="N646" s="58"/>
      <c r="O646" s="58"/>
      <c r="P646" s="61" t="str">
        <f t="shared" si="9"/>
        <v/>
      </c>
      <c r="Q646" s="62"/>
      <c r="R646" s="73"/>
      <c r="S646" s="74"/>
    </row>
    <row r="647" spans="1:19" s="63" customFormat="1" hidden="1" x14ac:dyDescent="0.25">
      <c r="A647" s="75"/>
      <c r="B647" s="76"/>
      <c r="C647" s="56"/>
      <c r="D647" s="57"/>
      <c r="E647" s="70"/>
      <c r="F647" s="58"/>
      <c r="G647" s="59"/>
      <c r="H647" s="59"/>
      <c r="I647" s="60"/>
      <c r="J647" s="58"/>
      <c r="K647" s="58"/>
      <c r="L647" s="58"/>
      <c r="M647" s="58"/>
      <c r="N647" s="58"/>
      <c r="O647" s="58"/>
      <c r="P647" s="61" t="str">
        <f t="shared" si="9"/>
        <v/>
      </c>
      <c r="Q647" s="62"/>
      <c r="R647" s="73"/>
      <c r="S647" s="74"/>
    </row>
    <row r="648" spans="1:19" s="63" customFormat="1" hidden="1" x14ac:dyDescent="0.25">
      <c r="A648" s="75"/>
      <c r="B648" s="76"/>
      <c r="C648" s="56"/>
      <c r="D648" s="57"/>
      <c r="E648" s="70"/>
      <c r="F648" s="58"/>
      <c r="G648" s="59"/>
      <c r="H648" s="59"/>
      <c r="I648" s="60"/>
      <c r="J648" s="58"/>
      <c r="K648" s="58"/>
      <c r="L648" s="58"/>
      <c r="M648" s="58"/>
      <c r="N648" s="58"/>
      <c r="O648" s="58"/>
      <c r="P648" s="61" t="str">
        <f t="shared" si="9"/>
        <v/>
      </c>
      <c r="Q648" s="62"/>
      <c r="R648" s="73"/>
      <c r="S648" s="74"/>
    </row>
    <row r="649" spans="1:19" s="63" customFormat="1" hidden="1" x14ac:dyDescent="0.25">
      <c r="A649" s="75"/>
      <c r="B649" s="76"/>
      <c r="C649" s="56"/>
      <c r="D649" s="57"/>
      <c r="E649" s="70"/>
      <c r="F649" s="58"/>
      <c r="G649" s="59"/>
      <c r="H649" s="59"/>
      <c r="I649" s="60"/>
      <c r="J649" s="58"/>
      <c r="K649" s="58"/>
      <c r="L649" s="58"/>
      <c r="M649" s="58"/>
      <c r="N649" s="58"/>
      <c r="O649" s="58"/>
      <c r="P649" s="61" t="str">
        <f t="shared" ref="P649:P712" si="10">IF(F649="","",IF(ISERR(F649-E649)=TRUE,"",F649-E649+1))</f>
        <v/>
      </c>
      <c r="Q649" s="62"/>
      <c r="R649" s="73"/>
      <c r="S649" s="74"/>
    </row>
    <row r="650" spans="1:19" s="63" customFormat="1" hidden="1" x14ac:dyDescent="0.25">
      <c r="A650" s="75"/>
      <c r="B650" s="76"/>
      <c r="C650" s="56"/>
      <c r="D650" s="57"/>
      <c r="E650" s="70"/>
      <c r="F650" s="58"/>
      <c r="G650" s="59"/>
      <c r="H650" s="59"/>
      <c r="I650" s="60"/>
      <c r="J650" s="58"/>
      <c r="K650" s="58"/>
      <c r="L650" s="58"/>
      <c r="M650" s="58"/>
      <c r="N650" s="58"/>
      <c r="O650" s="58"/>
      <c r="P650" s="61" t="str">
        <f t="shared" si="10"/>
        <v/>
      </c>
      <c r="Q650" s="62"/>
      <c r="R650" s="73"/>
      <c r="S650" s="74"/>
    </row>
    <row r="651" spans="1:19" s="63" customFormat="1" hidden="1" x14ac:dyDescent="0.25">
      <c r="A651" s="75"/>
      <c r="B651" s="76"/>
      <c r="C651" s="56"/>
      <c r="D651" s="57"/>
      <c r="E651" s="70"/>
      <c r="F651" s="58"/>
      <c r="G651" s="59"/>
      <c r="H651" s="59"/>
      <c r="I651" s="60"/>
      <c r="J651" s="58"/>
      <c r="K651" s="58"/>
      <c r="L651" s="58"/>
      <c r="M651" s="58"/>
      <c r="N651" s="58"/>
      <c r="O651" s="58"/>
      <c r="P651" s="61" t="str">
        <f t="shared" si="10"/>
        <v/>
      </c>
      <c r="Q651" s="62"/>
      <c r="R651" s="73"/>
      <c r="S651" s="74"/>
    </row>
    <row r="652" spans="1:19" s="63" customFormat="1" hidden="1" x14ac:dyDescent="0.25">
      <c r="A652" s="75"/>
      <c r="B652" s="76"/>
      <c r="C652" s="56"/>
      <c r="D652" s="57"/>
      <c r="E652" s="70"/>
      <c r="F652" s="58"/>
      <c r="G652" s="59"/>
      <c r="H652" s="59"/>
      <c r="I652" s="60"/>
      <c r="J652" s="58"/>
      <c r="K652" s="58"/>
      <c r="L652" s="58"/>
      <c r="M652" s="58"/>
      <c r="N652" s="58"/>
      <c r="O652" s="58"/>
      <c r="P652" s="61" t="str">
        <f t="shared" si="10"/>
        <v/>
      </c>
      <c r="Q652" s="62"/>
      <c r="R652" s="73"/>
      <c r="S652" s="74"/>
    </row>
    <row r="653" spans="1:19" s="63" customFormat="1" hidden="1" x14ac:dyDescent="0.25">
      <c r="A653" s="75"/>
      <c r="B653" s="76"/>
      <c r="C653" s="56"/>
      <c r="D653" s="57"/>
      <c r="E653" s="70"/>
      <c r="F653" s="58"/>
      <c r="G653" s="59"/>
      <c r="H653" s="59"/>
      <c r="I653" s="60"/>
      <c r="J653" s="58"/>
      <c r="K653" s="58"/>
      <c r="L653" s="58"/>
      <c r="M653" s="58"/>
      <c r="N653" s="58"/>
      <c r="O653" s="58"/>
      <c r="P653" s="61" t="str">
        <f t="shared" si="10"/>
        <v/>
      </c>
      <c r="Q653" s="62"/>
      <c r="R653" s="73"/>
      <c r="S653" s="74"/>
    </row>
    <row r="654" spans="1:19" s="63" customFormat="1" hidden="1" x14ac:dyDescent="0.25">
      <c r="A654" s="75"/>
      <c r="B654" s="76"/>
      <c r="C654" s="56"/>
      <c r="D654" s="57"/>
      <c r="E654" s="70"/>
      <c r="F654" s="58"/>
      <c r="G654" s="59"/>
      <c r="H654" s="59"/>
      <c r="I654" s="60"/>
      <c r="J654" s="58"/>
      <c r="K654" s="58"/>
      <c r="L654" s="58"/>
      <c r="M654" s="58"/>
      <c r="N654" s="58"/>
      <c r="O654" s="58"/>
      <c r="P654" s="61" t="str">
        <f t="shared" si="10"/>
        <v/>
      </c>
      <c r="Q654" s="62"/>
      <c r="R654" s="73"/>
      <c r="S654" s="74"/>
    </row>
    <row r="655" spans="1:19" s="63" customFormat="1" hidden="1" x14ac:dyDescent="0.25">
      <c r="A655" s="75"/>
      <c r="B655" s="76"/>
      <c r="C655" s="56"/>
      <c r="D655" s="57"/>
      <c r="E655" s="70"/>
      <c r="F655" s="58"/>
      <c r="G655" s="59"/>
      <c r="H655" s="59"/>
      <c r="I655" s="60"/>
      <c r="J655" s="58"/>
      <c r="K655" s="58"/>
      <c r="L655" s="58"/>
      <c r="M655" s="58"/>
      <c r="N655" s="58"/>
      <c r="O655" s="58"/>
      <c r="P655" s="61" t="str">
        <f t="shared" si="10"/>
        <v/>
      </c>
      <c r="Q655" s="62"/>
      <c r="R655" s="73"/>
      <c r="S655" s="74"/>
    </row>
    <row r="656" spans="1:19" s="63" customFormat="1" hidden="1" x14ac:dyDescent="0.25">
      <c r="A656" s="75"/>
      <c r="B656" s="76"/>
      <c r="C656" s="56"/>
      <c r="D656" s="57"/>
      <c r="E656" s="70"/>
      <c r="F656" s="58"/>
      <c r="G656" s="59"/>
      <c r="H656" s="59"/>
      <c r="I656" s="60"/>
      <c r="J656" s="58"/>
      <c r="K656" s="58"/>
      <c r="L656" s="58"/>
      <c r="M656" s="58"/>
      <c r="N656" s="58"/>
      <c r="O656" s="58"/>
      <c r="P656" s="61" t="str">
        <f t="shared" si="10"/>
        <v/>
      </c>
      <c r="Q656" s="62"/>
      <c r="R656" s="73"/>
      <c r="S656" s="74"/>
    </row>
    <row r="657" spans="1:19" s="63" customFormat="1" hidden="1" x14ac:dyDescent="0.25">
      <c r="A657" s="75"/>
      <c r="B657" s="76"/>
      <c r="C657" s="56"/>
      <c r="D657" s="57"/>
      <c r="E657" s="70"/>
      <c r="F657" s="58"/>
      <c r="G657" s="59"/>
      <c r="H657" s="59"/>
      <c r="I657" s="60"/>
      <c r="J657" s="58"/>
      <c r="K657" s="58"/>
      <c r="L657" s="58"/>
      <c r="M657" s="58"/>
      <c r="N657" s="58"/>
      <c r="O657" s="58"/>
      <c r="P657" s="61" t="str">
        <f t="shared" si="10"/>
        <v/>
      </c>
      <c r="Q657" s="62"/>
      <c r="R657" s="73"/>
      <c r="S657" s="74"/>
    </row>
    <row r="658" spans="1:19" s="63" customFormat="1" hidden="1" x14ac:dyDescent="0.25">
      <c r="A658" s="75"/>
      <c r="B658" s="76"/>
      <c r="C658" s="56"/>
      <c r="D658" s="57"/>
      <c r="E658" s="70"/>
      <c r="F658" s="58"/>
      <c r="G658" s="59"/>
      <c r="H658" s="59"/>
      <c r="I658" s="60"/>
      <c r="J658" s="58"/>
      <c r="K658" s="58"/>
      <c r="L658" s="58"/>
      <c r="M658" s="58"/>
      <c r="N658" s="58"/>
      <c r="O658" s="58"/>
      <c r="P658" s="61" t="str">
        <f t="shared" si="10"/>
        <v/>
      </c>
      <c r="Q658" s="62"/>
      <c r="R658" s="73"/>
      <c r="S658" s="74"/>
    </row>
    <row r="659" spans="1:19" s="63" customFormat="1" hidden="1" x14ac:dyDescent="0.25">
      <c r="A659" s="75"/>
      <c r="B659" s="76"/>
      <c r="C659" s="56"/>
      <c r="D659" s="57"/>
      <c r="E659" s="70"/>
      <c r="F659" s="58"/>
      <c r="G659" s="59"/>
      <c r="H659" s="59"/>
      <c r="I659" s="60"/>
      <c r="J659" s="58"/>
      <c r="K659" s="58"/>
      <c r="L659" s="58"/>
      <c r="M659" s="58"/>
      <c r="N659" s="58"/>
      <c r="O659" s="58"/>
      <c r="P659" s="61" t="str">
        <f t="shared" si="10"/>
        <v/>
      </c>
      <c r="Q659" s="62"/>
      <c r="R659" s="73"/>
      <c r="S659" s="74"/>
    </row>
    <row r="660" spans="1:19" s="63" customFormat="1" hidden="1" x14ac:dyDescent="0.25">
      <c r="A660" s="75"/>
      <c r="B660" s="76"/>
      <c r="C660" s="56"/>
      <c r="D660" s="57"/>
      <c r="E660" s="70"/>
      <c r="F660" s="58"/>
      <c r="G660" s="59"/>
      <c r="H660" s="59"/>
      <c r="I660" s="60"/>
      <c r="J660" s="58"/>
      <c r="K660" s="58"/>
      <c r="L660" s="58"/>
      <c r="M660" s="58"/>
      <c r="N660" s="58"/>
      <c r="O660" s="58"/>
      <c r="P660" s="61" t="str">
        <f t="shared" si="10"/>
        <v/>
      </c>
      <c r="Q660" s="62"/>
      <c r="R660" s="73"/>
      <c r="S660" s="74"/>
    </row>
    <row r="661" spans="1:19" s="63" customFormat="1" hidden="1" x14ac:dyDescent="0.25">
      <c r="A661" s="75"/>
      <c r="B661" s="76"/>
      <c r="C661" s="56"/>
      <c r="D661" s="57"/>
      <c r="E661" s="70"/>
      <c r="F661" s="58"/>
      <c r="G661" s="59"/>
      <c r="H661" s="59"/>
      <c r="I661" s="60"/>
      <c r="J661" s="58"/>
      <c r="K661" s="58"/>
      <c r="L661" s="58"/>
      <c r="M661" s="58"/>
      <c r="N661" s="58"/>
      <c r="O661" s="58"/>
      <c r="P661" s="61" t="str">
        <f t="shared" si="10"/>
        <v/>
      </c>
      <c r="Q661" s="62"/>
      <c r="R661" s="73"/>
      <c r="S661" s="74"/>
    </row>
    <row r="662" spans="1:19" s="63" customFormat="1" hidden="1" x14ac:dyDescent="0.25">
      <c r="A662" s="75"/>
      <c r="B662" s="76"/>
      <c r="C662" s="56"/>
      <c r="D662" s="57"/>
      <c r="E662" s="70"/>
      <c r="F662" s="58"/>
      <c r="G662" s="59"/>
      <c r="H662" s="59"/>
      <c r="I662" s="60"/>
      <c r="J662" s="58"/>
      <c r="K662" s="58"/>
      <c r="L662" s="58"/>
      <c r="M662" s="58"/>
      <c r="N662" s="58"/>
      <c r="O662" s="58"/>
      <c r="P662" s="61" t="str">
        <f t="shared" si="10"/>
        <v/>
      </c>
      <c r="Q662" s="62"/>
      <c r="R662" s="73"/>
      <c r="S662" s="74"/>
    </row>
    <row r="663" spans="1:19" s="63" customFormat="1" hidden="1" x14ac:dyDescent="0.25">
      <c r="A663" s="75"/>
      <c r="B663" s="76"/>
      <c r="C663" s="56"/>
      <c r="D663" s="57"/>
      <c r="E663" s="70"/>
      <c r="F663" s="58"/>
      <c r="G663" s="59"/>
      <c r="H663" s="59"/>
      <c r="I663" s="60"/>
      <c r="J663" s="58"/>
      <c r="K663" s="58"/>
      <c r="L663" s="58"/>
      <c r="M663" s="58"/>
      <c r="N663" s="58"/>
      <c r="O663" s="58"/>
      <c r="P663" s="61" t="str">
        <f t="shared" si="10"/>
        <v/>
      </c>
      <c r="Q663" s="62"/>
      <c r="R663" s="73"/>
      <c r="S663" s="74"/>
    </row>
    <row r="664" spans="1:19" s="63" customFormat="1" hidden="1" x14ac:dyDescent="0.25">
      <c r="A664" s="75"/>
      <c r="B664" s="76"/>
      <c r="C664" s="56"/>
      <c r="D664" s="57"/>
      <c r="E664" s="70"/>
      <c r="F664" s="58"/>
      <c r="G664" s="59"/>
      <c r="H664" s="59"/>
      <c r="I664" s="60"/>
      <c r="J664" s="58"/>
      <c r="K664" s="58"/>
      <c r="L664" s="58"/>
      <c r="M664" s="58"/>
      <c r="N664" s="58"/>
      <c r="O664" s="58"/>
      <c r="P664" s="61" t="str">
        <f t="shared" si="10"/>
        <v/>
      </c>
      <c r="Q664" s="62"/>
      <c r="R664" s="73"/>
      <c r="S664" s="74"/>
    </row>
    <row r="665" spans="1:19" s="63" customFormat="1" hidden="1" x14ac:dyDescent="0.25">
      <c r="A665" s="75"/>
      <c r="B665" s="76"/>
      <c r="C665" s="56"/>
      <c r="D665" s="57"/>
      <c r="E665" s="70"/>
      <c r="F665" s="58"/>
      <c r="G665" s="59"/>
      <c r="H665" s="59"/>
      <c r="I665" s="60"/>
      <c r="J665" s="58"/>
      <c r="K665" s="58"/>
      <c r="L665" s="58"/>
      <c r="M665" s="58"/>
      <c r="N665" s="58"/>
      <c r="O665" s="58"/>
      <c r="P665" s="61" t="str">
        <f t="shared" si="10"/>
        <v/>
      </c>
      <c r="Q665" s="62"/>
      <c r="R665" s="73"/>
      <c r="S665" s="74"/>
    </row>
    <row r="666" spans="1:19" s="63" customFormat="1" hidden="1" x14ac:dyDescent="0.25">
      <c r="A666" s="75"/>
      <c r="B666" s="76"/>
      <c r="C666" s="56"/>
      <c r="D666" s="57"/>
      <c r="E666" s="70"/>
      <c r="F666" s="58"/>
      <c r="G666" s="59"/>
      <c r="H666" s="59"/>
      <c r="I666" s="60"/>
      <c r="J666" s="58"/>
      <c r="K666" s="58"/>
      <c r="L666" s="58"/>
      <c r="M666" s="58"/>
      <c r="N666" s="58"/>
      <c r="O666" s="58"/>
      <c r="P666" s="61" t="str">
        <f t="shared" si="10"/>
        <v/>
      </c>
      <c r="Q666" s="62"/>
      <c r="R666" s="73"/>
      <c r="S666" s="74"/>
    </row>
    <row r="667" spans="1:19" s="63" customFormat="1" hidden="1" x14ac:dyDescent="0.25">
      <c r="A667" s="75"/>
      <c r="B667" s="76"/>
      <c r="C667" s="56"/>
      <c r="D667" s="57"/>
      <c r="E667" s="70"/>
      <c r="F667" s="58"/>
      <c r="G667" s="59"/>
      <c r="H667" s="59"/>
      <c r="I667" s="60"/>
      <c r="J667" s="58"/>
      <c r="K667" s="58"/>
      <c r="L667" s="58"/>
      <c r="M667" s="58"/>
      <c r="N667" s="58"/>
      <c r="O667" s="58"/>
      <c r="P667" s="61" t="str">
        <f t="shared" si="10"/>
        <v/>
      </c>
      <c r="Q667" s="62"/>
      <c r="R667" s="73"/>
      <c r="S667" s="74"/>
    </row>
    <row r="668" spans="1:19" s="63" customFormat="1" hidden="1" x14ac:dyDescent="0.25">
      <c r="A668" s="75"/>
      <c r="B668" s="76"/>
      <c r="C668" s="56"/>
      <c r="D668" s="57"/>
      <c r="E668" s="70"/>
      <c r="F668" s="58"/>
      <c r="G668" s="59"/>
      <c r="H668" s="59"/>
      <c r="I668" s="60"/>
      <c r="J668" s="58"/>
      <c r="K668" s="58"/>
      <c r="L668" s="58"/>
      <c r="M668" s="58"/>
      <c r="N668" s="58"/>
      <c r="O668" s="58"/>
      <c r="P668" s="61" t="str">
        <f t="shared" si="10"/>
        <v/>
      </c>
      <c r="Q668" s="62"/>
      <c r="R668" s="73"/>
      <c r="S668" s="74"/>
    </row>
    <row r="669" spans="1:19" s="63" customFormat="1" hidden="1" x14ac:dyDescent="0.25">
      <c r="A669" s="75"/>
      <c r="B669" s="76"/>
      <c r="C669" s="56"/>
      <c r="D669" s="57"/>
      <c r="E669" s="70"/>
      <c r="F669" s="58"/>
      <c r="G669" s="59"/>
      <c r="H669" s="59"/>
      <c r="I669" s="60"/>
      <c r="J669" s="58"/>
      <c r="K669" s="58"/>
      <c r="L669" s="58"/>
      <c r="M669" s="58"/>
      <c r="N669" s="58"/>
      <c r="O669" s="58"/>
      <c r="P669" s="61" t="str">
        <f t="shared" si="10"/>
        <v/>
      </c>
      <c r="Q669" s="62"/>
      <c r="R669" s="73"/>
      <c r="S669" s="74"/>
    </row>
    <row r="670" spans="1:19" s="63" customFormat="1" hidden="1" x14ac:dyDescent="0.25">
      <c r="A670" s="75"/>
      <c r="B670" s="76"/>
      <c r="C670" s="56"/>
      <c r="D670" s="57"/>
      <c r="E670" s="70"/>
      <c r="F670" s="58"/>
      <c r="G670" s="59"/>
      <c r="H670" s="59"/>
      <c r="I670" s="60"/>
      <c r="J670" s="58"/>
      <c r="K670" s="58"/>
      <c r="L670" s="58"/>
      <c r="M670" s="58"/>
      <c r="N670" s="58"/>
      <c r="O670" s="58"/>
      <c r="P670" s="61" t="str">
        <f t="shared" si="10"/>
        <v/>
      </c>
      <c r="Q670" s="62"/>
      <c r="R670" s="73"/>
      <c r="S670" s="74"/>
    </row>
    <row r="671" spans="1:19" s="63" customFormat="1" hidden="1" x14ac:dyDescent="0.25">
      <c r="A671" s="75"/>
      <c r="B671" s="76"/>
      <c r="C671" s="56"/>
      <c r="D671" s="57"/>
      <c r="E671" s="70"/>
      <c r="F671" s="58"/>
      <c r="G671" s="59"/>
      <c r="H671" s="59"/>
      <c r="I671" s="60"/>
      <c r="J671" s="58"/>
      <c r="K671" s="58"/>
      <c r="L671" s="58"/>
      <c r="M671" s="58"/>
      <c r="N671" s="58"/>
      <c r="O671" s="58"/>
      <c r="P671" s="61" t="str">
        <f t="shared" si="10"/>
        <v/>
      </c>
      <c r="Q671" s="62"/>
      <c r="R671" s="73"/>
      <c r="S671" s="74"/>
    </row>
    <row r="672" spans="1:19" s="63" customFormat="1" hidden="1" x14ac:dyDescent="0.25">
      <c r="A672" s="75"/>
      <c r="B672" s="76"/>
      <c r="C672" s="56"/>
      <c r="D672" s="57"/>
      <c r="E672" s="70"/>
      <c r="F672" s="58"/>
      <c r="G672" s="59"/>
      <c r="H672" s="59"/>
      <c r="I672" s="60"/>
      <c r="J672" s="58"/>
      <c r="K672" s="58"/>
      <c r="L672" s="58"/>
      <c r="M672" s="58"/>
      <c r="N672" s="58"/>
      <c r="O672" s="58"/>
      <c r="P672" s="61" t="str">
        <f t="shared" si="10"/>
        <v/>
      </c>
      <c r="Q672" s="62"/>
      <c r="R672" s="73"/>
      <c r="S672" s="74"/>
    </row>
    <row r="673" spans="1:19" s="63" customFormat="1" hidden="1" x14ac:dyDescent="0.25">
      <c r="A673" s="75"/>
      <c r="B673" s="76"/>
      <c r="C673" s="56"/>
      <c r="D673" s="57"/>
      <c r="E673" s="70"/>
      <c r="F673" s="58"/>
      <c r="G673" s="59"/>
      <c r="H673" s="59"/>
      <c r="I673" s="60"/>
      <c r="J673" s="58"/>
      <c r="K673" s="58"/>
      <c r="L673" s="58"/>
      <c r="M673" s="58"/>
      <c r="N673" s="58"/>
      <c r="O673" s="58"/>
      <c r="P673" s="61" t="str">
        <f t="shared" si="10"/>
        <v/>
      </c>
      <c r="Q673" s="62"/>
      <c r="R673" s="73"/>
      <c r="S673" s="74"/>
    </row>
    <row r="674" spans="1:19" s="63" customFormat="1" hidden="1" x14ac:dyDescent="0.25">
      <c r="A674" s="75"/>
      <c r="B674" s="76"/>
      <c r="C674" s="56"/>
      <c r="D674" s="57"/>
      <c r="E674" s="70"/>
      <c r="F674" s="58"/>
      <c r="G674" s="59"/>
      <c r="H674" s="59"/>
      <c r="I674" s="60"/>
      <c r="J674" s="58"/>
      <c r="K674" s="58"/>
      <c r="L674" s="58"/>
      <c r="M674" s="58"/>
      <c r="N674" s="58"/>
      <c r="O674" s="58"/>
      <c r="P674" s="61" t="str">
        <f t="shared" si="10"/>
        <v/>
      </c>
      <c r="Q674" s="62"/>
      <c r="R674" s="73"/>
      <c r="S674" s="74"/>
    </row>
    <row r="675" spans="1:19" s="63" customFormat="1" hidden="1" x14ac:dyDescent="0.25">
      <c r="A675" s="75"/>
      <c r="B675" s="76"/>
      <c r="C675" s="56"/>
      <c r="D675" s="57"/>
      <c r="E675" s="70"/>
      <c r="F675" s="58"/>
      <c r="G675" s="59"/>
      <c r="H675" s="59"/>
      <c r="I675" s="60"/>
      <c r="J675" s="58"/>
      <c r="K675" s="58"/>
      <c r="L675" s="58"/>
      <c r="M675" s="58"/>
      <c r="N675" s="58"/>
      <c r="O675" s="58"/>
      <c r="P675" s="61" t="str">
        <f t="shared" si="10"/>
        <v/>
      </c>
      <c r="Q675" s="62"/>
      <c r="R675" s="73"/>
      <c r="S675" s="74"/>
    </row>
    <row r="676" spans="1:19" s="63" customFormat="1" hidden="1" x14ac:dyDescent="0.25">
      <c r="A676" s="75"/>
      <c r="B676" s="76"/>
      <c r="C676" s="56"/>
      <c r="D676" s="57"/>
      <c r="E676" s="70"/>
      <c r="F676" s="58"/>
      <c r="G676" s="59"/>
      <c r="H676" s="59"/>
      <c r="I676" s="60"/>
      <c r="J676" s="58"/>
      <c r="K676" s="58"/>
      <c r="L676" s="58"/>
      <c r="M676" s="58"/>
      <c r="N676" s="58"/>
      <c r="O676" s="58"/>
      <c r="P676" s="61" t="str">
        <f t="shared" si="10"/>
        <v/>
      </c>
      <c r="Q676" s="62"/>
      <c r="R676" s="73"/>
      <c r="S676" s="74"/>
    </row>
    <row r="677" spans="1:19" s="63" customFormat="1" hidden="1" x14ac:dyDescent="0.25">
      <c r="A677" s="75"/>
      <c r="B677" s="76"/>
      <c r="C677" s="56"/>
      <c r="D677" s="57"/>
      <c r="E677" s="70"/>
      <c r="F677" s="58"/>
      <c r="G677" s="59"/>
      <c r="H677" s="59"/>
      <c r="I677" s="60"/>
      <c r="J677" s="58"/>
      <c r="K677" s="58"/>
      <c r="L677" s="58"/>
      <c r="M677" s="58"/>
      <c r="N677" s="58"/>
      <c r="O677" s="58"/>
      <c r="P677" s="61" t="str">
        <f t="shared" si="10"/>
        <v/>
      </c>
      <c r="Q677" s="62"/>
      <c r="R677" s="73"/>
      <c r="S677" s="74"/>
    </row>
    <row r="678" spans="1:19" s="63" customFormat="1" hidden="1" x14ac:dyDescent="0.25">
      <c r="A678" s="75"/>
      <c r="B678" s="76"/>
      <c r="C678" s="56"/>
      <c r="D678" s="57"/>
      <c r="E678" s="70"/>
      <c r="F678" s="58"/>
      <c r="G678" s="59"/>
      <c r="H678" s="59"/>
      <c r="I678" s="60"/>
      <c r="J678" s="58"/>
      <c r="K678" s="58"/>
      <c r="L678" s="58"/>
      <c r="M678" s="58"/>
      <c r="N678" s="58"/>
      <c r="O678" s="58"/>
      <c r="P678" s="61" t="str">
        <f t="shared" si="10"/>
        <v/>
      </c>
      <c r="Q678" s="62"/>
      <c r="R678" s="73"/>
      <c r="S678" s="74"/>
    </row>
    <row r="679" spans="1:19" s="63" customFormat="1" hidden="1" x14ac:dyDescent="0.25">
      <c r="A679" s="75"/>
      <c r="B679" s="76"/>
      <c r="C679" s="56"/>
      <c r="D679" s="57"/>
      <c r="E679" s="70"/>
      <c r="F679" s="58"/>
      <c r="G679" s="59"/>
      <c r="H679" s="59"/>
      <c r="I679" s="60"/>
      <c r="J679" s="58"/>
      <c r="K679" s="58"/>
      <c r="L679" s="58"/>
      <c r="M679" s="58"/>
      <c r="N679" s="58"/>
      <c r="O679" s="58"/>
      <c r="P679" s="61" t="str">
        <f t="shared" si="10"/>
        <v/>
      </c>
      <c r="Q679" s="62"/>
      <c r="R679" s="73"/>
      <c r="S679" s="74"/>
    </row>
    <row r="680" spans="1:19" s="63" customFormat="1" hidden="1" x14ac:dyDescent="0.25">
      <c r="A680" s="75"/>
      <c r="B680" s="76"/>
      <c r="C680" s="56"/>
      <c r="D680" s="57"/>
      <c r="E680" s="70"/>
      <c r="F680" s="58"/>
      <c r="G680" s="59"/>
      <c r="H680" s="59"/>
      <c r="I680" s="60"/>
      <c r="J680" s="58"/>
      <c r="K680" s="58"/>
      <c r="L680" s="58"/>
      <c r="M680" s="58"/>
      <c r="N680" s="58"/>
      <c r="O680" s="58"/>
      <c r="P680" s="61" t="str">
        <f t="shared" si="10"/>
        <v/>
      </c>
      <c r="Q680" s="62"/>
      <c r="R680" s="73"/>
      <c r="S680" s="74"/>
    </row>
    <row r="681" spans="1:19" s="63" customFormat="1" hidden="1" x14ac:dyDescent="0.25">
      <c r="A681" s="75"/>
      <c r="B681" s="76"/>
      <c r="C681" s="56"/>
      <c r="D681" s="57"/>
      <c r="E681" s="70"/>
      <c r="F681" s="58"/>
      <c r="G681" s="59"/>
      <c r="H681" s="59"/>
      <c r="I681" s="60"/>
      <c r="J681" s="58"/>
      <c r="K681" s="58"/>
      <c r="L681" s="58"/>
      <c r="M681" s="58"/>
      <c r="N681" s="58"/>
      <c r="O681" s="58"/>
      <c r="P681" s="61" t="str">
        <f t="shared" si="10"/>
        <v/>
      </c>
      <c r="Q681" s="62"/>
      <c r="R681" s="73"/>
      <c r="S681" s="74"/>
    </row>
    <row r="682" spans="1:19" s="63" customFormat="1" hidden="1" x14ac:dyDescent="0.25">
      <c r="A682" s="75"/>
      <c r="B682" s="76"/>
      <c r="C682" s="56"/>
      <c r="D682" s="57"/>
      <c r="E682" s="70"/>
      <c r="F682" s="58"/>
      <c r="G682" s="59"/>
      <c r="H682" s="59"/>
      <c r="I682" s="60"/>
      <c r="J682" s="58"/>
      <c r="K682" s="58"/>
      <c r="L682" s="58"/>
      <c r="M682" s="58"/>
      <c r="N682" s="58"/>
      <c r="O682" s="58"/>
      <c r="P682" s="61" t="str">
        <f t="shared" si="10"/>
        <v/>
      </c>
      <c r="Q682" s="62"/>
      <c r="R682" s="73"/>
      <c r="S682" s="74"/>
    </row>
    <row r="683" spans="1:19" s="63" customFormat="1" hidden="1" x14ac:dyDescent="0.25">
      <c r="A683" s="75"/>
      <c r="B683" s="76"/>
      <c r="C683" s="56"/>
      <c r="D683" s="57"/>
      <c r="E683" s="70"/>
      <c r="F683" s="58"/>
      <c r="G683" s="59"/>
      <c r="H683" s="59"/>
      <c r="I683" s="60"/>
      <c r="J683" s="58"/>
      <c r="K683" s="58"/>
      <c r="L683" s="58"/>
      <c r="M683" s="58"/>
      <c r="N683" s="58"/>
      <c r="O683" s="58"/>
      <c r="P683" s="61" t="str">
        <f t="shared" si="10"/>
        <v/>
      </c>
      <c r="Q683" s="62"/>
      <c r="R683" s="73"/>
      <c r="S683" s="74"/>
    </row>
    <row r="684" spans="1:19" s="63" customFormat="1" hidden="1" x14ac:dyDescent="0.25">
      <c r="A684" s="75"/>
      <c r="B684" s="76"/>
      <c r="C684" s="56"/>
      <c r="D684" s="57"/>
      <c r="E684" s="70"/>
      <c r="F684" s="58"/>
      <c r="G684" s="59"/>
      <c r="H684" s="59"/>
      <c r="I684" s="60"/>
      <c r="J684" s="58"/>
      <c r="K684" s="58"/>
      <c r="L684" s="58"/>
      <c r="M684" s="58"/>
      <c r="N684" s="58"/>
      <c r="O684" s="58"/>
      <c r="P684" s="61" t="str">
        <f t="shared" si="10"/>
        <v/>
      </c>
      <c r="Q684" s="62"/>
      <c r="R684" s="73"/>
      <c r="S684" s="74"/>
    </row>
    <row r="685" spans="1:19" s="63" customFormat="1" hidden="1" x14ac:dyDescent="0.25">
      <c r="A685" s="75"/>
      <c r="B685" s="76"/>
      <c r="C685" s="56"/>
      <c r="D685" s="57"/>
      <c r="E685" s="70"/>
      <c r="F685" s="58"/>
      <c r="G685" s="59"/>
      <c r="H685" s="59"/>
      <c r="I685" s="60"/>
      <c r="J685" s="58"/>
      <c r="K685" s="58"/>
      <c r="L685" s="58"/>
      <c r="M685" s="58"/>
      <c r="N685" s="58"/>
      <c r="O685" s="58"/>
      <c r="P685" s="61" t="str">
        <f t="shared" si="10"/>
        <v/>
      </c>
      <c r="Q685" s="62"/>
      <c r="R685" s="73"/>
      <c r="S685" s="74"/>
    </row>
    <row r="686" spans="1:19" s="63" customFormat="1" hidden="1" x14ac:dyDescent="0.25">
      <c r="A686" s="75"/>
      <c r="B686" s="76"/>
      <c r="C686" s="56"/>
      <c r="D686" s="57"/>
      <c r="E686" s="70"/>
      <c r="F686" s="58"/>
      <c r="G686" s="59"/>
      <c r="H686" s="59"/>
      <c r="I686" s="60"/>
      <c r="J686" s="58"/>
      <c r="K686" s="58"/>
      <c r="L686" s="58"/>
      <c r="M686" s="58"/>
      <c r="N686" s="58"/>
      <c r="O686" s="58"/>
      <c r="P686" s="61" t="str">
        <f t="shared" si="10"/>
        <v/>
      </c>
      <c r="Q686" s="62"/>
      <c r="R686" s="73"/>
      <c r="S686" s="74"/>
    </row>
    <row r="687" spans="1:19" s="63" customFormat="1" hidden="1" x14ac:dyDescent="0.25">
      <c r="A687" s="75"/>
      <c r="B687" s="76"/>
      <c r="C687" s="56"/>
      <c r="D687" s="57"/>
      <c r="E687" s="70"/>
      <c r="F687" s="58"/>
      <c r="G687" s="59"/>
      <c r="H687" s="59"/>
      <c r="I687" s="60"/>
      <c r="J687" s="58"/>
      <c r="K687" s="58"/>
      <c r="L687" s="58"/>
      <c r="M687" s="58"/>
      <c r="N687" s="58"/>
      <c r="O687" s="58"/>
      <c r="P687" s="61" t="str">
        <f t="shared" si="10"/>
        <v/>
      </c>
      <c r="Q687" s="62"/>
      <c r="R687" s="73"/>
      <c r="S687" s="74"/>
    </row>
    <row r="688" spans="1:19" s="63" customFormat="1" hidden="1" x14ac:dyDescent="0.25">
      <c r="A688" s="75"/>
      <c r="B688" s="76"/>
      <c r="C688" s="56"/>
      <c r="D688" s="57"/>
      <c r="E688" s="70"/>
      <c r="F688" s="58"/>
      <c r="G688" s="59"/>
      <c r="H688" s="59"/>
      <c r="I688" s="60"/>
      <c r="J688" s="58"/>
      <c r="K688" s="58"/>
      <c r="L688" s="58"/>
      <c r="M688" s="58"/>
      <c r="N688" s="58"/>
      <c r="O688" s="58"/>
      <c r="P688" s="61" t="str">
        <f t="shared" si="10"/>
        <v/>
      </c>
      <c r="Q688" s="62"/>
      <c r="R688" s="73"/>
      <c r="S688" s="74"/>
    </row>
    <row r="689" spans="1:19" s="63" customFormat="1" hidden="1" x14ac:dyDescent="0.25">
      <c r="A689" s="75"/>
      <c r="B689" s="76"/>
      <c r="C689" s="56"/>
      <c r="D689" s="57"/>
      <c r="E689" s="70"/>
      <c r="F689" s="58"/>
      <c r="G689" s="59"/>
      <c r="H689" s="59"/>
      <c r="I689" s="60"/>
      <c r="J689" s="58"/>
      <c r="K689" s="58"/>
      <c r="L689" s="58"/>
      <c r="M689" s="58"/>
      <c r="N689" s="58"/>
      <c r="O689" s="58"/>
      <c r="P689" s="61" t="str">
        <f t="shared" si="10"/>
        <v/>
      </c>
      <c r="Q689" s="62"/>
      <c r="R689" s="73"/>
      <c r="S689" s="74"/>
    </row>
    <row r="690" spans="1:19" s="63" customFormat="1" hidden="1" x14ac:dyDescent="0.25">
      <c r="A690" s="75"/>
      <c r="B690" s="76"/>
      <c r="C690" s="56"/>
      <c r="D690" s="57"/>
      <c r="E690" s="70"/>
      <c r="F690" s="58"/>
      <c r="G690" s="59"/>
      <c r="H690" s="59"/>
      <c r="I690" s="60"/>
      <c r="J690" s="58"/>
      <c r="K690" s="58"/>
      <c r="L690" s="58"/>
      <c r="M690" s="58"/>
      <c r="N690" s="58"/>
      <c r="O690" s="58"/>
      <c r="P690" s="61" t="str">
        <f t="shared" si="10"/>
        <v/>
      </c>
      <c r="Q690" s="62"/>
      <c r="R690" s="73"/>
      <c r="S690" s="74"/>
    </row>
    <row r="691" spans="1:19" s="63" customFormat="1" hidden="1" x14ac:dyDescent="0.25">
      <c r="A691" s="75"/>
      <c r="B691" s="76"/>
      <c r="C691" s="56"/>
      <c r="D691" s="57"/>
      <c r="E691" s="70"/>
      <c r="F691" s="58"/>
      <c r="G691" s="59"/>
      <c r="H691" s="59"/>
      <c r="I691" s="60"/>
      <c r="J691" s="58"/>
      <c r="K691" s="58"/>
      <c r="L691" s="58"/>
      <c r="M691" s="58"/>
      <c r="N691" s="58"/>
      <c r="O691" s="58"/>
      <c r="P691" s="61" t="str">
        <f t="shared" si="10"/>
        <v/>
      </c>
      <c r="Q691" s="62"/>
      <c r="R691" s="73"/>
      <c r="S691" s="74"/>
    </row>
    <row r="692" spans="1:19" s="63" customFormat="1" hidden="1" x14ac:dyDescent="0.25">
      <c r="A692" s="75"/>
      <c r="B692" s="76"/>
      <c r="C692" s="56"/>
      <c r="D692" s="57"/>
      <c r="E692" s="70"/>
      <c r="F692" s="58"/>
      <c r="G692" s="59"/>
      <c r="H692" s="59"/>
      <c r="I692" s="60"/>
      <c r="J692" s="58"/>
      <c r="K692" s="58"/>
      <c r="L692" s="58"/>
      <c r="M692" s="58"/>
      <c r="N692" s="58"/>
      <c r="O692" s="58"/>
      <c r="P692" s="61" t="str">
        <f t="shared" si="10"/>
        <v/>
      </c>
      <c r="Q692" s="62"/>
      <c r="R692" s="73"/>
      <c r="S692" s="74"/>
    </row>
    <row r="693" spans="1:19" s="63" customFormat="1" hidden="1" x14ac:dyDescent="0.25">
      <c r="A693" s="75"/>
      <c r="B693" s="76"/>
      <c r="C693" s="56"/>
      <c r="D693" s="57"/>
      <c r="E693" s="70"/>
      <c r="F693" s="58"/>
      <c r="G693" s="59"/>
      <c r="H693" s="59"/>
      <c r="I693" s="60"/>
      <c r="J693" s="58"/>
      <c r="K693" s="58"/>
      <c r="L693" s="58"/>
      <c r="M693" s="58"/>
      <c r="N693" s="58"/>
      <c r="O693" s="58"/>
      <c r="P693" s="61" t="str">
        <f t="shared" si="10"/>
        <v/>
      </c>
      <c r="Q693" s="62"/>
      <c r="R693" s="73"/>
      <c r="S693" s="74"/>
    </row>
    <row r="694" spans="1:19" s="63" customFormat="1" hidden="1" x14ac:dyDescent="0.25">
      <c r="A694" s="75"/>
      <c r="B694" s="76"/>
      <c r="C694" s="56"/>
      <c r="D694" s="57"/>
      <c r="E694" s="70"/>
      <c r="F694" s="58"/>
      <c r="G694" s="59"/>
      <c r="H694" s="59"/>
      <c r="I694" s="60"/>
      <c r="J694" s="58"/>
      <c r="K694" s="58"/>
      <c r="L694" s="58"/>
      <c r="M694" s="58"/>
      <c r="N694" s="58"/>
      <c r="O694" s="58"/>
      <c r="P694" s="61" t="str">
        <f t="shared" si="10"/>
        <v/>
      </c>
      <c r="Q694" s="62"/>
      <c r="R694" s="73"/>
      <c r="S694" s="74"/>
    </row>
    <row r="695" spans="1:19" s="63" customFormat="1" hidden="1" x14ac:dyDescent="0.25">
      <c r="A695" s="75"/>
      <c r="B695" s="76"/>
      <c r="C695" s="56"/>
      <c r="D695" s="57"/>
      <c r="E695" s="70"/>
      <c r="F695" s="58"/>
      <c r="G695" s="59"/>
      <c r="H695" s="59"/>
      <c r="I695" s="60"/>
      <c r="J695" s="58"/>
      <c r="K695" s="58"/>
      <c r="L695" s="58"/>
      <c r="M695" s="58"/>
      <c r="N695" s="58"/>
      <c r="O695" s="58"/>
      <c r="P695" s="61" t="str">
        <f t="shared" si="10"/>
        <v/>
      </c>
      <c r="Q695" s="62"/>
      <c r="R695" s="73"/>
      <c r="S695" s="74"/>
    </row>
    <row r="696" spans="1:19" s="63" customFormat="1" hidden="1" x14ac:dyDescent="0.25">
      <c r="A696" s="75"/>
      <c r="B696" s="76"/>
      <c r="C696" s="56"/>
      <c r="D696" s="57"/>
      <c r="E696" s="70"/>
      <c r="F696" s="58"/>
      <c r="G696" s="59"/>
      <c r="H696" s="59"/>
      <c r="I696" s="60"/>
      <c r="J696" s="58"/>
      <c r="K696" s="58"/>
      <c r="L696" s="58"/>
      <c r="M696" s="58"/>
      <c r="N696" s="58"/>
      <c r="O696" s="58"/>
      <c r="P696" s="61" t="str">
        <f t="shared" si="10"/>
        <v/>
      </c>
      <c r="Q696" s="62"/>
      <c r="R696" s="73"/>
      <c r="S696" s="74"/>
    </row>
    <row r="697" spans="1:19" s="63" customFormat="1" hidden="1" x14ac:dyDescent="0.25">
      <c r="A697" s="75"/>
      <c r="B697" s="76"/>
      <c r="C697" s="56"/>
      <c r="D697" s="57"/>
      <c r="E697" s="70"/>
      <c r="F697" s="58"/>
      <c r="G697" s="59"/>
      <c r="H697" s="59"/>
      <c r="I697" s="60"/>
      <c r="J697" s="58"/>
      <c r="K697" s="58"/>
      <c r="L697" s="58"/>
      <c r="M697" s="58"/>
      <c r="N697" s="58"/>
      <c r="O697" s="58"/>
      <c r="P697" s="61" t="str">
        <f t="shared" si="10"/>
        <v/>
      </c>
      <c r="Q697" s="62"/>
      <c r="R697" s="73"/>
      <c r="S697" s="74"/>
    </row>
    <row r="698" spans="1:19" s="63" customFormat="1" hidden="1" x14ac:dyDescent="0.25">
      <c r="A698" s="75"/>
      <c r="B698" s="76"/>
      <c r="C698" s="56"/>
      <c r="D698" s="57"/>
      <c r="E698" s="70"/>
      <c r="F698" s="58"/>
      <c r="G698" s="59"/>
      <c r="H698" s="59"/>
      <c r="I698" s="60"/>
      <c r="J698" s="58"/>
      <c r="K698" s="58"/>
      <c r="L698" s="58"/>
      <c r="M698" s="58"/>
      <c r="N698" s="58"/>
      <c r="O698" s="58"/>
      <c r="P698" s="61" t="str">
        <f t="shared" si="10"/>
        <v/>
      </c>
      <c r="Q698" s="62"/>
      <c r="R698" s="73"/>
      <c r="S698" s="74"/>
    </row>
    <row r="699" spans="1:19" s="63" customFormat="1" hidden="1" x14ac:dyDescent="0.25">
      <c r="A699" s="75"/>
      <c r="B699" s="76"/>
      <c r="C699" s="56"/>
      <c r="D699" s="57"/>
      <c r="E699" s="70"/>
      <c r="F699" s="58"/>
      <c r="G699" s="59"/>
      <c r="H699" s="59"/>
      <c r="I699" s="60"/>
      <c r="J699" s="58"/>
      <c r="K699" s="58"/>
      <c r="L699" s="58"/>
      <c r="M699" s="58"/>
      <c r="N699" s="58"/>
      <c r="O699" s="58"/>
      <c r="P699" s="61" t="str">
        <f t="shared" si="10"/>
        <v/>
      </c>
      <c r="Q699" s="62"/>
      <c r="R699" s="73"/>
      <c r="S699" s="74"/>
    </row>
    <row r="700" spans="1:19" s="63" customFormat="1" hidden="1" x14ac:dyDescent="0.25">
      <c r="A700" s="75"/>
      <c r="B700" s="76"/>
      <c r="C700" s="56"/>
      <c r="D700" s="57"/>
      <c r="E700" s="70"/>
      <c r="F700" s="58"/>
      <c r="G700" s="59"/>
      <c r="H700" s="59"/>
      <c r="I700" s="60"/>
      <c r="J700" s="58"/>
      <c r="K700" s="58"/>
      <c r="L700" s="58"/>
      <c r="M700" s="58"/>
      <c r="N700" s="58"/>
      <c r="O700" s="58"/>
      <c r="P700" s="61" t="str">
        <f t="shared" si="10"/>
        <v/>
      </c>
      <c r="Q700" s="62"/>
      <c r="R700" s="73"/>
      <c r="S700" s="74"/>
    </row>
    <row r="701" spans="1:19" s="63" customFormat="1" hidden="1" x14ac:dyDescent="0.25">
      <c r="A701" s="75"/>
      <c r="B701" s="76"/>
      <c r="C701" s="56"/>
      <c r="D701" s="57"/>
      <c r="E701" s="70"/>
      <c r="F701" s="58"/>
      <c r="G701" s="59"/>
      <c r="H701" s="59"/>
      <c r="I701" s="60"/>
      <c r="J701" s="58"/>
      <c r="K701" s="58"/>
      <c r="L701" s="58"/>
      <c r="M701" s="58"/>
      <c r="N701" s="58"/>
      <c r="O701" s="58"/>
      <c r="P701" s="61" t="str">
        <f t="shared" si="10"/>
        <v/>
      </c>
      <c r="Q701" s="62"/>
      <c r="R701" s="73"/>
      <c r="S701" s="74"/>
    </row>
    <row r="702" spans="1:19" s="63" customFormat="1" hidden="1" x14ac:dyDescent="0.25">
      <c r="A702" s="75"/>
      <c r="B702" s="76"/>
      <c r="C702" s="56"/>
      <c r="D702" s="57"/>
      <c r="E702" s="70"/>
      <c r="F702" s="58"/>
      <c r="G702" s="59"/>
      <c r="H702" s="59"/>
      <c r="I702" s="60"/>
      <c r="J702" s="58"/>
      <c r="K702" s="58"/>
      <c r="L702" s="58"/>
      <c r="M702" s="58"/>
      <c r="N702" s="58"/>
      <c r="O702" s="58"/>
      <c r="P702" s="61" t="str">
        <f t="shared" si="10"/>
        <v/>
      </c>
      <c r="Q702" s="62"/>
      <c r="R702" s="73"/>
      <c r="S702" s="74"/>
    </row>
    <row r="703" spans="1:19" s="63" customFormat="1" hidden="1" x14ac:dyDescent="0.25">
      <c r="A703" s="75"/>
      <c r="B703" s="76"/>
      <c r="C703" s="56"/>
      <c r="D703" s="57"/>
      <c r="E703" s="70"/>
      <c r="F703" s="58"/>
      <c r="G703" s="59"/>
      <c r="H703" s="59"/>
      <c r="I703" s="60"/>
      <c r="J703" s="58"/>
      <c r="K703" s="58"/>
      <c r="L703" s="58"/>
      <c r="M703" s="58"/>
      <c r="N703" s="58"/>
      <c r="O703" s="58"/>
      <c r="P703" s="61" t="str">
        <f t="shared" si="10"/>
        <v/>
      </c>
      <c r="Q703" s="62"/>
      <c r="R703" s="73"/>
      <c r="S703" s="74"/>
    </row>
    <row r="704" spans="1:19" s="63" customFormat="1" hidden="1" x14ac:dyDescent="0.25">
      <c r="A704" s="75"/>
      <c r="B704" s="76"/>
      <c r="C704" s="56"/>
      <c r="D704" s="57"/>
      <c r="E704" s="70"/>
      <c r="F704" s="58"/>
      <c r="G704" s="59"/>
      <c r="H704" s="59"/>
      <c r="I704" s="60"/>
      <c r="J704" s="58"/>
      <c r="K704" s="58"/>
      <c r="L704" s="58"/>
      <c r="M704" s="58"/>
      <c r="N704" s="58"/>
      <c r="O704" s="58"/>
      <c r="P704" s="61" t="str">
        <f t="shared" si="10"/>
        <v/>
      </c>
      <c r="Q704" s="62"/>
      <c r="R704" s="73"/>
      <c r="S704" s="74"/>
    </row>
    <row r="705" spans="1:19" s="63" customFormat="1" hidden="1" x14ac:dyDescent="0.25">
      <c r="A705" s="75"/>
      <c r="B705" s="76"/>
      <c r="C705" s="56"/>
      <c r="D705" s="57"/>
      <c r="E705" s="70"/>
      <c r="F705" s="58"/>
      <c r="G705" s="59"/>
      <c r="H705" s="59"/>
      <c r="I705" s="60"/>
      <c r="J705" s="58"/>
      <c r="K705" s="58"/>
      <c r="L705" s="58"/>
      <c r="M705" s="58"/>
      <c r="N705" s="58"/>
      <c r="O705" s="58"/>
      <c r="P705" s="61" t="str">
        <f t="shared" si="10"/>
        <v/>
      </c>
      <c r="Q705" s="62"/>
      <c r="R705" s="73"/>
      <c r="S705" s="74"/>
    </row>
    <row r="706" spans="1:19" s="63" customFormat="1" hidden="1" x14ac:dyDescent="0.25">
      <c r="A706" s="75"/>
      <c r="B706" s="76"/>
      <c r="C706" s="56"/>
      <c r="D706" s="57"/>
      <c r="E706" s="70"/>
      <c r="F706" s="58"/>
      <c r="G706" s="59"/>
      <c r="H706" s="59"/>
      <c r="I706" s="60"/>
      <c r="J706" s="58"/>
      <c r="K706" s="58"/>
      <c r="L706" s="58"/>
      <c r="M706" s="58"/>
      <c r="N706" s="58"/>
      <c r="O706" s="58"/>
      <c r="P706" s="61" t="str">
        <f t="shared" si="10"/>
        <v/>
      </c>
      <c r="Q706" s="62"/>
      <c r="R706" s="73"/>
      <c r="S706" s="74"/>
    </row>
    <row r="707" spans="1:19" s="63" customFormat="1" hidden="1" x14ac:dyDescent="0.25">
      <c r="A707" s="75"/>
      <c r="B707" s="76"/>
      <c r="C707" s="56"/>
      <c r="D707" s="57"/>
      <c r="E707" s="70"/>
      <c r="F707" s="58"/>
      <c r="G707" s="59"/>
      <c r="H707" s="59"/>
      <c r="I707" s="60"/>
      <c r="J707" s="58"/>
      <c r="K707" s="58"/>
      <c r="L707" s="58"/>
      <c r="M707" s="58"/>
      <c r="N707" s="58"/>
      <c r="O707" s="58"/>
      <c r="P707" s="61" t="str">
        <f t="shared" si="10"/>
        <v/>
      </c>
      <c r="Q707" s="62"/>
      <c r="R707" s="73"/>
      <c r="S707" s="74"/>
    </row>
    <row r="708" spans="1:19" s="63" customFormat="1" hidden="1" x14ac:dyDescent="0.25">
      <c r="A708" s="75"/>
      <c r="B708" s="76"/>
      <c r="C708" s="56"/>
      <c r="D708" s="57"/>
      <c r="E708" s="70"/>
      <c r="F708" s="58"/>
      <c r="G708" s="59"/>
      <c r="H708" s="59"/>
      <c r="I708" s="60"/>
      <c r="J708" s="58"/>
      <c r="K708" s="58"/>
      <c r="L708" s="58"/>
      <c r="M708" s="58"/>
      <c r="N708" s="58"/>
      <c r="O708" s="58"/>
      <c r="P708" s="61" t="str">
        <f t="shared" si="10"/>
        <v/>
      </c>
      <c r="Q708" s="62"/>
      <c r="R708" s="73"/>
      <c r="S708" s="74"/>
    </row>
    <row r="709" spans="1:19" s="63" customFormat="1" hidden="1" x14ac:dyDescent="0.25">
      <c r="A709" s="75"/>
      <c r="B709" s="76"/>
      <c r="C709" s="56"/>
      <c r="D709" s="57"/>
      <c r="E709" s="70"/>
      <c r="F709" s="58"/>
      <c r="G709" s="59"/>
      <c r="H709" s="59"/>
      <c r="I709" s="60"/>
      <c r="J709" s="58"/>
      <c r="K709" s="58"/>
      <c r="L709" s="58"/>
      <c r="M709" s="58"/>
      <c r="N709" s="58"/>
      <c r="O709" s="58"/>
      <c r="P709" s="61" t="str">
        <f t="shared" si="10"/>
        <v/>
      </c>
      <c r="Q709" s="62"/>
      <c r="R709" s="73"/>
      <c r="S709" s="74"/>
    </row>
    <row r="710" spans="1:19" s="63" customFormat="1" hidden="1" x14ac:dyDescent="0.25">
      <c r="A710" s="75"/>
      <c r="B710" s="76"/>
      <c r="C710" s="56"/>
      <c r="D710" s="57"/>
      <c r="E710" s="70"/>
      <c r="F710" s="58"/>
      <c r="G710" s="59"/>
      <c r="H710" s="59"/>
      <c r="I710" s="60"/>
      <c r="J710" s="58"/>
      <c r="K710" s="58"/>
      <c r="L710" s="58"/>
      <c r="M710" s="58"/>
      <c r="N710" s="58"/>
      <c r="O710" s="58"/>
      <c r="P710" s="61" t="str">
        <f t="shared" si="10"/>
        <v/>
      </c>
      <c r="Q710" s="62"/>
      <c r="R710" s="73"/>
      <c r="S710" s="74"/>
    </row>
    <row r="711" spans="1:19" s="63" customFormat="1" hidden="1" x14ac:dyDescent="0.25">
      <c r="A711" s="75"/>
      <c r="B711" s="76"/>
      <c r="C711" s="56"/>
      <c r="D711" s="57"/>
      <c r="E711" s="70"/>
      <c r="F711" s="58"/>
      <c r="G711" s="59"/>
      <c r="H711" s="59"/>
      <c r="I711" s="60"/>
      <c r="J711" s="58"/>
      <c r="K711" s="58"/>
      <c r="L711" s="58"/>
      <c r="M711" s="58"/>
      <c r="N711" s="58"/>
      <c r="O711" s="58"/>
      <c r="P711" s="61" t="str">
        <f t="shared" si="10"/>
        <v/>
      </c>
      <c r="Q711" s="62"/>
      <c r="R711" s="73"/>
      <c r="S711" s="74"/>
    </row>
    <row r="712" spans="1:19" s="63" customFormat="1" hidden="1" x14ac:dyDescent="0.25">
      <c r="A712" s="75"/>
      <c r="B712" s="76"/>
      <c r="C712" s="56"/>
      <c r="D712" s="57"/>
      <c r="E712" s="70"/>
      <c r="F712" s="58"/>
      <c r="G712" s="59"/>
      <c r="H712" s="59"/>
      <c r="I712" s="60"/>
      <c r="J712" s="58"/>
      <c r="K712" s="58"/>
      <c r="L712" s="58"/>
      <c r="M712" s="58"/>
      <c r="N712" s="58"/>
      <c r="O712" s="58"/>
      <c r="P712" s="61" t="str">
        <f t="shared" si="10"/>
        <v/>
      </c>
      <c r="Q712" s="62"/>
      <c r="R712" s="73"/>
      <c r="S712" s="74"/>
    </row>
    <row r="713" spans="1:19" s="63" customFormat="1" hidden="1" x14ac:dyDescent="0.25">
      <c r="A713" s="75"/>
      <c r="B713" s="76"/>
      <c r="C713" s="56"/>
      <c r="D713" s="57"/>
      <c r="E713" s="70"/>
      <c r="F713" s="58"/>
      <c r="G713" s="59"/>
      <c r="H713" s="59"/>
      <c r="I713" s="60"/>
      <c r="J713" s="58"/>
      <c r="K713" s="58"/>
      <c r="L713" s="58"/>
      <c r="M713" s="58"/>
      <c r="N713" s="58"/>
      <c r="O713" s="58"/>
      <c r="P713" s="61" t="str">
        <f t="shared" ref="P713:P776" si="11">IF(F713="","",IF(ISERR(F713-E713)=TRUE,"",F713-E713+1))</f>
        <v/>
      </c>
      <c r="Q713" s="62"/>
      <c r="R713" s="73"/>
      <c r="S713" s="74"/>
    </row>
    <row r="714" spans="1:19" s="63" customFormat="1" hidden="1" x14ac:dyDescent="0.25">
      <c r="A714" s="75"/>
      <c r="B714" s="76"/>
      <c r="C714" s="56"/>
      <c r="D714" s="57"/>
      <c r="E714" s="70"/>
      <c r="F714" s="58"/>
      <c r="G714" s="59"/>
      <c r="H714" s="59"/>
      <c r="I714" s="60"/>
      <c r="J714" s="58"/>
      <c r="K714" s="58"/>
      <c r="L714" s="58"/>
      <c r="M714" s="58"/>
      <c r="N714" s="58"/>
      <c r="O714" s="58"/>
      <c r="P714" s="61" t="str">
        <f t="shared" si="11"/>
        <v/>
      </c>
      <c r="Q714" s="62"/>
      <c r="R714" s="73"/>
      <c r="S714" s="74"/>
    </row>
    <row r="715" spans="1:19" s="63" customFormat="1" hidden="1" x14ac:dyDescent="0.25">
      <c r="A715" s="75"/>
      <c r="B715" s="76"/>
      <c r="C715" s="56"/>
      <c r="D715" s="57"/>
      <c r="E715" s="70"/>
      <c r="F715" s="58"/>
      <c r="G715" s="59"/>
      <c r="H715" s="59"/>
      <c r="I715" s="60"/>
      <c r="J715" s="58"/>
      <c r="K715" s="58"/>
      <c r="L715" s="58"/>
      <c r="M715" s="58"/>
      <c r="N715" s="58"/>
      <c r="O715" s="58"/>
      <c r="P715" s="61" t="str">
        <f t="shared" si="11"/>
        <v/>
      </c>
      <c r="Q715" s="62"/>
      <c r="R715" s="73"/>
      <c r="S715" s="74"/>
    </row>
    <row r="716" spans="1:19" s="63" customFormat="1" hidden="1" x14ac:dyDescent="0.25">
      <c r="A716" s="75"/>
      <c r="B716" s="76"/>
      <c r="C716" s="56"/>
      <c r="D716" s="57"/>
      <c r="E716" s="70"/>
      <c r="F716" s="58"/>
      <c r="G716" s="59"/>
      <c r="H716" s="59"/>
      <c r="I716" s="60"/>
      <c r="J716" s="58"/>
      <c r="K716" s="58"/>
      <c r="L716" s="58"/>
      <c r="M716" s="58"/>
      <c r="N716" s="58"/>
      <c r="O716" s="58"/>
      <c r="P716" s="61" t="str">
        <f t="shared" si="11"/>
        <v/>
      </c>
      <c r="Q716" s="62"/>
      <c r="R716" s="73"/>
      <c r="S716" s="74"/>
    </row>
    <row r="717" spans="1:19" s="63" customFormat="1" hidden="1" x14ac:dyDescent="0.25">
      <c r="A717" s="75"/>
      <c r="B717" s="76"/>
      <c r="C717" s="56"/>
      <c r="D717" s="57"/>
      <c r="E717" s="70"/>
      <c r="F717" s="58"/>
      <c r="G717" s="59"/>
      <c r="H717" s="59"/>
      <c r="I717" s="60"/>
      <c r="J717" s="58"/>
      <c r="K717" s="58"/>
      <c r="L717" s="58"/>
      <c r="M717" s="58"/>
      <c r="N717" s="58"/>
      <c r="O717" s="58"/>
      <c r="P717" s="61" t="str">
        <f t="shared" si="11"/>
        <v/>
      </c>
      <c r="Q717" s="62"/>
      <c r="R717" s="73"/>
      <c r="S717" s="74"/>
    </row>
    <row r="718" spans="1:19" s="63" customFormat="1" hidden="1" x14ac:dyDescent="0.25">
      <c r="A718" s="75"/>
      <c r="B718" s="76"/>
      <c r="C718" s="56"/>
      <c r="D718" s="57"/>
      <c r="E718" s="70"/>
      <c r="F718" s="58"/>
      <c r="G718" s="59"/>
      <c r="H718" s="59"/>
      <c r="I718" s="60"/>
      <c r="J718" s="58"/>
      <c r="K718" s="58"/>
      <c r="L718" s="58"/>
      <c r="M718" s="58"/>
      <c r="N718" s="58"/>
      <c r="O718" s="58"/>
      <c r="P718" s="61" t="str">
        <f t="shared" si="11"/>
        <v/>
      </c>
      <c r="Q718" s="62"/>
      <c r="R718" s="73"/>
      <c r="S718" s="74"/>
    </row>
    <row r="719" spans="1:19" s="63" customFormat="1" hidden="1" x14ac:dyDescent="0.25">
      <c r="A719" s="75"/>
      <c r="B719" s="76"/>
      <c r="C719" s="56"/>
      <c r="D719" s="57"/>
      <c r="E719" s="70"/>
      <c r="F719" s="58"/>
      <c r="G719" s="59"/>
      <c r="H719" s="59"/>
      <c r="I719" s="60"/>
      <c r="J719" s="58"/>
      <c r="K719" s="58"/>
      <c r="L719" s="58"/>
      <c r="M719" s="58"/>
      <c r="N719" s="58"/>
      <c r="O719" s="58"/>
      <c r="P719" s="61" t="str">
        <f t="shared" si="11"/>
        <v/>
      </c>
      <c r="Q719" s="62"/>
      <c r="R719" s="73"/>
      <c r="S719" s="74"/>
    </row>
    <row r="720" spans="1:19" s="63" customFormat="1" hidden="1" x14ac:dyDescent="0.25">
      <c r="A720" s="75"/>
      <c r="B720" s="76"/>
      <c r="C720" s="56"/>
      <c r="D720" s="57"/>
      <c r="E720" s="70"/>
      <c r="F720" s="58"/>
      <c r="G720" s="59"/>
      <c r="H720" s="59"/>
      <c r="I720" s="60"/>
      <c r="J720" s="58"/>
      <c r="K720" s="58"/>
      <c r="L720" s="58"/>
      <c r="M720" s="58"/>
      <c r="N720" s="58"/>
      <c r="O720" s="58"/>
      <c r="P720" s="61" t="str">
        <f t="shared" si="11"/>
        <v/>
      </c>
      <c r="Q720" s="62"/>
      <c r="R720" s="73"/>
      <c r="S720" s="74"/>
    </row>
    <row r="721" spans="1:19" s="63" customFormat="1" hidden="1" x14ac:dyDescent="0.25">
      <c r="A721" s="75"/>
      <c r="B721" s="76"/>
      <c r="C721" s="56"/>
      <c r="D721" s="57"/>
      <c r="E721" s="70"/>
      <c r="F721" s="58"/>
      <c r="G721" s="59"/>
      <c r="H721" s="59"/>
      <c r="I721" s="60"/>
      <c r="J721" s="58"/>
      <c r="K721" s="58"/>
      <c r="L721" s="58"/>
      <c r="M721" s="58"/>
      <c r="N721" s="58"/>
      <c r="O721" s="58"/>
      <c r="P721" s="61" t="str">
        <f t="shared" si="11"/>
        <v/>
      </c>
      <c r="Q721" s="62"/>
      <c r="R721" s="73"/>
      <c r="S721" s="74"/>
    </row>
    <row r="722" spans="1:19" s="63" customFormat="1" hidden="1" x14ac:dyDescent="0.25">
      <c r="A722" s="75"/>
      <c r="B722" s="76"/>
      <c r="C722" s="56"/>
      <c r="D722" s="57"/>
      <c r="E722" s="70"/>
      <c r="F722" s="58"/>
      <c r="G722" s="59"/>
      <c r="H722" s="59"/>
      <c r="I722" s="60"/>
      <c r="J722" s="58"/>
      <c r="K722" s="58"/>
      <c r="L722" s="58"/>
      <c r="M722" s="58"/>
      <c r="N722" s="58"/>
      <c r="O722" s="58"/>
      <c r="P722" s="61" t="str">
        <f t="shared" si="11"/>
        <v/>
      </c>
      <c r="Q722" s="62"/>
      <c r="R722" s="73"/>
      <c r="S722" s="74"/>
    </row>
    <row r="723" spans="1:19" s="63" customFormat="1" hidden="1" x14ac:dyDescent="0.25">
      <c r="A723" s="75"/>
      <c r="B723" s="76"/>
      <c r="C723" s="56"/>
      <c r="D723" s="57"/>
      <c r="E723" s="70"/>
      <c r="F723" s="58"/>
      <c r="G723" s="59"/>
      <c r="H723" s="59"/>
      <c r="I723" s="60"/>
      <c r="J723" s="58"/>
      <c r="K723" s="58"/>
      <c r="L723" s="58"/>
      <c r="M723" s="58"/>
      <c r="N723" s="58"/>
      <c r="O723" s="58"/>
      <c r="P723" s="61" t="str">
        <f t="shared" si="11"/>
        <v/>
      </c>
      <c r="Q723" s="62"/>
      <c r="R723" s="73"/>
      <c r="S723" s="74"/>
    </row>
    <row r="724" spans="1:19" s="63" customFormat="1" hidden="1" x14ac:dyDescent="0.25">
      <c r="A724" s="75"/>
      <c r="B724" s="76"/>
      <c r="C724" s="56"/>
      <c r="D724" s="57"/>
      <c r="E724" s="70"/>
      <c r="F724" s="58"/>
      <c r="G724" s="59"/>
      <c r="H724" s="59"/>
      <c r="I724" s="60"/>
      <c r="J724" s="58"/>
      <c r="K724" s="58"/>
      <c r="L724" s="58"/>
      <c r="M724" s="58"/>
      <c r="N724" s="58"/>
      <c r="O724" s="58"/>
      <c r="P724" s="61" t="str">
        <f t="shared" si="11"/>
        <v/>
      </c>
      <c r="Q724" s="62"/>
      <c r="R724" s="73"/>
      <c r="S724" s="74"/>
    </row>
    <row r="725" spans="1:19" s="63" customFormat="1" hidden="1" x14ac:dyDescent="0.25">
      <c r="A725" s="75"/>
      <c r="B725" s="76"/>
      <c r="C725" s="56"/>
      <c r="D725" s="57"/>
      <c r="E725" s="70"/>
      <c r="F725" s="58"/>
      <c r="G725" s="59"/>
      <c r="H725" s="59"/>
      <c r="I725" s="60"/>
      <c r="J725" s="58"/>
      <c r="K725" s="58"/>
      <c r="L725" s="58"/>
      <c r="M725" s="58"/>
      <c r="N725" s="58"/>
      <c r="O725" s="58"/>
      <c r="P725" s="61" t="str">
        <f t="shared" si="11"/>
        <v/>
      </c>
      <c r="Q725" s="62"/>
      <c r="R725" s="73"/>
      <c r="S725" s="74"/>
    </row>
    <row r="726" spans="1:19" s="63" customFormat="1" hidden="1" x14ac:dyDescent="0.25">
      <c r="A726" s="75"/>
      <c r="B726" s="76"/>
      <c r="C726" s="56"/>
      <c r="D726" s="57"/>
      <c r="E726" s="70"/>
      <c r="F726" s="58"/>
      <c r="G726" s="59"/>
      <c r="H726" s="59"/>
      <c r="I726" s="60"/>
      <c r="J726" s="58"/>
      <c r="K726" s="58"/>
      <c r="L726" s="58"/>
      <c r="M726" s="58"/>
      <c r="N726" s="58"/>
      <c r="O726" s="58"/>
      <c r="P726" s="61" t="str">
        <f t="shared" si="11"/>
        <v/>
      </c>
      <c r="Q726" s="62"/>
      <c r="R726" s="73"/>
      <c r="S726" s="74"/>
    </row>
    <row r="727" spans="1:19" s="63" customFormat="1" hidden="1" x14ac:dyDescent="0.25">
      <c r="A727" s="75"/>
      <c r="B727" s="76"/>
      <c r="C727" s="56"/>
      <c r="D727" s="57"/>
      <c r="E727" s="70"/>
      <c r="F727" s="58"/>
      <c r="G727" s="59"/>
      <c r="H727" s="59"/>
      <c r="I727" s="60"/>
      <c r="J727" s="58"/>
      <c r="K727" s="58"/>
      <c r="L727" s="58"/>
      <c r="M727" s="58"/>
      <c r="N727" s="58"/>
      <c r="O727" s="58"/>
      <c r="P727" s="61" t="str">
        <f t="shared" si="11"/>
        <v/>
      </c>
      <c r="Q727" s="62"/>
      <c r="R727" s="73"/>
      <c r="S727" s="74"/>
    </row>
    <row r="728" spans="1:19" s="63" customFormat="1" hidden="1" x14ac:dyDescent="0.25">
      <c r="A728" s="75"/>
      <c r="B728" s="76"/>
      <c r="C728" s="56"/>
      <c r="D728" s="57"/>
      <c r="E728" s="70"/>
      <c r="F728" s="58"/>
      <c r="G728" s="59"/>
      <c r="H728" s="59"/>
      <c r="I728" s="60"/>
      <c r="J728" s="58"/>
      <c r="K728" s="58"/>
      <c r="L728" s="58"/>
      <c r="M728" s="58"/>
      <c r="N728" s="58"/>
      <c r="O728" s="58"/>
      <c r="P728" s="61" t="str">
        <f t="shared" si="11"/>
        <v/>
      </c>
      <c r="Q728" s="62"/>
      <c r="R728" s="73"/>
      <c r="S728" s="74"/>
    </row>
    <row r="729" spans="1:19" s="63" customFormat="1" hidden="1" x14ac:dyDescent="0.25">
      <c r="A729" s="75"/>
      <c r="B729" s="76"/>
      <c r="C729" s="56"/>
      <c r="D729" s="57"/>
      <c r="E729" s="70"/>
      <c r="F729" s="58"/>
      <c r="G729" s="59"/>
      <c r="H729" s="59"/>
      <c r="I729" s="60"/>
      <c r="J729" s="58"/>
      <c r="K729" s="58"/>
      <c r="L729" s="58"/>
      <c r="M729" s="58"/>
      <c r="N729" s="58"/>
      <c r="O729" s="58"/>
      <c r="P729" s="61" t="str">
        <f t="shared" si="11"/>
        <v/>
      </c>
      <c r="Q729" s="62"/>
      <c r="R729" s="73"/>
      <c r="S729" s="74"/>
    </row>
    <row r="730" spans="1:19" s="63" customFormat="1" hidden="1" x14ac:dyDescent="0.25">
      <c r="A730" s="75"/>
      <c r="B730" s="76"/>
      <c r="C730" s="56"/>
      <c r="D730" s="57"/>
      <c r="E730" s="70"/>
      <c r="F730" s="58"/>
      <c r="G730" s="59"/>
      <c r="H730" s="59"/>
      <c r="I730" s="60"/>
      <c r="J730" s="58"/>
      <c r="K730" s="58"/>
      <c r="L730" s="58"/>
      <c r="M730" s="58"/>
      <c r="N730" s="58"/>
      <c r="O730" s="58"/>
      <c r="P730" s="61" t="str">
        <f t="shared" si="11"/>
        <v/>
      </c>
      <c r="Q730" s="62"/>
      <c r="R730" s="73"/>
      <c r="S730" s="74"/>
    </row>
    <row r="731" spans="1:19" s="63" customFormat="1" hidden="1" x14ac:dyDescent="0.25">
      <c r="A731" s="75"/>
      <c r="B731" s="76"/>
      <c r="C731" s="56"/>
      <c r="D731" s="57"/>
      <c r="E731" s="70"/>
      <c r="F731" s="58"/>
      <c r="G731" s="59"/>
      <c r="H731" s="59"/>
      <c r="I731" s="60"/>
      <c r="J731" s="58"/>
      <c r="K731" s="58"/>
      <c r="L731" s="58"/>
      <c r="M731" s="58"/>
      <c r="N731" s="58"/>
      <c r="O731" s="58"/>
      <c r="P731" s="61" t="str">
        <f t="shared" si="11"/>
        <v/>
      </c>
      <c r="Q731" s="62"/>
      <c r="R731" s="73"/>
      <c r="S731" s="74"/>
    </row>
    <row r="732" spans="1:19" s="63" customFormat="1" hidden="1" x14ac:dyDescent="0.25">
      <c r="A732" s="75"/>
      <c r="B732" s="76"/>
      <c r="C732" s="56"/>
      <c r="D732" s="57"/>
      <c r="E732" s="70"/>
      <c r="F732" s="58"/>
      <c r="G732" s="59"/>
      <c r="H732" s="59"/>
      <c r="I732" s="60"/>
      <c r="J732" s="58"/>
      <c r="K732" s="58"/>
      <c r="L732" s="58"/>
      <c r="M732" s="58"/>
      <c r="N732" s="58"/>
      <c r="O732" s="58"/>
      <c r="P732" s="61" t="str">
        <f t="shared" si="11"/>
        <v/>
      </c>
      <c r="Q732" s="62"/>
      <c r="R732" s="73"/>
      <c r="S732" s="74"/>
    </row>
    <row r="733" spans="1:19" s="63" customFormat="1" hidden="1" x14ac:dyDescent="0.25">
      <c r="A733" s="75"/>
      <c r="B733" s="76"/>
      <c r="C733" s="56"/>
      <c r="D733" s="57"/>
      <c r="E733" s="70"/>
      <c r="F733" s="58"/>
      <c r="G733" s="59"/>
      <c r="H733" s="59"/>
      <c r="I733" s="60"/>
      <c r="J733" s="58"/>
      <c r="K733" s="58"/>
      <c r="L733" s="58"/>
      <c r="M733" s="58"/>
      <c r="N733" s="58"/>
      <c r="O733" s="58"/>
      <c r="P733" s="61" t="str">
        <f t="shared" si="11"/>
        <v/>
      </c>
      <c r="Q733" s="62"/>
      <c r="R733" s="73"/>
      <c r="S733" s="74"/>
    </row>
    <row r="734" spans="1:19" s="63" customFormat="1" hidden="1" x14ac:dyDescent="0.25">
      <c r="A734" s="75"/>
      <c r="B734" s="76"/>
      <c r="C734" s="56"/>
      <c r="D734" s="57"/>
      <c r="E734" s="70"/>
      <c r="F734" s="58"/>
      <c r="G734" s="59"/>
      <c r="H734" s="59"/>
      <c r="I734" s="60"/>
      <c r="J734" s="58"/>
      <c r="K734" s="58"/>
      <c r="L734" s="58"/>
      <c r="M734" s="58"/>
      <c r="N734" s="58"/>
      <c r="O734" s="58"/>
      <c r="P734" s="61" t="str">
        <f t="shared" si="11"/>
        <v/>
      </c>
      <c r="Q734" s="62"/>
      <c r="R734" s="73"/>
      <c r="S734" s="74"/>
    </row>
    <row r="735" spans="1:19" s="63" customFormat="1" hidden="1" x14ac:dyDescent="0.25">
      <c r="A735" s="75"/>
      <c r="B735" s="76"/>
      <c r="C735" s="56"/>
      <c r="D735" s="57"/>
      <c r="E735" s="70"/>
      <c r="F735" s="58"/>
      <c r="G735" s="59"/>
      <c r="H735" s="59"/>
      <c r="I735" s="60"/>
      <c r="J735" s="58"/>
      <c r="K735" s="58"/>
      <c r="L735" s="58"/>
      <c r="M735" s="58"/>
      <c r="N735" s="58"/>
      <c r="O735" s="58"/>
      <c r="P735" s="61" t="str">
        <f t="shared" si="11"/>
        <v/>
      </c>
      <c r="Q735" s="62"/>
      <c r="R735" s="73"/>
      <c r="S735" s="74"/>
    </row>
    <row r="736" spans="1:19" s="63" customFormat="1" hidden="1" x14ac:dyDescent="0.25">
      <c r="A736" s="75"/>
      <c r="B736" s="76"/>
      <c r="C736" s="56"/>
      <c r="D736" s="57"/>
      <c r="E736" s="70"/>
      <c r="F736" s="58"/>
      <c r="G736" s="59"/>
      <c r="H736" s="59"/>
      <c r="I736" s="60"/>
      <c r="J736" s="58"/>
      <c r="K736" s="58"/>
      <c r="L736" s="58"/>
      <c r="M736" s="58"/>
      <c r="N736" s="58"/>
      <c r="O736" s="58"/>
      <c r="P736" s="61" t="str">
        <f t="shared" si="11"/>
        <v/>
      </c>
      <c r="Q736" s="62"/>
      <c r="R736" s="73"/>
      <c r="S736" s="74"/>
    </row>
    <row r="737" spans="1:19" s="63" customFormat="1" hidden="1" x14ac:dyDescent="0.25">
      <c r="A737" s="75"/>
      <c r="B737" s="76"/>
      <c r="C737" s="56"/>
      <c r="D737" s="57"/>
      <c r="E737" s="70"/>
      <c r="F737" s="58"/>
      <c r="G737" s="59"/>
      <c r="H737" s="59"/>
      <c r="I737" s="60"/>
      <c r="J737" s="58"/>
      <c r="K737" s="58"/>
      <c r="L737" s="58"/>
      <c r="M737" s="58"/>
      <c r="N737" s="58"/>
      <c r="O737" s="58"/>
      <c r="P737" s="61" t="str">
        <f t="shared" si="11"/>
        <v/>
      </c>
      <c r="Q737" s="62"/>
      <c r="R737" s="73"/>
      <c r="S737" s="74"/>
    </row>
    <row r="738" spans="1:19" s="63" customFormat="1" hidden="1" x14ac:dyDescent="0.25">
      <c r="A738" s="75"/>
      <c r="B738" s="76"/>
      <c r="C738" s="56"/>
      <c r="D738" s="57"/>
      <c r="E738" s="70"/>
      <c r="F738" s="58"/>
      <c r="G738" s="59"/>
      <c r="H738" s="59"/>
      <c r="I738" s="60"/>
      <c r="J738" s="58"/>
      <c r="K738" s="58"/>
      <c r="L738" s="58"/>
      <c r="M738" s="58"/>
      <c r="N738" s="58"/>
      <c r="O738" s="58"/>
      <c r="P738" s="61" t="str">
        <f t="shared" si="11"/>
        <v/>
      </c>
      <c r="Q738" s="62"/>
      <c r="R738" s="73"/>
      <c r="S738" s="74"/>
    </row>
    <row r="739" spans="1:19" s="63" customFormat="1" hidden="1" x14ac:dyDescent="0.25">
      <c r="A739" s="75"/>
      <c r="B739" s="76"/>
      <c r="C739" s="56"/>
      <c r="D739" s="57"/>
      <c r="E739" s="70"/>
      <c r="F739" s="58"/>
      <c r="G739" s="59"/>
      <c r="H739" s="59"/>
      <c r="I739" s="60"/>
      <c r="J739" s="58"/>
      <c r="K739" s="58"/>
      <c r="L739" s="58"/>
      <c r="M739" s="58"/>
      <c r="N739" s="58"/>
      <c r="O739" s="58"/>
      <c r="P739" s="61" t="str">
        <f t="shared" si="11"/>
        <v/>
      </c>
      <c r="Q739" s="62"/>
      <c r="R739" s="73"/>
      <c r="S739" s="74"/>
    </row>
    <row r="740" spans="1:19" s="63" customFormat="1" hidden="1" x14ac:dyDescent="0.25">
      <c r="A740" s="75"/>
      <c r="B740" s="76"/>
      <c r="C740" s="56"/>
      <c r="D740" s="57"/>
      <c r="E740" s="70"/>
      <c r="F740" s="58"/>
      <c r="G740" s="59"/>
      <c r="H740" s="59"/>
      <c r="I740" s="60"/>
      <c r="J740" s="58"/>
      <c r="K740" s="58"/>
      <c r="L740" s="58"/>
      <c r="M740" s="58"/>
      <c r="N740" s="58"/>
      <c r="O740" s="58"/>
      <c r="P740" s="61" t="str">
        <f t="shared" si="11"/>
        <v/>
      </c>
      <c r="Q740" s="62"/>
      <c r="R740" s="73"/>
      <c r="S740" s="74"/>
    </row>
    <row r="741" spans="1:19" s="63" customFormat="1" hidden="1" x14ac:dyDescent="0.25">
      <c r="A741" s="75"/>
      <c r="B741" s="76"/>
      <c r="C741" s="56"/>
      <c r="D741" s="57"/>
      <c r="E741" s="70"/>
      <c r="F741" s="58"/>
      <c r="G741" s="59"/>
      <c r="H741" s="59"/>
      <c r="I741" s="60"/>
      <c r="J741" s="58"/>
      <c r="K741" s="58"/>
      <c r="L741" s="58"/>
      <c r="M741" s="58"/>
      <c r="N741" s="58"/>
      <c r="O741" s="58"/>
      <c r="P741" s="61" t="str">
        <f t="shared" si="11"/>
        <v/>
      </c>
      <c r="Q741" s="62"/>
      <c r="R741" s="73"/>
      <c r="S741" s="74"/>
    </row>
    <row r="742" spans="1:19" s="63" customFormat="1" hidden="1" x14ac:dyDescent="0.25">
      <c r="A742" s="75"/>
      <c r="B742" s="76"/>
      <c r="C742" s="56"/>
      <c r="D742" s="57"/>
      <c r="E742" s="70"/>
      <c r="F742" s="58"/>
      <c r="G742" s="59"/>
      <c r="H742" s="59"/>
      <c r="I742" s="60"/>
      <c r="J742" s="58"/>
      <c r="K742" s="58"/>
      <c r="L742" s="58"/>
      <c r="M742" s="58"/>
      <c r="N742" s="58"/>
      <c r="O742" s="58"/>
      <c r="P742" s="61" t="str">
        <f t="shared" si="11"/>
        <v/>
      </c>
      <c r="Q742" s="62"/>
      <c r="R742" s="73"/>
      <c r="S742" s="74"/>
    </row>
    <row r="743" spans="1:19" s="63" customFormat="1" hidden="1" x14ac:dyDescent="0.25">
      <c r="A743" s="75"/>
      <c r="B743" s="76"/>
      <c r="C743" s="56"/>
      <c r="D743" s="57"/>
      <c r="E743" s="70"/>
      <c r="F743" s="58"/>
      <c r="G743" s="59"/>
      <c r="H743" s="59"/>
      <c r="I743" s="60"/>
      <c r="J743" s="58"/>
      <c r="K743" s="58"/>
      <c r="L743" s="58"/>
      <c r="M743" s="58"/>
      <c r="N743" s="58"/>
      <c r="O743" s="58"/>
      <c r="P743" s="61" t="str">
        <f t="shared" si="11"/>
        <v/>
      </c>
      <c r="Q743" s="62"/>
      <c r="R743" s="73"/>
      <c r="S743" s="74"/>
    </row>
    <row r="744" spans="1:19" s="63" customFormat="1" hidden="1" x14ac:dyDescent="0.25">
      <c r="A744" s="75"/>
      <c r="B744" s="76"/>
      <c r="C744" s="56"/>
      <c r="D744" s="57"/>
      <c r="E744" s="70"/>
      <c r="F744" s="58"/>
      <c r="G744" s="59"/>
      <c r="H744" s="59"/>
      <c r="I744" s="60"/>
      <c r="J744" s="58"/>
      <c r="K744" s="58"/>
      <c r="L744" s="58"/>
      <c r="M744" s="58"/>
      <c r="N744" s="58"/>
      <c r="O744" s="58"/>
      <c r="P744" s="61" t="str">
        <f t="shared" si="11"/>
        <v/>
      </c>
      <c r="Q744" s="62"/>
      <c r="R744" s="73"/>
      <c r="S744" s="74"/>
    </row>
    <row r="745" spans="1:19" s="63" customFormat="1" hidden="1" x14ac:dyDescent="0.25">
      <c r="A745" s="75"/>
      <c r="B745" s="76"/>
      <c r="C745" s="56"/>
      <c r="D745" s="57"/>
      <c r="E745" s="70"/>
      <c r="F745" s="58"/>
      <c r="G745" s="59"/>
      <c r="H745" s="59"/>
      <c r="I745" s="60"/>
      <c r="J745" s="58"/>
      <c r="K745" s="58"/>
      <c r="L745" s="58"/>
      <c r="M745" s="58"/>
      <c r="N745" s="58"/>
      <c r="O745" s="58"/>
      <c r="P745" s="61" t="str">
        <f t="shared" si="11"/>
        <v/>
      </c>
      <c r="Q745" s="62"/>
      <c r="R745" s="73"/>
      <c r="S745" s="74"/>
    </row>
    <row r="746" spans="1:19" s="63" customFormat="1" hidden="1" x14ac:dyDescent="0.25">
      <c r="A746" s="75"/>
      <c r="B746" s="76"/>
      <c r="C746" s="56"/>
      <c r="D746" s="57"/>
      <c r="E746" s="70"/>
      <c r="F746" s="58"/>
      <c r="G746" s="59"/>
      <c r="H746" s="59"/>
      <c r="I746" s="60"/>
      <c r="J746" s="58"/>
      <c r="K746" s="58"/>
      <c r="L746" s="58"/>
      <c r="M746" s="58"/>
      <c r="N746" s="58"/>
      <c r="O746" s="58"/>
      <c r="P746" s="61" t="str">
        <f t="shared" si="11"/>
        <v/>
      </c>
      <c r="Q746" s="62"/>
      <c r="R746" s="73"/>
      <c r="S746" s="74"/>
    </row>
    <row r="747" spans="1:19" s="63" customFormat="1" hidden="1" x14ac:dyDescent="0.25">
      <c r="A747" s="75"/>
      <c r="B747" s="76"/>
      <c r="C747" s="56"/>
      <c r="D747" s="57"/>
      <c r="E747" s="70"/>
      <c r="F747" s="58"/>
      <c r="G747" s="59"/>
      <c r="H747" s="59"/>
      <c r="I747" s="60"/>
      <c r="J747" s="58"/>
      <c r="K747" s="58"/>
      <c r="L747" s="58"/>
      <c r="M747" s="58"/>
      <c r="N747" s="58"/>
      <c r="O747" s="58"/>
      <c r="P747" s="61" t="str">
        <f t="shared" si="11"/>
        <v/>
      </c>
      <c r="Q747" s="62"/>
      <c r="R747" s="73"/>
      <c r="S747" s="74"/>
    </row>
    <row r="748" spans="1:19" s="63" customFormat="1" hidden="1" x14ac:dyDescent="0.25">
      <c r="A748" s="75"/>
      <c r="B748" s="76"/>
      <c r="C748" s="56"/>
      <c r="D748" s="57"/>
      <c r="E748" s="70"/>
      <c r="F748" s="58"/>
      <c r="G748" s="59"/>
      <c r="H748" s="59"/>
      <c r="I748" s="60"/>
      <c r="J748" s="58"/>
      <c r="K748" s="58"/>
      <c r="L748" s="58"/>
      <c r="M748" s="58"/>
      <c r="N748" s="58"/>
      <c r="O748" s="58"/>
      <c r="P748" s="61" t="str">
        <f t="shared" si="11"/>
        <v/>
      </c>
      <c r="Q748" s="62"/>
      <c r="R748" s="73"/>
      <c r="S748" s="74"/>
    </row>
    <row r="749" spans="1:19" s="63" customFormat="1" hidden="1" x14ac:dyDescent="0.25">
      <c r="A749" s="75"/>
      <c r="B749" s="76"/>
      <c r="C749" s="56"/>
      <c r="D749" s="57"/>
      <c r="E749" s="70"/>
      <c r="F749" s="58"/>
      <c r="G749" s="59"/>
      <c r="H749" s="59"/>
      <c r="I749" s="60"/>
      <c r="J749" s="58"/>
      <c r="K749" s="58"/>
      <c r="L749" s="58"/>
      <c r="M749" s="58"/>
      <c r="N749" s="58"/>
      <c r="O749" s="58"/>
      <c r="P749" s="61" t="str">
        <f t="shared" si="11"/>
        <v/>
      </c>
      <c r="Q749" s="62"/>
      <c r="R749" s="73"/>
      <c r="S749" s="74"/>
    </row>
    <row r="750" spans="1:19" s="63" customFormat="1" hidden="1" x14ac:dyDescent="0.25">
      <c r="A750" s="75"/>
      <c r="B750" s="76"/>
      <c r="C750" s="56"/>
      <c r="D750" s="57"/>
      <c r="E750" s="70"/>
      <c r="F750" s="58"/>
      <c r="G750" s="59"/>
      <c r="H750" s="59"/>
      <c r="I750" s="60"/>
      <c r="J750" s="58"/>
      <c r="K750" s="58"/>
      <c r="L750" s="58"/>
      <c r="M750" s="58"/>
      <c r="N750" s="58"/>
      <c r="O750" s="58"/>
      <c r="P750" s="61" t="str">
        <f t="shared" si="11"/>
        <v/>
      </c>
      <c r="Q750" s="62"/>
      <c r="R750" s="73"/>
      <c r="S750" s="74"/>
    </row>
    <row r="751" spans="1:19" s="63" customFormat="1" hidden="1" x14ac:dyDescent="0.25">
      <c r="A751" s="75"/>
      <c r="B751" s="76"/>
      <c r="C751" s="56"/>
      <c r="D751" s="57"/>
      <c r="E751" s="70"/>
      <c r="F751" s="58"/>
      <c r="G751" s="59"/>
      <c r="H751" s="59"/>
      <c r="I751" s="60"/>
      <c r="J751" s="58"/>
      <c r="K751" s="58"/>
      <c r="L751" s="58"/>
      <c r="M751" s="58"/>
      <c r="N751" s="58"/>
      <c r="O751" s="58"/>
      <c r="P751" s="61" t="str">
        <f t="shared" si="11"/>
        <v/>
      </c>
      <c r="Q751" s="62"/>
      <c r="R751" s="73"/>
      <c r="S751" s="74"/>
    </row>
    <row r="752" spans="1:19" s="63" customFormat="1" hidden="1" x14ac:dyDescent="0.25">
      <c r="A752" s="75"/>
      <c r="B752" s="76"/>
      <c r="C752" s="56"/>
      <c r="D752" s="57"/>
      <c r="E752" s="70"/>
      <c r="F752" s="58"/>
      <c r="G752" s="59"/>
      <c r="H752" s="59"/>
      <c r="I752" s="60"/>
      <c r="J752" s="58"/>
      <c r="K752" s="58"/>
      <c r="L752" s="58"/>
      <c r="M752" s="58"/>
      <c r="N752" s="58"/>
      <c r="O752" s="58"/>
      <c r="P752" s="61" t="str">
        <f t="shared" si="11"/>
        <v/>
      </c>
      <c r="Q752" s="62"/>
      <c r="R752" s="73"/>
      <c r="S752" s="74"/>
    </row>
    <row r="753" spans="1:19" s="63" customFormat="1" hidden="1" x14ac:dyDescent="0.25">
      <c r="A753" s="75"/>
      <c r="B753" s="76"/>
      <c r="C753" s="56"/>
      <c r="D753" s="57"/>
      <c r="E753" s="70"/>
      <c r="F753" s="58"/>
      <c r="G753" s="59"/>
      <c r="H753" s="59"/>
      <c r="I753" s="60"/>
      <c r="J753" s="58"/>
      <c r="K753" s="58"/>
      <c r="L753" s="58"/>
      <c r="M753" s="58"/>
      <c r="N753" s="58"/>
      <c r="O753" s="58"/>
      <c r="P753" s="61" t="str">
        <f t="shared" si="11"/>
        <v/>
      </c>
      <c r="Q753" s="62"/>
      <c r="R753" s="73"/>
      <c r="S753" s="74"/>
    </row>
    <row r="754" spans="1:19" s="63" customFormat="1" hidden="1" x14ac:dyDescent="0.25">
      <c r="A754" s="75"/>
      <c r="B754" s="76"/>
      <c r="C754" s="56"/>
      <c r="D754" s="57"/>
      <c r="E754" s="70"/>
      <c r="F754" s="58"/>
      <c r="G754" s="59"/>
      <c r="H754" s="59"/>
      <c r="I754" s="60"/>
      <c r="J754" s="58"/>
      <c r="K754" s="58"/>
      <c r="L754" s="58"/>
      <c r="M754" s="58"/>
      <c r="N754" s="58"/>
      <c r="O754" s="58"/>
      <c r="P754" s="61" t="str">
        <f t="shared" si="11"/>
        <v/>
      </c>
      <c r="Q754" s="62"/>
      <c r="R754" s="73"/>
      <c r="S754" s="74"/>
    </row>
    <row r="755" spans="1:19" s="63" customFormat="1" hidden="1" x14ac:dyDescent="0.25">
      <c r="A755" s="75"/>
      <c r="B755" s="76"/>
      <c r="C755" s="56"/>
      <c r="D755" s="57"/>
      <c r="E755" s="70"/>
      <c r="F755" s="58"/>
      <c r="G755" s="59"/>
      <c r="H755" s="59"/>
      <c r="I755" s="60"/>
      <c r="J755" s="58"/>
      <c r="K755" s="58"/>
      <c r="L755" s="58"/>
      <c r="M755" s="58"/>
      <c r="N755" s="58"/>
      <c r="O755" s="58"/>
      <c r="P755" s="61" t="str">
        <f t="shared" si="11"/>
        <v/>
      </c>
      <c r="Q755" s="62"/>
      <c r="R755" s="73"/>
      <c r="S755" s="74"/>
    </row>
    <row r="756" spans="1:19" s="63" customFormat="1" hidden="1" x14ac:dyDescent="0.25">
      <c r="A756" s="75"/>
      <c r="B756" s="76"/>
      <c r="C756" s="56"/>
      <c r="D756" s="57"/>
      <c r="E756" s="70"/>
      <c r="F756" s="58"/>
      <c r="G756" s="59"/>
      <c r="H756" s="59"/>
      <c r="I756" s="60"/>
      <c r="J756" s="58"/>
      <c r="K756" s="58"/>
      <c r="L756" s="58"/>
      <c r="M756" s="58"/>
      <c r="N756" s="58"/>
      <c r="O756" s="58"/>
      <c r="P756" s="61" t="str">
        <f t="shared" si="11"/>
        <v/>
      </c>
      <c r="Q756" s="62"/>
      <c r="R756" s="73"/>
      <c r="S756" s="74"/>
    </row>
    <row r="757" spans="1:19" s="63" customFormat="1" hidden="1" x14ac:dyDescent="0.25">
      <c r="A757" s="75"/>
      <c r="B757" s="76"/>
      <c r="C757" s="56"/>
      <c r="D757" s="57"/>
      <c r="E757" s="70"/>
      <c r="F757" s="58"/>
      <c r="G757" s="59"/>
      <c r="H757" s="59"/>
      <c r="I757" s="60"/>
      <c r="J757" s="58"/>
      <c r="K757" s="58"/>
      <c r="L757" s="58"/>
      <c r="M757" s="58"/>
      <c r="N757" s="58"/>
      <c r="O757" s="58"/>
      <c r="P757" s="61" t="str">
        <f t="shared" si="11"/>
        <v/>
      </c>
      <c r="Q757" s="62"/>
      <c r="R757" s="73"/>
      <c r="S757" s="74"/>
    </row>
    <row r="758" spans="1:19" s="63" customFormat="1" hidden="1" x14ac:dyDescent="0.25">
      <c r="A758" s="75"/>
      <c r="B758" s="76"/>
      <c r="C758" s="56"/>
      <c r="D758" s="57"/>
      <c r="E758" s="70"/>
      <c r="F758" s="58"/>
      <c r="G758" s="59"/>
      <c r="H758" s="59"/>
      <c r="I758" s="60"/>
      <c r="J758" s="58"/>
      <c r="K758" s="58"/>
      <c r="L758" s="58"/>
      <c r="M758" s="58"/>
      <c r="N758" s="58"/>
      <c r="O758" s="58"/>
      <c r="P758" s="61" t="str">
        <f t="shared" si="11"/>
        <v/>
      </c>
      <c r="Q758" s="62"/>
      <c r="R758" s="73"/>
      <c r="S758" s="74"/>
    </row>
    <row r="759" spans="1:19" s="63" customFormat="1" hidden="1" x14ac:dyDescent="0.25">
      <c r="A759" s="75"/>
      <c r="B759" s="76"/>
      <c r="C759" s="56"/>
      <c r="D759" s="57"/>
      <c r="E759" s="70"/>
      <c r="F759" s="58"/>
      <c r="G759" s="59"/>
      <c r="H759" s="59"/>
      <c r="I759" s="60"/>
      <c r="J759" s="58"/>
      <c r="K759" s="58"/>
      <c r="L759" s="58"/>
      <c r="M759" s="58"/>
      <c r="N759" s="58"/>
      <c r="O759" s="58"/>
      <c r="P759" s="61" t="str">
        <f t="shared" si="11"/>
        <v/>
      </c>
      <c r="Q759" s="62"/>
      <c r="R759" s="73"/>
      <c r="S759" s="74"/>
    </row>
    <row r="760" spans="1:19" s="63" customFormat="1" hidden="1" x14ac:dyDescent="0.25">
      <c r="A760" s="75"/>
      <c r="B760" s="76"/>
      <c r="C760" s="56"/>
      <c r="D760" s="57"/>
      <c r="E760" s="70"/>
      <c r="F760" s="58"/>
      <c r="G760" s="59"/>
      <c r="H760" s="59"/>
      <c r="I760" s="60"/>
      <c r="J760" s="58"/>
      <c r="K760" s="58"/>
      <c r="L760" s="58"/>
      <c r="M760" s="58"/>
      <c r="N760" s="58"/>
      <c r="O760" s="58"/>
      <c r="P760" s="61" t="str">
        <f t="shared" si="11"/>
        <v/>
      </c>
      <c r="Q760" s="62"/>
      <c r="R760" s="73"/>
      <c r="S760" s="74"/>
    </row>
    <row r="761" spans="1:19" s="63" customFormat="1" hidden="1" x14ac:dyDescent="0.25">
      <c r="A761" s="75"/>
      <c r="B761" s="76"/>
      <c r="C761" s="56"/>
      <c r="D761" s="57"/>
      <c r="E761" s="70"/>
      <c r="F761" s="58"/>
      <c r="G761" s="59"/>
      <c r="H761" s="59"/>
      <c r="I761" s="60"/>
      <c r="J761" s="58"/>
      <c r="K761" s="58"/>
      <c r="L761" s="58"/>
      <c r="M761" s="58"/>
      <c r="N761" s="58"/>
      <c r="O761" s="58"/>
      <c r="P761" s="61" t="str">
        <f t="shared" si="11"/>
        <v/>
      </c>
      <c r="Q761" s="62"/>
      <c r="R761" s="73"/>
      <c r="S761" s="74"/>
    </row>
    <row r="762" spans="1:19" s="63" customFormat="1" hidden="1" x14ac:dyDescent="0.25">
      <c r="A762" s="75"/>
      <c r="B762" s="76"/>
      <c r="C762" s="56"/>
      <c r="D762" s="57"/>
      <c r="E762" s="70"/>
      <c r="F762" s="58"/>
      <c r="G762" s="59"/>
      <c r="H762" s="59"/>
      <c r="I762" s="60"/>
      <c r="J762" s="58"/>
      <c r="K762" s="58"/>
      <c r="L762" s="58"/>
      <c r="M762" s="58"/>
      <c r="N762" s="58"/>
      <c r="O762" s="58"/>
      <c r="P762" s="61" t="str">
        <f t="shared" si="11"/>
        <v/>
      </c>
      <c r="Q762" s="62"/>
      <c r="R762" s="73"/>
      <c r="S762" s="74"/>
    </row>
    <row r="763" spans="1:19" s="63" customFormat="1" hidden="1" x14ac:dyDescent="0.25">
      <c r="A763" s="75"/>
      <c r="B763" s="76"/>
      <c r="C763" s="56"/>
      <c r="D763" s="57"/>
      <c r="E763" s="70"/>
      <c r="F763" s="58"/>
      <c r="G763" s="59"/>
      <c r="H763" s="59"/>
      <c r="I763" s="60"/>
      <c r="J763" s="58"/>
      <c r="K763" s="58"/>
      <c r="L763" s="58"/>
      <c r="M763" s="58"/>
      <c r="N763" s="58"/>
      <c r="O763" s="58"/>
      <c r="P763" s="61" t="str">
        <f t="shared" si="11"/>
        <v/>
      </c>
      <c r="Q763" s="62"/>
      <c r="R763" s="73"/>
      <c r="S763" s="74"/>
    </row>
    <row r="764" spans="1:19" s="63" customFormat="1" hidden="1" x14ac:dyDescent="0.25">
      <c r="A764" s="75"/>
      <c r="B764" s="76"/>
      <c r="C764" s="56"/>
      <c r="D764" s="57"/>
      <c r="E764" s="70"/>
      <c r="F764" s="58"/>
      <c r="G764" s="59"/>
      <c r="H764" s="59"/>
      <c r="I764" s="60"/>
      <c r="J764" s="58"/>
      <c r="K764" s="58"/>
      <c r="L764" s="58"/>
      <c r="M764" s="58"/>
      <c r="N764" s="58"/>
      <c r="O764" s="58"/>
      <c r="P764" s="61" t="str">
        <f t="shared" si="11"/>
        <v/>
      </c>
      <c r="Q764" s="62"/>
      <c r="R764" s="73"/>
      <c r="S764" s="74"/>
    </row>
    <row r="765" spans="1:19" s="63" customFormat="1" hidden="1" x14ac:dyDescent="0.25">
      <c r="A765" s="75"/>
      <c r="B765" s="76"/>
      <c r="C765" s="56"/>
      <c r="D765" s="57"/>
      <c r="E765" s="70"/>
      <c r="F765" s="58"/>
      <c r="G765" s="59"/>
      <c r="H765" s="59"/>
      <c r="I765" s="60"/>
      <c r="J765" s="58"/>
      <c r="K765" s="58"/>
      <c r="L765" s="58"/>
      <c r="M765" s="58"/>
      <c r="N765" s="58"/>
      <c r="O765" s="58"/>
      <c r="P765" s="61" t="str">
        <f t="shared" si="11"/>
        <v/>
      </c>
      <c r="Q765" s="62"/>
      <c r="R765" s="73"/>
      <c r="S765" s="74"/>
    </row>
    <row r="766" spans="1:19" s="63" customFormat="1" hidden="1" x14ac:dyDescent="0.25">
      <c r="A766" s="75"/>
      <c r="B766" s="76"/>
      <c r="C766" s="56"/>
      <c r="D766" s="57"/>
      <c r="E766" s="70"/>
      <c r="F766" s="58"/>
      <c r="G766" s="59"/>
      <c r="H766" s="59"/>
      <c r="I766" s="60"/>
      <c r="J766" s="58"/>
      <c r="K766" s="58"/>
      <c r="L766" s="58"/>
      <c r="M766" s="58"/>
      <c r="N766" s="58"/>
      <c r="O766" s="58"/>
      <c r="P766" s="61" t="str">
        <f t="shared" si="11"/>
        <v/>
      </c>
      <c r="Q766" s="62"/>
      <c r="R766" s="73"/>
      <c r="S766" s="74"/>
    </row>
    <row r="767" spans="1:19" s="63" customFormat="1" hidden="1" x14ac:dyDescent="0.25">
      <c r="A767" s="75"/>
      <c r="B767" s="76"/>
      <c r="C767" s="56"/>
      <c r="D767" s="57"/>
      <c r="E767" s="70"/>
      <c r="F767" s="58"/>
      <c r="G767" s="59"/>
      <c r="H767" s="59"/>
      <c r="I767" s="60"/>
      <c r="J767" s="58"/>
      <c r="K767" s="58"/>
      <c r="L767" s="58"/>
      <c r="M767" s="58"/>
      <c r="N767" s="58"/>
      <c r="O767" s="58"/>
      <c r="P767" s="61" t="str">
        <f t="shared" si="11"/>
        <v/>
      </c>
      <c r="Q767" s="62"/>
      <c r="R767" s="73"/>
      <c r="S767" s="74"/>
    </row>
    <row r="768" spans="1:19" s="63" customFormat="1" hidden="1" x14ac:dyDescent="0.25">
      <c r="A768" s="75"/>
      <c r="B768" s="76"/>
      <c r="C768" s="56"/>
      <c r="D768" s="57"/>
      <c r="E768" s="70"/>
      <c r="F768" s="58"/>
      <c r="G768" s="59"/>
      <c r="H768" s="59"/>
      <c r="I768" s="60"/>
      <c r="J768" s="58"/>
      <c r="K768" s="58"/>
      <c r="L768" s="58"/>
      <c r="M768" s="58"/>
      <c r="N768" s="58"/>
      <c r="O768" s="58"/>
      <c r="P768" s="61" t="str">
        <f t="shared" si="11"/>
        <v/>
      </c>
      <c r="Q768" s="62"/>
      <c r="R768" s="73"/>
      <c r="S768" s="74"/>
    </row>
    <row r="769" spans="1:19" s="63" customFormat="1" hidden="1" x14ac:dyDescent="0.25">
      <c r="A769" s="75"/>
      <c r="B769" s="76"/>
      <c r="C769" s="56"/>
      <c r="D769" s="57"/>
      <c r="E769" s="70"/>
      <c r="F769" s="58"/>
      <c r="G769" s="59"/>
      <c r="H769" s="59"/>
      <c r="I769" s="60"/>
      <c r="J769" s="58"/>
      <c r="K769" s="58"/>
      <c r="L769" s="58"/>
      <c r="M769" s="58"/>
      <c r="N769" s="58"/>
      <c r="O769" s="58"/>
      <c r="P769" s="61" t="str">
        <f t="shared" si="11"/>
        <v/>
      </c>
      <c r="Q769" s="62"/>
      <c r="R769" s="73"/>
      <c r="S769" s="74"/>
    </row>
    <row r="770" spans="1:19" s="63" customFormat="1" hidden="1" x14ac:dyDescent="0.25">
      <c r="A770" s="75"/>
      <c r="B770" s="76"/>
      <c r="C770" s="56"/>
      <c r="D770" s="57"/>
      <c r="E770" s="70"/>
      <c r="F770" s="58"/>
      <c r="G770" s="59"/>
      <c r="H770" s="59"/>
      <c r="I770" s="60"/>
      <c r="J770" s="58"/>
      <c r="K770" s="58"/>
      <c r="L770" s="58"/>
      <c r="M770" s="58"/>
      <c r="N770" s="58"/>
      <c r="O770" s="58"/>
      <c r="P770" s="61" t="str">
        <f t="shared" si="11"/>
        <v/>
      </c>
      <c r="Q770" s="62"/>
      <c r="R770" s="73"/>
      <c r="S770" s="74"/>
    </row>
    <row r="771" spans="1:19" s="63" customFormat="1" hidden="1" x14ac:dyDescent="0.25">
      <c r="A771" s="75"/>
      <c r="B771" s="76"/>
      <c r="C771" s="56"/>
      <c r="D771" s="57"/>
      <c r="E771" s="70"/>
      <c r="F771" s="58"/>
      <c r="G771" s="59"/>
      <c r="H771" s="59"/>
      <c r="I771" s="60"/>
      <c r="J771" s="58"/>
      <c r="K771" s="58"/>
      <c r="L771" s="58"/>
      <c r="M771" s="58"/>
      <c r="N771" s="58"/>
      <c r="O771" s="58"/>
      <c r="P771" s="61" t="str">
        <f t="shared" si="11"/>
        <v/>
      </c>
      <c r="Q771" s="62"/>
      <c r="R771" s="73"/>
      <c r="S771" s="74"/>
    </row>
    <row r="772" spans="1:19" s="63" customFormat="1" hidden="1" x14ac:dyDescent="0.25">
      <c r="A772" s="75"/>
      <c r="B772" s="76"/>
      <c r="C772" s="56"/>
      <c r="D772" s="57"/>
      <c r="E772" s="70"/>
      <c r="F772" s="58"/>
      <c r="G772" s="59"/>
      <c r="H772" s="59"/>
      <c r="I772" s="60"/>
      <c r="J772" s="58"/>
      <c r="K772" s="58"/>
      <c r="L772" s="58"/>
      <c r="M772" s="58"/>
      <c r="N772" s="58"/>
      <c r="O772" s="58"/>
      <c r="P772" s="61" t="str">
        <f t="shared" si="11"/>
        <v/>
      </c>
      <c r="Q772" s="62"/>
      <c r="R772" s="73"/>
      <c r="S772" s="74"/>
    </row>
    <row r="773" spans="1:19" s="63" customFormat="1" hidden="1" x14ac:dyDescent="0.25">
      <c r="A773" s="75"/>
      <c r="B773" s="76"/>
      <c r="C773" s="56"/>
      <c r="D773" s="57"/>
      <c r="E773" s="70"/>
      <c r="F773" s="58"/>
      <c r="G773" s="59"/>
      <c r="H773" s="59"/>
      <c r="I773" s="60"/>
      <c r="J773" s="58"/>
      <c r="K773" s="58"/>
      <c r="L773" s="58"/>
      <c r="M773" s="58"/>
      <c r="N773" s="58"/>
      <c r="O773" s="58"/>
      <c r="P773" s="61" t="str">
        <f t="shared" si="11"/>
        <v/>
      </c>
      <c r="Q773" s="62"/>
      <c r="R773" s="73"/>
      <c r="S773" s="74"/>
    </row>
    <row r="774" spans="1:19" s="63" customFormat="1" hidden="1" x14ac:dyDescent="0.25">
      <c r="A774" s="75"/>
      <c r="B774" s="76"/>
      <c r="C774" s="56"/>
      <c r="D774" s="57"/>
      <c r="E774" s="70"/>
      <c r="F774" s="58"/>
      <c r="G774" s="59"/>
      <c r="H774" s="59"/>
      <c r="I774" s="60"/>
      <c r="J774" s="58"/>
      <c r="K774" s="58"/>
      <c r="L774" s="58"/>
      <c r="M774" s="58"/>
      <c r="N774" s="58"/>
      <c r="O774" s="58"/>
      <c r="P774" s="61" t="str">
        <f t="shared" si="11"/>
        <v/>
      </c>
      <c r="Q774" s="62"/>
      <c r="R774" s="73"/>
      <c r="S774" s="74"/>
    </row>
    <row r="775" spans="1:19" s="63" customFormat="1" hidden="1" x14ac:dyDescent="0.25">
      <c r="A775" s="75"/>
      <c r="B775" s="76"/>
      <c r="C775" s="56"/>
      <c r="D775" s="57"/>
      <c r="E775" s="70"/>
      <c r="F775" s="58"/>
      <c r="G775" s="59"/>
      <c r="H775" s="59"/>
      <c r="I775" s="60"/>
      <c r="J775" s="58"/>
      <c r="K775" s="58"/>
      <c r="L775" s="58"/>
      <c r="M775" s="58"/>
      <c r="N775" s="58"/>
      <c r="O775" s="58"/>
      <c r="P775" s="61" t="str">
        <f t="shared" si="11"/>
        <v/>
      </c>
      <c r="Q775" s="62"/>
      <c r="R775" s="73"/>
      <c r="S775" s="74"/>
    </row>
    <row r="776" spans="1:19" s="63" customFormat="1" hidden="1" x14ac:dyDescent="0.25">
      <c r="A776" s="75"/>
      <c r="B776" s="76"/>
      <c r="C776" s="56"/>
      <c r="D776" s="57"/>
      <c r="E776" s="70"/>
      <c r="F776" s="58"/>
      <c r="G776" s="59"/>
      <c r="H776" s="59"/>
      <c r="I776" s="60"/>
      <c r="J776" s="58"/>
      <c r="K776" s="58"/>
      <c r="L776" s="58"/>
      <c r="M776" s="58"/>
      <c r="N776" s="58"/>
      <c r="O776" s="58"/>
      <c r="P776" s="61" t="str">
        <f t="shared" si="11"/>
        <v/>
      </c>
      <c r="Q776" s="62"/>
      <c r="R776" s="73"/>
      <c r="S776" s="74"/>
    </row>
    <row r="777" spans="1:19" s="63" customFormat="1" hidden="1" x14ac:dyDescent="0.25">
      <c r="A777" s="75"/>
      <c r="B777" s="76"/>
      <c r="C777" s="56"/>
      <c r="D777" s="57"/>
      <c r="E777" s="70"/>
      <c r="F777" s="58"/>
      <c r="G777" s="59"/>
      <c r="H777" s="59"/>
      <c r="I777" s="60"/>
      <c r="J777" s="58"/>
      <c r="K777" s="58"/>
      <c r="L777" s="58"/>
      <c r="M777" s="58"/>
      <c r="N777" s="58"/>
      <c r="O777" s="58"/>
      <c r="P777" s="61" t="str">
        <f t="shared" ref="P777:P837" si="12">IF(F777="","",IF(ISERR(F777-E777)=TRUE,"",F777-E777+1))</f>
        <v/>
      </c>
      <c r="Q777" s="62"/>
      <c r="R777" s="73"/>
      <c r="S777" s="74"/>
    </row>
    <row r="778" spans="1:19" s="63" customFormat="1" hidden="1" x14ac:dyDescent="0.25">
      <c r="A778" s="75"/>
      <c r="B778" s="76"/>
      <c r="C778" s="56"/>
      <c r="D778" s="57"/>
      <c r="E778" s="70"/>
      <c r="F778" s="58"/>
      <c r="G778" s="59"/>
      <c r="H778" s="59"/>
      <c r="I778" s="60"/>
      <c r="J778" s="58"/>
      <c r="K778" s="58"/>
      <c r="L778" s="58"/>
      <c r="M778" s="58"/>
      <c r="N778" s="58"/>
      <c r="O778" s="58"/>
      <c r="P778" s="61" t="str">
        <f t="shared" si="12"/>
        <v/>
      </c>
      <c r="Q778" s="62"/>
      <c r="R778" s="73"/>
      <c r="S778" s="74"/>
    </row>
    <row r="779" spans="1:19" s="63" customFormat="1" hidden="1" x14ac:dyDescent="0.25">
      <c r="A779" s="75"/>
      <c r="B779" s="76"/>
      <c r="C779" s="56"/>
      <c r="D779" s="57"/>
      <c r="E779" s="70"/>
      <c r="F779" s="58"/>
      <c r="G779" s="59"/>
      <c r="H779" s="59"/>
      <c r="I779" s="60"/>
      <c r="J779" s="58"/>
      <c r="K779" s="58"/>
      <c r="L779" s="58"/>
      <c r="M779" s="58"/>
      <c r="N779" s="58"/>
      <c r="O779" s="58"/>
      <c r="P779" s="61" t="str">
        <f t="shared" si="12"/>
        <v/>
      </c>
      <c r="Q779" s="62"/>
      <c r="R779" s="73"/>
      <c r="S779" s="74"/>
    </row>
    <row r="780" spans="1:19" s="63" customFormat="1" hidden="1" x14ac:dyDescent="0.25">
      <c r="A780" s="75"/>
      <c r="B780" s="76"/>
      <c r="C780" s="56"/>
      <c r="D780" s="57"/>
      <c r="E780" s="70"/>
      <c r="F780" s="58"/>
      <c r="G780" s="59"/>
      <c r="H780" s="59"/>
      <c r="I780" s="60"/>
      <c r="J780" s="58"/>
      <c r="K780" s="58"/>
      <c r="L780" s="58"/>
      <c r="M780" s="58"/>
      <c r="N780" s="58"/>
      <c r="O780" s="58"/>
      <c r="P780" s="61" t="str">
        <f t="shared" si="12"/>
        <v/>
      </c>
      <c r="Q780" s="62"/>
      <c r="R780" s="73"/>
      <c r="S780" s="74"/>
    </row>
    <row r="781" spans="1:19" s="63" customFormat="1" hidden="1" x14ac:dyDescent="0.25">
      <c r="A781" s="75"/>
      <c r="B781" s="76"/>
      <c r="C781" s="56"/>
      <c r="D781" s="57"/>
      <c r="E781" s="70"/>
      <c r="F781" s="58"/>
      <c r="G781" s="59"/>
      <c r="H781" s="59"/>
      <c r="I781" s="60"/>
      <c r="J781" s="58"/>
      <c r="K781" s="58"/>
      <c r="L781" s="58"/>
      <c r="M781" s="58"/>
      <c r="N781" s="58"/>
      <c r="O781" s="58"/>
      <c r="P781" s="61" t="str">
        <f t="shared" si="12"/>
        <v/>
      </c>
      <c r="Q781" s="62"/>
      <c r="R781" s="73"/>
      <c r="S781" s="74"/>
    </row>
    <row r="782" spans="1:19" s="63" customFormat="1" hidden="1" x14ac:dyDescent="0.25">
      <c r="A782" s="75"/>
      <c r="B782" s="76"/>
      <c r="C782" s="56"/>
      <c r="D782" s="57"/>
      <c r="E782" s="70"/>
      <c r="F782" s="58"/>
      <c r="G782" s="59"/>
      <c r="H782" s="59"/>
      <c r="I782" s="60"/>
      <c r="J782" s="58"/>
      <c r="K782" s="58"/>
      <c r="L782" s="58"/>
      <c r="M782" s="58"/>
      <c r="N782" s="58"/>
      <c r="O782" s="58"/>
      <c r="P782" s="61" t="str">
        <f t="shared" si="12"/>
        <v/>
      </c>
      <c r="Q782" s="62"/>
      <c r="R782" s="73"/>
      <c r="S782" s="74"/>
    </row>
    <row r="783" spans="1:19" s="63" customFormat="1" hidden="1" x14ac:dyDescent="0.25">
      <c r="A783" s="75"/>
      <c r="B783" s="76"/>
      <c r="C783" s="56"/>
      <c r="D783" s="57"/>
      <c r="E783" s="70"/>
      <c r="F783" s="58"/>
      <c r="G783" s="59"/>
      <c r="H783" s="59"/>
      <c r="I783" s="60"/>
      <c r="J783" s="58"/>
      <c r="K783" s="58"/>
      <c r="L783" s="58"/>
      <c r="M783" s="58"/>
      <c r="N783" s="58"/>
      <c r="O783" s="58"/>
      <c r="P783" s="61" t="str">
        <f t="shared" si="12"/>
        <v/>
      </c>
      <c r="Q783" s="62"/>
      <c r="R783" s="73"/>
      <c r="S783" s="74"/>
    </row>
    <row r="784" spans="1:19" s="63" customFormat="1" hidden="1" x14ac:dyDescent="0.25">
      <c r="A784" s="75"/>
      <c r="B784" s="76"/>
      <c r="C784" s="56"/>
      <c r="D784" s="57"/>
      <c r="E784" s="70"/>
      <c r="F784" s="58"/>
      <c r="G784" s="59"/>
      <c r="H784" s="59"/>
      <c r="I784" s="60"/>
      <c r="J784" s="58"/>
      <c r="K784" s="58"/>
      <c r="L784" s="58"/>
      <c r="M784" s="58"/>
      <c r="N784" s="58"/>
      <c r="O784" s="58"/>
      <c r="P784" s="61" t="str">
        <f t="shared" si="12"/>
        <v/>
      </c>
      <c r="Q784" s="62"/>
      <c r="R784" s="73"/>
      <c r="S784" s="74"/>
    </row>
    <row r="785" spans="1:19" s="63" customFormat="1" hidden="1" x14ac:dyDescent="0.25">
      <c r="A785" s="75"/>
      <c r="B785" s="76"/>
      <c r="C785" s="56"/>
      <c r="D785" s="57"/>
      <c r="E785" s="70"/>
      <c r="F785" s="58"/>
      <c r="G785" s="59"/>
      <c r="H785" s="59"/>
      <c r="I785" s="60"/>
      <c r="J785" s="58"/>
      <c r="K785" s="58"/>
      <c r="L785" s="58"/>
      <c r="M785" s="58"/>
      <c r="N785" s="58"/>
      <c r="O785" s="58"/>
      <c r="P785" s="61" t="str">
        <f t="shared" si="12"/>
        <v/>
      </c>
      <c r="Q785" s="62"/>
      <c r="R785" s="73"/>
      <c r="S785" s="74"/>
    </row>
    <row r="786" spans="1:19" s="63" customFormat="1" hidden="1" x14ac:dyDescent="0.25">
      <c r="A786" s="75"/>
      <c r="B786" s="76"/>
      <c r="C786" s="56"/>
      <c r="D786" s="57"/>
      <c r="E786" s="70"/>
      <c r="F786" s="58"/>
      <c r="G786" s="59"/>
      <c r="H786" s="59"/>
      <c r="I786" s="60"/>
      <c r="J786" s="58"/>
      <c r="K786" s="58"/>
      <c r="L786" s="58"/>
      <c r="M786" s="58"/>
      <c r="N786" s="58"/>
      <c r="O786" s="58"/>
      <c r="P786" s="61" t="str">
        <f t="shared" si="12"/>
        <v/>
      </c>
      <c r="Q786" s="62"/>
      <c r="R786" s="73"/>
      <c r="S786" s="74"/>
    </row>
    <row r="787" spans="1:19" s="63" customFormat="1" hidden="1" x14ac:dyDescent="0.25">
      <c r="A787" s="75"/>
      <c r="B787" s="76"/>
      <c r="C787" s="56"/>
      <c r="D787" s="57"/>
      <c r="E787" s="70"/>
      <c r="F787" s="58"/>
      <c r="G787" s="59"/>
      <c r="H787" s="59"/>
      <c r="I787" s="60"/>
      <c r="J787" s="58"/>
      <c r="K787" s="58"/>
      <c r="L787" s="58"/>
      <c r="M787" s="58"/>
      <c r="N787" s="58"/>
      <c r="O787" s="58"/>
      <c r="P787" s="61" t="str">
        <f t="shared" si="12"/>
        <v/>
      </c>
      <c r="Q787" s="62"/>
      <c r="R787" s="73"/>
      <c r="S787" s="74"/>
    </row>
    <row r="788" spans="1:19" s="63" customFormat="1" hidden="1" x14ac:dyDescent="0.25">
      <c r="A788" s="75"/>
      <c r="B788" s="76"/>
      <c r="C788" s="56"/>
      <c r="D788" s="57"/>
      <c r="E788" s="70"/>
      <c r="F788" s="58"/>
      <c r="G788" s="59"/>
      <c r="H788" s="59"/>
      <c r="I788" s="60"/>
      <c r="J788" s="58"/>
      <c r="K788" s="58"/>
      <c r="L788" s="58"/>
      <c r="M788" s="58"/>
      <c r="N788" s="58"/>
      <c r="O788" s="58"/>
      <c r="P788" s="61" t="str">
        <f t="shared" si="12"/>
        <v/>
      </c>
      <c r="Q788" s="62"/>
      <c r="R788" s="73"/>
      <c r="S788" s="74"/>
    </row>
    <row r="789" spans="1:19" s="63" customFormat="1" hidden="1" x14ac:dyDescent="0.25">
      <c r="A789" s="75"/>
      <c r="B789" s="76"/>
      <c r="C789" s="56"/>
      <c r="D789" s="57"/>
      <c r="E789" s="70"/>
      <c r="F789" s="58"/>
      <c r="G789" s="59"/>
      <c r="H789" s="59"/>
      <c r="I789" s="60"/>
      <c r="J789" s="58"/>
      <c r="K789" s="58"/>
      <c r="L789" s="58"/>
      <c r="M789" s="58"/>
      <c r="N789" s="58"/>
      <c r="O789" s="58"/>
      <c r="P789" s="61" t="str">
        <f t="shared" si="12"/>
        <v/>
      </c>
      <c r="Q789" s="62"/>
      <c r="R789" s="73"/>
      <c r="S789" s="74"/>
    </row>
    <row r="790" spans="1:19" s="63" customFormat="1" hidden="1" x14ac:dyDescent="0.25">
      <c r="A790" s="75"/>
      <c r="B790" s="76"/>
      <c r="C790" s="56"/>
      <c r="D790" s="57"/>
      <c r="E790" s="70"/>
      <c r="F790" s="58"/>
      <c r="G790" s="59"/>
      <c r="H790" s="59"/>
      <c r="I790" s="60"/>
      <c r="J790" s="58"/>
      <c r="K790" s="58"/>
      <c r="L790" s="58"/>
      <c r="M790" s="58"/>
      <c r="N790" s="58"/>
      <c r="O790" s="58"/>
      <c r="P790" s="61" t="str">
        <f t="shared" si="12"/>
        <v/>
      </c>
      <c r="Q790" s="62"/>
      <c r="R790" s="73"/>
      <c r="S790" s="74"/>
    </row>
    <row r="791" spans="1:19" s="63" customFormat="1" hidden="1" x14ac:dyDescent="0.25">
      <c r="A791" s="75"/>
      <c r="B791" s="76"/>
      <c r="C791" s="56"/>
      <c r="D791" s="57"/>
      <c r="E791" s="70"/>
      <c r="F791" s="58"/>
      <c r="G791" s="59"/>
      <c r="H791" s="59"/>
      <c r="I791" s="60"/>
      <c r="J791" s="58"/>
      <c r="K791" s="58"/>
      <c r="L791" s="58"/>
      <c r="M791" s="58"/>
      <c r="N791" s="58"/>
      <c r="O791" s="58"/>
      <c r="P791" s="61" t="str">
        <f t="shared" si="12"/>
        <v/>
      </c>
      <c r="Q791" s="62"/>
      <c r="R791" s="73"/>
      <c r="S791" s="74"/>
    </row>
    <row r="792" spans="1:19" s="63" customFormat="1" hidden="1" x14ac:dyDescent="0.25">
      <c r="A792" s="75"/>
      <c r="B792" s="76"/>
      <c r="C792" s="56"/>
      <c r="D792" s="57"/>
      <c r="E792" s="70"/>
      <c r="F792" s="58"/>
      <c r="G792" s="59"/>
      <c r="H792" s="59"/>
      <c r="I792" s="60"/>
      <c r="J792" s="58"/>
      <c r="K792" s="58"/>
      <c r="L792" s="58"/>
      <c r="M792" s="58"/>
      <c r="N792" s="58"/>
      <c r="O792" s="58"/>
      <c r="P792" s="61" t="str">
        <f t="shared" si="12"/>
        <v/>
      </c>
      <c r="Q792" s="62"/>
      <c r="R792" s="73"/>
      <c r="S792" s="74"/>
    </row>
    <row r="793" spans="1:19" s="63" customFormat="1" hidden="1" x14ac:dyDescent="0.25">
      <c r="A793" s="75"/>
      <c r="B793" s="76"/>
      <c r="C793" s="56"/>
      <c r="D793" s="57"/>
      <c r="E793" s="70"/>
      <c r="F793" s="58"/>
      <c r="G793" s="59"/>
      <c r="H793" s="59"/>
      <c r="I793" s="60"/>
      <c r="J793" s="58"/>
      <c r="K793" s="58"/>
      <c r="L793" s="58"/>
      <c r="M793" s="58"/>
      <c r="N793" s="58"/>
      <c r="O793" s="58"/>
      <c r="P793" s="61" t="str">
        <f t="shared" si="12"/>
        <v/>
      </c>
      <c r="Q793" s="62"/>
      <c r="R793" s="73"/>
      <c r="S793" s="74"/>
    </row>
    <row r="794" spans="1:19" s="63" customFormat="1" hidden="1" x14ac:dyDescent="0.25">
      <c r="A794" s="75"/>
      <c r="B794" s="76"/>
      <c r="C794" s="56"/>
      <c r="D794" s="57"/>
      <c r="E794" s="70"/>
      <c r="F794" s="58"/>
      <c r="G794" s="59"/>
      <c r="H794" s="59"/>
      <c r="I794" s="60"/>
      <c r="J794" s="58"/>
      <c r="K794" s="58"/>
      <c r="L794" s="58"/>
      <c r="M794" s="58"/>
      <c r="N794" s="58"/>
      <c r="O794" s="58"/>
      <c r="P794" s="61" t="str">
        <f t="shared" si="12"/>
        <v/>
      </c>
      <c r="Q794" s="62"/>
      <c r="R794" s="73"/>
      <c r="S794" s="74"/>
    </row>
    <row r="795" spans="1:19" s="63" customFormat="1" hidden="1" x14ac:dyDescent="0.25">
      <c r="A795" s="75"/>
      <c r="B795" s="76"/>
      <c r="C795" s="56"/>
      <c r="D795" s="57"/>
      <c r="E795" s="70"/>
      <c r="F795" s="58"/>
      <c r="G795" s="59"/>
      <c r="H795" s="59"/>
      <c r="I795" s="60"/>
      <c r="J795" s="58"/>
      <c r="K795" s="58"/>
      <c r="L795" s="58"/>
      <c r="M795" s="58"/>
      <c r="N795" s="58"/>
      <c r="O795" s="58"/>
      <c r="P795" s="61" t="str">
        <f t="shared" si="12"/>
        <v/>
      </c>
      <c r="Q795" s="62"/>
      <c r="R795" s="73"/>
      <c r="S795" s="74"/>
    </row>
    <row r="796" spans="1:19" s="63" customFormat="1" hidden="1" x14ac:dyDescent="0.25">
      <c r="A796" s="75"/>
      <c r="B796" s="76"/>
      <c r="C796" s="56"/>
      <c r="D796" s="57"/>
      <c r="E796" s="70"/>
      <c r="F796" s="58"/>
      <c r="G796" s="59"/>
      <c r="H796" s="59"/>
      <c r="I796" s="60"/>
      <c r="J796" s="58"/>
      <c r="K796" s="58"/>
      <c r="L796" s="58"/>
      <c r="M796" s="58"/>
      <c r="N796" s="58"/>
      <c r="O796" s="58"/>
      <c r="P796" s="61" t="str">
        <f t="shared" si="12"/>
        <v/>
      </c>
      <c r="Q796" s="62"/>
      <c r="R796" s="73"/>
      <c r="S796" s="74"/>
    </row>
    <row r="797" spans="1:19" s="63" customFormat="1" hidden="1" x14ac:dyDescent="0.25">
      <c r="A797" s="75"/>
      <c r="B797" s="76"/>
      <c r="C797" s="56"/>
      <c r="D797" s="57"/>
      <c r="E797" s="70"/>
      <c r="F797" s="58"/>
      <c r="G797" s="59"/>
      <c r="H797" s="59"/>
      <c r="I797" s="60"/>
      <c r="J797" s="58"/>
      <c r="K797" s="58"/>
      <c r="L797" s="58"/>
      <c r="M797" s="58"/>
      <c r="N797" s="58"/>
      <c r="O797" s="58"/>
      <c r="P797" s="61" t="str">
        <f t="shared" si="12"/>
        <v/>
      </c>
      <c r="Q797" s="62"/>
      <c r="R797" s="73"/>
      <c r="S797" s="74"/>
    </row>
    <row r="798" spans="1:19" s="63" customFormat="1" hidden="1" x14ac:dyDescent="0.25">
      <c r="A798" s="75"/>
      <c r="B798" s="76"/>
      <c r="C798" s="56"/>
      <c r="D798" s="57"/>
      <c r="E798" s="70"/>
      <c r="F798" s="58"/>
      <c r="G798" s="59"/>
      <c r="H798" s="59"/>
      <c r="I798" s="60"/>
      <c r="J798" s="58"/>
      <c r="K798" s="58"/>
      <c r="L798" s="58"/>
      <c r="M798" s="58"/>
      <c r="N798" s="58"/>
      <c r="O798" s="58"/>
      <c r="P798" s="61" t="str">
        <f t="shared" si="12"/>
        <v/>
      </c>
      <c r="Q798" s="62"/>
      <c r="R798" s="73"/>
      <c r="S798" s="74"/>
    </row>
    <row r="799" spans="1:19" s="63" customFormat="1" hidden="1" x14ac:dyDescent="0.25">
      <c r="A799" s="75"/>
      <c r="B799" s="76"/>
      <c r="C799" s="56"/>
      <c r="D799" s="57"/>
      <c r="E799" s="70"/>
      <c r="F799" s="58"/>
      <c r="G799" s="59"/>
      <c r="H799" s="59"/>
      <c r="I799" s="60"/>
      <c r="J799" s="58"/>
      <c r="K799" s="58"/>
      <c r="L799" s="58"/>
      <c r="M799" s="58"/>
      <c r="N799" s="58"/>
      <c r="O799" s="58"/>
      <c r="P799" s="61" t="str">
        <f t="shared" si="12"/>
        <v/>
      </c>
      <c r="Q799" s="62"/>
      <c r="R799" s="73"/>
      <c r="S799" s="74"/>
    </row>
    <row r="800" spans="1:19" s="63" customFormat="1" hidden="1" x14ac:dyDescent="0.25">
      <c r="A800" s="75"/>
      <c r="B800" s="76"/>
      <c r="C800" s="56"/>
      <c r="D800" s="57"/>
      <c r="E800" s="70"/>
      <c r="F800" s="58"/>
      <c r="G800" s="59"/>
      <c r="H800" s="59"/>
      <c r="I800" s="60"/>
      <c r="J800" s="58"/>
      <c r="K800" s="58"/>
      <c r="L800" s="58"/>
      <c r="M800" s="58"/>
      <c r="N800" s="58"/>
      <c r="O800" s="58"/>
      <c r="P800" s="61" t="str">
        <f t="shared" si="12"/>
        <v/>
      </c>
      <c r="Q800" s="62"/>
      <c r="R800" s="73"/>
      <c r="S800" s="74"/>
    </row>
    <row r="801" spans="1:19" s="63" customFormat="1" hidden="1" x14ac:dyDescent="0.25">
      <c r="A801" s="75"/>
      <c r="B801" s="76"/>
      <c r="C801" s="56"/>
      <c r="D801" s="57"/>
      <c r="E801" s="70"/>
      <c r="F801" s="58"/>
      <c r="G801" s="59"/>
      <c r="H801" s="59"/>
      <c r="I801" s="60"/>
      <c r="J801" s="58"/>
      <c r="K801" s="58"/>
      <c r="L801" s="58"/>
      <c r="M801" s="58"/>
      <c r="N801" s="58"/>
      <c r="O801" s="58"/>
      <c r="P801" s="61" t="str">
        <f t="shared" si="12"/>
        <v/>
      </c>
      <c r="Q801" s="62"/>
      <c r="R801" s="73"/>
      <c r="S801" s="74"/>
    </row>
    <row r="802" spans="1:19" s="63" customFormat="1" hidden="1" x14ac:dyDescent="0.25">
      <c r="A802" s="75"/>
      <c r="B802" s="76"/>
      <c r="C802" s="56"/>
      <c r="D802" s="57"/>
      <c r="E802" s="70"/>
      <c r="F802" s="58"/>
      <c r="G802" s="59"/>
      <c r="H802" s="59"/>
      <c r="I802" s="60"/>
      <c r="J802" s="58"/>
      <c r="K802" s="58"/>
      <c r="L802" s="58"/>
      <c r="M802" s="58"/>
      <c r="N802" s="58"/>
      <c r="O802" s="58"/>
      <c r="P802" s="61" t="str">
        <f t="shared" si="12"/>
        <v/>
      </c>
      <c r="Q802" s="62"/>
      <c r="R802" s="73"/>
      <c r="S802" s="74"/>
    </row>
    <row r="803" spans="1:19" s="63" customFormat="1" hidden="1" x14ac:dyDescent="0.25">
      <c r="A803" s="75"/>
      <c r="B803" s="76"/>
      <c r="C803" s="56"/>
      <c r="D803" s="57"/>
      <c r="E803" s="70"/>
      <c r="F803" s="58"/>
      <c r="G803" s="59"/>
      <c r="H803" s="59"/>
      <c r="I803" s="60"/>
      <c r="J803" s="58"/>
      <c r="K803" s="58"/>
      <c r="L803" s="58"/>
      <c r="M803" s="58"/>
      <c r="N803" s="58"/>
      <c r="O803" s="58"/>
      <c r="P803" s="61" t="str">
        <f t="shared" si="12"/>
        <v/>
      </c>
      <c r="Q803" s="62"/>
      <c r="R803" s="73"/>
      <c r="S803" s="74"/>
    </row>
    <row r="804" spans="1:19" s="63" customFormat="1" hidden="1" x14ac:dyDescent="0.25">
      <c r="A804" s="75"/>
      <c r="B804" s="76"/>
      <c r="C804" s="56"/>
      <c r="D804" s="57"/>
      <c r="E804" s="70"/>
      <c r="F804" s="58"/>
      <c r="G804" s="59"/>
      <c r="H804" s="59"/>
      <c r="I804" s="60"/>
      <c r="J804" s="58"/>
      <c r="K804" s="58"/>
      <c r="L804" s="58"/>
      <c r="M804" s="58"/>
      <c r="N804" s="58"/>
      <c r="O804" s="58"/>
      <c r="P804" s="61" t="str">
        <f t="shared" si="12"/>
        <v/>
      </c>
      <c r="Q804" s="62"/>
      <c r="R804" s="73"/>
      <c r="S804" s="74"/>
    </row>
    <row r="805" spans="1:19" s="63" customFormat="1" hidden="1" x14ac:dyDescent="0.25">
      <c r="A805" s="75"/>
      <c r="B805" s="76"/>
      <c r="C805" s="56"/>
      <c r="D805" s="57"/>
      <c r="E805" s="70"/>
      <c r="F805" s="58"/>
      <c r="G805" s="59"/>
      <c r="H805" s="59"/>
      <c r="I805" s="60"/>
      <c r="J805" s="58"/>
      <c r="K805" s="58"/>
      <c r="L805" s="58"/>
      <c r="M805" s="58"/>
      <c r="N805" s="58"/>
      <c r="O805" s="58"/>
      <c r="P805" s="61" t="str">
        <f t="shared" si="12"/>
        <v/>
      </c>
      <c r="Q805" s="62"/>
      <c r="R805" s="73"/>
      <c r="S805" s="74"/>
    </row>
    <row r="806" spans="1:19" s="63" customFormat="1" hidden="1" x14ac:dyDescent="0.25">
      <c r="A806" s="75"/>
      <c r="B806" s="76"/>
      <c r="C806" s="56"/>
      <c r="D806" s="57"/>
      <c r="E806" s="70"/>
      <c r="F806" s="58"/>
      <c r="G806" s="59"/>
      <c r="H806" s="59"/>
      <c r="I806" s="60"/>
      <c r="J806" s="58"/>
      <c r="K806" s="58"/>
      <c r="L806" s="58"/>
      <c r="M806" s="58"/>
      <c r="N806" s="58"/>
      <c r="O806" s="58"/>
      <c r="P806" s="61" t="str">
        <f t="shared" si="12"/>
        <v/>
      </c>
      <c r="Q806" s="62"/>
      <c r="R806" s="73"/>
      <c r="S806" s="74"/>
    </row>
    <row r="807" spans="1:19" s="63" customFormat="1" hidden="1" x14ac:dyDescent="0.25">
      <c r="A807" s="75"/>
      <c r="B807" s="76"/>
      <c r="C807" s="56"/>
      <c r="D807" s="57"/>
      <c r="E807" s="70"/>
      <c r="F807" s="58"/>
      <c r="G807" s="59"/>
      <c r="H807" s="59"/>
      <c r="I807" s="60"/>
      <c r="J807" s="58"/>
      <c r="K807" s="58"/>
      <c r="L807" s="58"/>
      <c r="M807" s="58"/>
      <c r="N807" s="58"/>
      <c r="O807" s="58"/>
      <c r="P807" s="61" t="str">
        <f t="shared" si="12"/>
        <v/>
      </c>
      <c r="Q807" s="62"/>
      <c r="R807" s="73"/>
      <c r="S807" s="74"/>
    </row>
    <row r="808" spans="1:19" s="63" customFormat="1" hidden="1" x14ac:dyDescent="0.25">
      <c r="A808" s="75"/>
      <c r="B808" s="76"/>
      <c r="C808" s="56"/>
      <c r="D808" s="57"/>
      <c r="E808" s="70"/>
      <c r="F808" s="58"/>
      <c r="G808" s="59"/>
      <c r="H808" s="59"/>
      <c r="I808" s="60"/>
      <c r="J808" s="58"/>
      <c r="K808" s="58"/>
      <c r="L808" s="58"/>
      <c r="M808" s="58"/>
      <c r="N808" s="58"/>
      <c r="O808" s="58"/>
      <c r="P808" s="61" t="str">
        <f t="shared" si="12"/>
        <v/>
      </c>
      <c r="Q808" s="62"/>
      <c r="R808" s="73"/>
      <c r="S808" s="74"/>
    </row>
    <row r="809" spans="1:19" s="63" customFormat="1" hidden="1" x14ac:dyDescent="0.25">
      <c r="A809" s="75"/>
      <c r="B809" s="76"/>
      <c r="C809" s="56"/>
      <c r="D809" s="57"/>
      <c r="E809" s="70"/>
      <c r="F809" s="58"/>
      <c r="G809" s="59"/>
      <c r="H809" s="59"/>
      <c r="I809" s="60"/>
      <c r="J809" s="58"/>
      <c r="K809" s="58"/>
      <c r="L809" s="58"/>
      <c r="M809" s="58"/>
      <c r="N809" s="58"/>
      <c r="O809" s="58"/>
      <c r="P809" s="61" t="str">
        <f t="shared" si="12"/>
        <v/>
      </c>
      <c r="Q809" s="62"/>
      <c r="R809" s="73"/>
      <c r="S809" s="74"/>
    </row>
    <row r="810" spans="1:19" s="63" customFormat="1" hidden="1" x14ac:dyDescent="0.25">
      <c r="A810" s="75"/>
      <c r="B810" s="76"/>
      <c r="C810" s="56"/>
      <c r="D810" s="57"/>
      <c r="E810" s="70"/>
      <c r="F810" s="58"/>
      <c r="G810" s="59"/>
      <c r="H810" s="59"/>
      <c r="I810" s="60"/>
      <c r="J810" s="58"/>
      <c r="K810" s="58"/>
      <c r="L810" s="58"/>
      <c r="M810" s="58"/>
      <c r="N810" s="58"/>
      <c r="O810" s="58"/>
      <c r="P810" s="61" t="str">
        <f t="shared" si="12"/>
        <v/>
      </c>
      <c r="Q810" s="62"/>
      <c r="R810" s="73"/>
      <c r="S810" s="74"/>
    </row>
    <row r="811" spans="1:19" s="63" customFormat="1" hidden="1" x14ac:dyDescent="0.25">
      <c r="A811" s="75"/>
      <c r="B811" s="76"/>
      <c r="C811" s="56"/>
      <c r="D811" s="57"/>
      <c r="E811" s="70"/>
      <c r="F811" s="58"/>
      <c r="G811" s="59"/>
      <c r="H811" s="59"/>
      <c r="I811" s="60"/>
      <c r="J811" s="58"/>
      <c r="K811" s="58"/>
      <c r="L811" s="58"/>
      <c r="M811" s="58"/>
      <c r="N811" s="58"/>
      <c r="O811" s="58"/>
      <c r="P811" s="61" t="str">
        <f t="shared" si="12"/>
        <v/>
      </c>
      <c r="Q811" s="62"/>
      <c r="R811" s="73"/>
      <c r="S811" s="74"/>
    </row>
    <row r="812" spans="1:19" s="63" customFormat="1" hidden="1" x14ac:dyDescent="0.25">
      <c r="A812" s="75"/>
      <c r="B812" s="76"/>
      <c r="C812" s="56"/>
      <c r="D812" s="57"/>
      <c r="E812" s="70"/>
      <c r="F812" s="58"/>
      <c r="G812" s="59"/>
      <c r="H812" s="59"/>
      <c r="I812" s="60"/>
      <c r="J812" s="58"/>
      <c r="K812" s="58"/>
      <c r="L812" s="58"/>
      <c r="M812" s="58"/>
      <c r="N812" s="58"/>
      <c r="O812" s="58"/>
      <c r="P812" s="61" t="str">
        <f t="shared" si="12"/>
        <v/>
      </c>
      <c r="Q812" s="62"/>
      <c r="R812" s="73"/>
      <c r="S812" s="74"/>
    </row>
    <row r="813" spans="1:19" s="63" customFormat="1" hidden="1" x14ac:dyDescent="0.25">
      <c r="A813" s="75"/>
      <c r="B813" s="76"/>
      <c r="C813" s="56"/>
      <c r="D813" s="57"/>
      <c r="E813" s="70"/>
      <c r="F813" s="58"/>
      <c r="G813" s="59"/>
      <c r="H813" s="59"/>
      <c r="I813" s="60"/>
      <c r="J813" s="58"/>
      <c r="K813" s="58"/>
      <c r="L813" s="58"/>
      <c r="M813" s="58"/>
      <c r="N813" s="58"/>
      <c r="O813" s="58"/>
      <c r="P813" s="61" t="str">
        <f t="shared" si="12"/>
        <v/>
      </c>
      <c r="Q813" s="62"/>
      <c r="R813" s="73"/>
      <c r="S813" s="74"/>
    </row>
    <row r="814" spans="1:19" s="63" customFormat="1" hidden="1" x14ac:dyDescent="0.25">
      <c r="A814" s="75"/>
      <c r="B814" s="76"/>
      <c r="C814" s="56"/>
      <c r="D814" s="57"/>
      <c r="E814" s="70"/>
      <c r="F814" s="58"/>
      <c r="G814" s="59"/>
      <c r="H814" s="59"/>
      <c r="I814" s="60"/>
      <c r="J814" s="58"/>
      <c r="K814" s="58"/>
      <c r="L814" s="58"/>
      <c r="M814" s="58"/>
      <c r="N814" s="58"/>
      <c r="O814" s="58"/>
      <c r="P814" s="61" t="str">
        <f t="shared" si="12"/>
        <v/>
      </c>
      <c r="Q814" s="62"/>
      <c r="R814" s="73"/>
      <c r="S814" s="74"/>
    </row>
    <row r="815" spans="1:19" s="63" customFormat="1" hidden="1" x14ac:dyDescent="0.25">
      <c r="A815" s="75"/>
      <c r="B815" s="76"/>
      <c r="C815" s="56"/>
      <c r="D815" s="57"/>
      <c r="E815" s="70"/>
      <c r="F815" s="58"/>
      <c r="G815" s="59"/>
      <c r="H815" s="59"/>
      <c r="I815" s="60"/>
      <c r="J815" s="58"/>
      <c r="K815" s="58"/>
      <c r="L815" s="58"/>
      <c r="M815" s="58"/>
      <c r="N815" s="58"/>
      <c r="O815" s="58"/>
      <c r="P815" s="61" t="str">
        <f t="shared" si="12"/>
        <v/>
      </c>
      <c r="Q815" s="62"/>
      <c r="R815" s="73"/>
      <c r="S815" s="74"/>
    </row>
    <row r="816" spans="1:19" s="63" customFormat="1" hidden="1" x14ac:dyDescent="0.25">
      <c r="A816" s="75"/>
      <c r="B816" s="76"/>
      <c r="C816" s="56"/>
      <c r="D816" s="57"/>
      <c r="E816" s="70"/>
      <c r="F816" s="58"/>
      <c r="G816" s="59"/>
      <c r="H816" s="59"/>
      <c r="I816" s="60"/>
      <c r="J816" s="58"/>
      <c r="K816" s="58"/>
      <c r="L816" s="58"/>
      <c r="M816" s="58"/>
      <c r="N816" s="58"/>
      <c r="O816" s="58"/>
      <c r="P816" s="61" t="str">
        <f t="shared" si="12"/>
        <v/>
      </c>
      <c r="Q816" s="62"/>
      <c r="R816" s="73"/>
      <c r="S816" s="74"/>
    </row>
    <row r="817" spans="1:19" s="63" customFormat="1" hidden="1" x14ac:dyDescent="0.25">
      <c r="A817" s="75"/>
      <c r="B817" s="76"/>
      <c r="C817" s="56"/>
      <c r="D817" s="57"/>
      <c r="E817" s="70"/>
      <c r="F817" s="58"/>
      <c r="G817" s="59"/>
      <c r="H817" s="59"/>
      <c r="I817" s="60"/>
      <c r="J817" s="58"/>
      <c r="K817" s="58"/>
      <c r="L817" s="58"/>
      <c r="M817" s="58"/>
      <c r="N817" s="58"/>
      <c r="O817" s="58"/>
      <c r="P817" s="61" t="str">
        <f t="shared" si="12"/>
        <v/>
      </c>
      <c r="Q817" s="62"/>
      <c r="R817" s="73"/>
      <c r="S817" s="74"/>
    </row>
    <row r="818" spans="1:19" s="63" customFormat="1" hidden="1" x14ac:dyDescent="0.25">
      <c r="A818" s="75"/>
      <c r="B818" s="76"/>
      <c r="C818" s="56"/>
      <c r="D818" s="57"/>
      <c r="E818" s="70"/>
      <c r="F818" s="58"/>
      <c r="G818" s="59"/>
      <c r="H818" s="59"/>
      <c r="I818" s="60"/>
      <c r="J818" s="58"/>
      <c r="K818" s="58"/>
      <c r="L818" s="58"/>
      <c r="M818" s="58"/>
      <c r="N818" s="58"/>
      <c r="O818" s="58"/>
      <c r="P818" s="61" t="str">
        <f t="shared" si="12"/>
        <v/>
      </c>
      <c r="Q818" s="62"/>
      <c r="R818" s="73"/>
      <c r="S818" s="74"/>
    </row>
    <row r="819" spans="1:19" s="63" customFormat="1" hidden="1" x14ac:dyDescent="0.25">
      <c r="A819" s="75"/>
      <c r="B819" s="76"/>
      <c r="C819" s="56"/>
      <c r="D819" s="57"/>
      <c r="E819" s="70"/>
      <c r="F819" s="58"/>
      <c r="G819" s="59"/>
      <c r="H819" s="59"/>
      <c r="I819" s="60"/>
      <c r="J819" s="58"/>
      <c r="K819" s="58"/>
      <c r="L819" s="58"/>
      <c r="M819" s="58"/>
      <c r="N819" s="58"/>
      <c r="O819" s="58"/>
      <c r="P819" s="61" t="str">
        <f t="shared" si="12"/>
        <v/>
      </c>
      <c r="Q819" s="62"/>
      <c r="R819" s="73"/>
      <c r="S819" s="74"/>
    </row>
    <row r="820" spans="1:19" s="63" customFormat="1" hidden="1" x14ac:dyDescent="0.25">
      <c r="A820" s="75"/>
      <c r="B820" s="76"/>
      <c r="C820" s="56"/>
      <c r="D820" s="57"/>
      <c r="E820" s="70"/>
      <c r="F820" s="58"/>
      <c r="G820" s="59"/>
      <c r="H820" s="59"/>
      <c r="I820" s="60"/>
      <c r="J820" s="58"/>
      <c r="K820" s="58"/>
      <c r="L820" s="58"/>
      <c r="M820" s="58"/>
      <c r="N820" s="58"/>
      <c r="O820" s="58"/>
      <c r="P820" s="61" t="str">
        <f t="shared" si="12"/>
        <v/>
      </c>
      <c r="Q820" s="62"/>
      <c r="R820" s="73"/>
      <c r="S820" s="74"/>
    </row>
    <row r="821" spans="1:19" s="63" customFormat="1" hidden="1" x14ac:dyDescent="0.25">
      <c r="A821" s="75"/>
      <c r="B821" s="76"/>
      <c r="C821" s="56"/>
      <c r="D821" s="57"/>
      <c r="E821" s="70"/>
      <c r="F821" s="58"/>
      <c r="G821" s="59"/>
      <c r="H821" s="59"/>
      <c r="I821" s="60"/>
      <c r="J821" s="58"/>
      <c r="K821" s="58"/>
      <c r="L821" s="58"/>
      <c r="M821" s="58"/>
      <c r="N821" s="58"/>
      <c r="O821" s="58"/>
      <c r="P821" s="61" t="str">
        <f t="shared" si="12"/>
        <v/>
      </c>
      <c r="Q821" s="62"/>
      <c r="R821" s="73"/>
      <c r="S821" s="74"/>
    </row>
    <row r="822" spans="1:19" s="63" customFormat="1" hidden="1" x14ac:dyDescent="0.25">
      <c r="A822" s="75"/>
      <c r="B822" s="76"/>
      <c r="C822" s="56"/>
      <c r="D822" s="57"/>
      <c r="E822" s="70"/>
      <c r="F822" s="58"/>
      <c r="G822" s="59"/>
      <c r="H822" s="59"/>
      <c r="I822" s="60"/>
      <c r="J822" s="58"/>
      <c r="K822" s="58"/>
      <c r="L822" s="58"/>
      <c r="M822" s="58"/>
      <c r="N822" s="58"/>
      <c r="O822" s="58"/>
      <c r="P822" s="61" t="str">
        <f t="shared" si="12"/>
        <v/>
      </c>
      <c r="Q822" s="62"/>
      <c r="R822" s="73"/>
      <c r="S822" s="74"/>
    </row>
    <row r="823" spans="1:19" s="63" customFormat="1" hidden="1" x14ac:dyDescent="0.25">
      <c r="A823" s="75"/>
      <c r="B823" s="76"/>
      <c r="C823" s="56"/>
      <c r="D823" s="57"/>
      <c r="E823" s="70"/>
      <c r="F823" s="58"/>
      <c r="G823" s="59"/>
      <c r="H823" s="59"/>
      <c r="I823" s="60"/>
      <c r="J823" s="58"/>
      <c r="K823" s="58"/>
      <c r="L823" s="58"/>
      <c r="M823" s="58"/>
      <c r="N823" s="58"/>
      <c r="O823" s="58"/>
      <c r="P823" s="61" t="str">
        <f t="shared" si="12"/>
        <v/>
      </c>
      <c r="Q823" s="62"/>
      <c r="R823" s="73"/>
      <c r="S823" s="74"/>
    </row>
    <row r="824" spans="1:19" s="63" customFormat="1" hidden="1" x14ac:dyDescent="0.25">
      <c r="A824" s="75"/>
      <c r="B824" s="76"/>
      <c r="C824" s="56"/>
      <c r="D824" s="57"/>
      <c r="E824" s="70"/>
      <c r="F824" s="58"/>
      <c r="G824" s="59"/>
      <c r="H824" s="59"/>
      <c r="I824" s="60"/>
      <c r="J824" s="58"/>
      <c r="K824" s="58"/>
      <c r="L824" s="58"/>
      <c r="M824" s="58"/>
      <c r="N824" s="58"/>
      <c r="O824" s="58"/>
      <c r="P824" s="61" t="str">
        <f t="shared" si="12"/>
        <v/>
      </c>
      <c r="Q824" s="62"/>
      <c r="R824" s="73"/>
      <c r="S824" s="74"/>
    </row>
    <row r="825" spans="1:19" s="63" customFormat="1" hidden="1" x14ac:dyDescent="0.25">
      <c r="A825" s="75"/>
      <c r="B825" s="76"/>
      <c r="C825" s="56"/>
      <c r="D825" s="57"/>
      <c r="E825" s="70"/>
      <c r="F825" s="58"/>
      <c r="G825" s="59"/>
      <c r="H825" s="59"/>
      <c r="I825" s="60"/>
      <c r="J825" s="58"/>
      <c r="K825" s="58"/>
      <c r="L825" s="58"/>
      <c r="M825" s="58"/>
      <c r="N825" s="58"/>
      <c r="O825" s="58"/>
      <c r="P825" s="61" t="str">
        <f t="shared" si="12"/>
        <v/>
      </c>
      <c r="Q825" s="62"/>
      <c r="R825" s="73"/>
      <c r="S825" s="74"/>
    </row>
    <row r="826" spans="1:19" s="63" customFormat="1" hidden="1" x14ac:dyDescent="0.25">
      <c r="A826" s="75"/>
      <c r="B826" s="76"/>
      <c r="C826" s="56"/>
      <c r="D826" s="57"/>
      <c r="E826" s="70"/>
      <c r="F826" s="58"/>
      <c r="G826" s="59"/>
      <c r="H826" s="59"/>
      <c r="I826" s="60"/>
      <c r="J826" s="58"/>
      <c r="K826" s="58"/>
      <c r="L826" s="58"/>
      <c r="M826" s="58"/>
      <c r="N826" s="58"/>
      <c r="O826" s="58"/>
      <c r="P826" s="61" t="str">
        <f t="shared" si="12"/>
        <v/>
      </c>
      <c r="Q826" s="62"/>
      <c r="R826" s="73"/>
      <c r="S826" s="74"/>
    </row>
    <row r="827" spans="1:19" s="63" customFormat="1" hidden="1" x14ac:dyDescent="0.25">
      <c r="A827" s="75"/>
      <c r="B827" s="76"/>
      <c r="C827" s="56"/>
      <c r="D827" s="57"/>
      <c r="E827" s="70"/>
      <c r="F827" s="58"/>
      <c r="G827" s="59"/>
      <c r="H827" s="59"/>
      <c r="I827" s="60"/>
      <c r="J827" s="58"/>
      <c r="K827" s="58"/>
      <c r="L827" s="58"/>
      <c r="M827" s="58"/>
      <c r="N827" s="58"/>
      <c r="O827" s="58"/>
      <c r="P827" s="61" t="str">
        <f t="shared" si="12"/>
        <v/>
      </c>
      <c r="Q827" s="62"/>
      <c r="R827" s="73"/>
      <c r="S827" s="74"/>
    </row>
    <row r="828" spans="1:19" s="63" customFormat="1" hidden="1" x14ac:dyDescent="0.25">
      <c r="A828" s="75"/>
      <c r="B828" s="76"/>
      <c r="C828" s="56"/>
      <c r="D828" s="57"/>
      <c r="E828" s="70"/>
      <c r="F828" s="58"/>
      <c r="G828" s="59"/>
      <c r="H828" s="59"/>
      <c r="I828" s="60"/>
      <c r="J828" s="58"/>
      <c r="K828" s="58"/>
      <c r="L828" s="58"/>
      <c r="M828" s="58"/>
      <c r="N828" s="58"/>
      <c r="O828" s="58"/>
      <c r="P828" s="61" t="str">
        <f t="shared" si="12"/>
        <v/>
      </c>
      <c r="Q828" s="62"/>
      <c r="R828" s="73"/>
      <c r="S828" s="74"/>
    </row>
    <row r="829" spans="1:19" s="63" customFormat="1" hidden="1" x14ac:dyDescent="0.25">
      <c r="A829" s="75"/>
      <c r="B829" s="76"/>
      <c r="C829" s="56"/>
      <c r="D829" s="57"/>
      <c r="E829" s="70"/>
      <c r="F829" s="58"/>
      <c r="G829" s="59"/>
      <c r="H829" s="59"/>
      <c r="I829" s="60"/>
      <c r="J829" s="58"/>
      <c r="K829" s="58"/>
      <c r="L829" s="58"/>
      <c r="M829" s="58"/>
      <c r="N829" s="58"/>
      <c r="O829" s="58"/>
      <c r="P829" s="61" t="str">
        <f t="shared" si="12"/>
        <v/>
      </c>
      <c r="Q829" s="62"/>
      <c r="R829" s="73"/>
      <c r="S829" s="74"/>
    </row>
    <row r="830" spans="1:19" s="63" customFormat="1" hidden="1" x14ac:dyDescent="0.25">
      <c r="A830" s="75"/>
      <c r="B830" s="76"/>
      <c r="C830" s="56"/>
      <c r="D830" s="57"/>
      <c r="E830" s="70"/>
      <c r="F830" s="58"/>
      <c r="G830" s="59"/>
      <c r="H830" s="59"/>
      <c r="I830" s="60"/>
      <c r="J830" s="58"/>
      <c r="K830" s="58"/>
      <c r="L830" s="58"/>
      <c r="M830" s="58"/>
      <c r="N830" s="58"/>
      <c r="O830" s="58"/>
      <c r="P830" s="61" t="str">
        <f t="shared" si="12"/>
        <v/>
      </c>
      <c r="Q830" s="62"/>
      <c r="R830" s="73"/>
      <c r="S830" s="74"/>
    </row>
    <row r="831" spans="1:19" s="63" customFormat="1" hidden="1" x14ac:dyDescent="0.25">
      <c r="A831" s="75"/>
      <c r="B831" s="76"/>
      <c r="C831" s="56"/>
      <c r="D831" s="57"/>
      <c r="E831" s="70"/>
      <c r="F831" s="58"/>
      <c r="G831" s="59"/>
      <c r="H831" s="59"/>
      <c r="I831" s="60"/>
      <c r="J831" s="58"/>
      <c r="K831" s="58"/>
      <c r="L831" s="58"/>
      <c r="M831" s="58"/>
      <c r="N831" s="58"/>
      <c r="O831" s="58"/>
      <c r="P831" s="61" t="str">
        <f t="shared" si="12"/>
        <v/>
      </c>
      <c r="Q831" s="62"/>
      <c r="R831" s="73"/>
      <c r="S831" s="74"/>
    </row>
    <row r="832" spans="1:19" s="63" customFormat="1" hidden="1" x14ac:dyDescent="0.25">
      <c r="A832" s="75"/>
      <c r="B832" s="76"/>
      <c r="C832" s="56"/>
      <c r="D832" s="57"/>
      <c r="E832" s="70"/>
      <c r="F832" s="58"/>
      <c r="G832" s="59"/>
      <c r="H832" s="59"/>
      <c r="I832" s="60"/>
      <c r="J832" s="58"/>
      <c r="K832" s="58"/>
      <c r="L832" s="58"/>
      <c r="M832" s="58"/>
      <c r="N832" s="58"/>
      <c r="O832" s="58"/>
      <c r="P832" s="61" t="str">
        <f t="shared" si="12"/>
        <v/>
      </c>
      <c r="Q832" s="62"/>
      <c r="R832" s="73"/>
      <c r="S832" s="74"/>
    </row>
    <row r="833" spans="1:22" s="63" customFormat="1" hidden="1" x14ac:dyDescent="0.25">
      <c r="A833" s="75"/>
      <c r="B833" s="76"/>
      <c r="C833" s="56"/>
      <c r="D833" s="57"/>
      <c r="E833" s="70"/>
      <c r="F833" s="58"/>
      <c r="G833" s="59"/>
      <c r="H833" s="59"/>
      <c r="I833" s="60"/>
      <c r="J833" s="58"/>
      <c r="K833" s="58"/>
      <c r="L833" s="58"/>
      <c r="M833" s="58"/>
      <c r="N833" s="58"/>
      <c r="O833" s="58"/>
      <c r="P833" s="61" t="str">
        <f t="shared" si="12"/>
        <v/>
      </c>
      <c r="Q833" s="62"/>
      <c r="R833" s="73"/>
      <c r="S833" s="74"/>
    </row>
    <row r="834" spans="1:22" s="63" customFormat="1" hidden="1" x14ac:dyDescent="0.25">
      <c r="A834" s="75"/>
      <c r="B834" s="76"/>
      <c r="C834" s="56"/>
      <c r="D834" s="57"/>
      <c r="E834" s="70"/>
      <c r="F834" s="58"/>
      <c r="G834" s="59"/>
      <c r="H834" s="59"/>
      <c r="I834" s="60"/>
      <c r="J834" s="58"/>
      <c r="K834" s="58"/>
      <c r="L834" s="58"/>
      <c r="M834" s="58"/>
      <c r="N834" s="58"/>
      <c r="O834" s="58"/>
      <c r="P834" s="61" t="str">
        <f t="shared" si="12"/>
        <v/>
      </c>
      <c r="Q834" s="62"/>
      <c r="R834" s="73"/>
      <c r="S834" s="74"/>
    </row>
    <row r="835" spans="1:22" s="63" customFormat="1" hidden="1" x14ac:dyDescent="0.25">
      <c r="A835" s="75"/>
      <c r="B835" s="76"/>
      <c r="C835" s="56"/>
      <c r="D835" s="57"/>
      <c r="E835" s="70"/>
      <c r="F835" s="58"/>
      <c r="G835" s="59"/>
      <c r="H835" s="59"/>
      <c r="I835" s="60"/>
      <c r="J835" s="58"/>
      <c r="K835" s="58"/>
      <c r="L835" s="58"/>
      <c r="M835" s="58"/>
      <c r="N835" s="58"/>
      <c r="O835" s="58"/>
      <c r="P835" s="61" t="str">
        <f t="shared" si="12"/>
        <v/>
      </c>
      <c r="Q835" s="62"/>
      <c r="R835" s="73"/>
      <c r="S835" s="74"/>
    </row>
    <row r="836" spans="1:22" s="63" customFormat="1" hidden="1" x14ac:dyDescent="0.25">
      <c r="A836" s="71"/>
      <c r="B836" s="72"/>
      <c r="C836" s="56"/>
      <c r="D836" s="57"/>
      <c r="E836" s="58"/>
      <c r="F836" s="58"/>
      <c r="G836" s="59"/>
      <c r="H836" s="59"/>
      <c r="I836" s="60"/>
      <c r="J836" s="58"/>
      <c r="K836" s="58"/>
      <c r="L836" s="58"/>
      <c r="M836" s="58"/>
      <c r="N836" s="58"/>
      <c r="O836" s="58"/>
      <c r="P836" s="61" t="str">
        <f t="shared" si="12"/>
        <v/>
      </c>
      <c r="Q836" s="62"/>
      <c r="R836" s="73"/>
      <c r="S836" s="74"/>
    </row>
    <row r="837" spans="1:22" s="63" customFormat="1" x14ac:dyDescent="0.25">
      <c r="A837" s="77"/>
      <c r="B837" s="78"/>
      <c r="C837" s="56"/>
      <c r="D837" s="79"/>
      <c r="E837" s="80"/>
      <c r="F837" s="80"/>
      <c r="G837" s="59"/>
      <c r="H837" s="59"/>
      <c r="I837" s="60"/>
      <c r="J837" s="58"/>
      <c r="K837" s="58"/>
      <c r="L837" s="58"/>
      <c r="M837" s="58"/>
      <c r="N837" s="58"/>
      <c r="O837" s="58"/>
      <c r="P837" s="61" t="str">
        <f t="shared" si="12"/>
        <v/>
      </c>
      <c r="Q837" s="81"/>
      <c r="R837" s="82"/>
      <c r="S837" s="74"/>
    </row>
    <row r="838" spans="1:22" ht="15" customHeight="1" thickBot="1" x14ac:dyDescent="0.3">
      <c r="A838" s="161"/>
      <c r="B838" s="162"/>
      <c r="C838" s="162"/>
      <c r="D838" s="162"/>
      <c r="E838" s="162"/>
      <c r="F838" s="162"/>
      <c r="G838" s="162"/>
      <c r="H838" s="162"/>
      <c r="I838" s="162"/>
      <c r="J838" s="83">
        <f t="shared" ref="J838:O838" si="13">COUNTIF(J9:J837,"X")</f>
        <v>0</v>
      </c>
      <c r="K838" s="84">
        <f t="shared" si="13"/>
        <v>583</v>
      </c>
      <c r="L838" s="83">
        <f t="shared" si="13"/>
        <v>0</v>
      </c>
      <c r="M838" s="83">
        <f t="shared" si="13"/>
        <v>0</v>
      </c>
      <c r="N838" s="83">
        <f t="shared" si="13"/>
        <v>0</v>
      </c>
      <c r="O838" s="83">
        <f t="shared" si="13"/>
        <v>0</v>
      </c>
      <c r="P838" s="83">
        <f>SUM(P9:P837)</f>
        <v>3100</v>
      </c>
      <c r="Q838" s="85"/>
      <c r="R838" s="86"/>
      <c r="S838" s="87"/>
      <c r="V838" s="63"/>
    </row>
    <row r="839" spans="1:22" x14ac:dyDescent="0.25">
      <c r="A839" s="88" t="s">
        <v>7251</v>
      </c>
      <c r="B839" s="89"/>
      <c r="C839" s="90"/>
      <c r="D839" s="91"/>
      <c r="E839" s="163" t="s">
        <v>7252</v>
      </c>
      <c r="F839" s="164"/>
      <c r="G839" s="164"/>
      <c r="H839" s="164"/>
      <c r="I839" s="164"/>
      <c r="J839" s="164"/>
      <c r="K839" s="164"/>
      <c r="L839" s="164"/>
      <c r="M839" s="164"/>
      <c r="N839" s="164"/>
      <c r="O839" s="164"/>
      <c r="P839" s="164"/>
      <c r="Q839" s="164"/>
      <c r="R839" s="164"/>
      <c r="S839" s="165"/>
    </row>
    <row r="840" spans="1:22" s="63" customFormat="1" x14ac:dyDescent="0.25">
      <c r="A840" s="129" t="s">
        <v>7253</v>
      </c>
      <c r="B840" s="130"/>
      <c r="C840" s="131"/>
      <c r="D840" s="131"/>
      <c r="E840" s="131"/>
      <c r="F840" s="131"/>
      <c r="G840" s="131"/>
      <c r="H840" s="131"/>
      <c r="I840" s="131"/>
      <c r="J840" s="131"/>
      <c r="K840" s="131"/>
      <c r="L840" s="131"/>
      <c r="M840" s="131"/>
      <c r="N840" s="131"/>
      <c r="O840" s="131"/>
      <c r="P840" s="131"/>
      <c r="Q840" s="131"/>
      <c r="R840" s="131"/>
      <c r="S840" s="132"/>
      <c r="V840" s="16"/>
    </row>
    <row r="841" spans="1:22" s="63" customFormat="1" x14ac:dyDescent="0.25">
      <c r="A841" s="92"/>
      <c r="B841" s="93"/>
      <c r="C841" s="94"/>
      <c r="D841" s="94"/>
      <c r="E841" s="94"/>
      <c r="F841" s="94"/>
      <c r="G841" s="94"/>
      <c r="H841" s="94"/>
      <c r="I841" s="94"/>
      <c r="J841" s="94"/>
      <c r="K841" s="94"/>
      <c r="L841" s="94"/>
      <c r="M841" s="94"/>
      <c r="N841" s="94"/>
      <c r="O841" s="94"/>
      <c r="P841" s="94"/>
      <c r="Q841" s="94"/>
      <c r="R841" s="94"/>
      <c r="S841" s="95"/>
    </row>
    <row r="842" spans="1:22" s="63" customFormat="1" x14ac:dyDescent="0.25">
      <c r="A842" s="166"/>
      <c r="B842" s="167"/>
      <c r="C842" s="167"/>
      <c r="D842" s="167"/>
      <c r="E842" s="167"/>
      <c r="F842" s="167"/>
      <c r="G842" s="167"/>
      <c r="H842" s="167"/>
      <c r="I842" s="167"/>
      <c r="J842" s="167"/>
      <c r="K842" s="167"/>
      <c r="L842" s="167"/>
      <c r="M842" s="167"/>
      <c r="N842" s="167"/>
      <c r="O842" s="167"/>
      <c r="P842" s="167"/>
      <c r="Q842" s="167"/>
      <c r="R842" s="167"/>
      <c r="S842" s="168"/>
    </row>
    <row r="843" spans="1:22" s="63" customFormat="1" ht="33" customHeight="1" x14ac:dyDescent="0.25">
      <c r="A843" s="169" t="s">
        <v>7254</v>
      </c>
      <c r="B843" s="170"/>
      <c r="C843" s="170"/>
      <c r="D843" s="170"/>
      <c r="E843" s="170"/>
      <c r="F843" s="170"/>
      <c r="G843" s="170"/>
      <c r="H843" s="170"/>
      <c r="I843" s="170"/>
      <c r="J843" s="170"/>
      <c r="K843" s="170"/>
      <c r="L843" s="170"/>
      <c r="M843" s="170"/>
      <c r="N843" s="170"/>
      <c r="O843" s="170"/>
      <c r="P843" s="170"/>
      <c r="Q843" s="170"/>
      <c r="R843" s="170"/>
      <c r="S843" s="171"/>
    </row>
    <row r="844" spans="1:22" s="63" customFormat="1" ht="15.75" thickBot="1" x14ac:dyDescent="0.3">
      <c r="A844" s="166"/>
      <c r="B844" s="167"/>
      <c r="C844" s="167"/>
      <c r="D844" s="167"/>
      <c r="E844" s="167"/>
      <c r="F844" s="167"/>
      <c r="G844" s="167"/>
      <c r="H844" s="167"/>
      <c r="I844" s="167"/>
      <c r="J844" s="167"/>
      <c r="K844" s="167"/>
      <c r="L844" s="167"/>
      <c r="M844" s="167"/>
      <c r="N844" s="167"/>
      <c r="O844" s="167"/>
      <c r="P844" s="167"/>
      <c r="Q844" s="167"/>
      <c r="R844" s="167"/>
      <c r="S844" s="168"/>
    </row>
    <row r="845" spans="1:22" s="100" customFormat="1" ht="22.5" customHeight="1" x14ac:dyDescent="0.25">
      <c r="A845" s="172" t="s">
        <v>7255</v>
      </c>
      <c r="B845" s="173"/>
      <c r="C845" s="96" t="s">
        <v>7256</v>
      </c>
      <c r="D845" s="97"/>
      <c r="E845" s="98" t="s">
        <v>7257</v>
      </c>
      <c r="F845" s="174"/>
      <c r="G845" s="174"/>
      <c r="H845" s="174"/>
      <c r="I845" s="175"/>
      <c r="J845" s="176" t="s">
        <v>7258</v>
      </c>
      <c r="K845" s="177"/>
      <c r="L845" s="177"/>
      <c r="M845" s="177"/>
      <c r="N845" s="177"/>
      <c r="O845" s="99"/>
      <c r="P845" s="178"/>
      <c r="Q845" s="178"/>
      <c r="R845" s="178"/>
      <c r="S845" s="179"/>
      <c r="V845" s="63"/>
    </row>
    <row r="846" spans="1:22" s="102" customFormat="1" ht="39" customHeight="1" thickBot="1" x14ac:dyDescent="0.25">
      <c r="A846" s="180" t="s">
        <v>7259</v>
      </c>
      <c r="B846" s="181"/>
      <c r="C846" s="182"/>
      <c r="D846" s="101"/>
      <c r="E846" s="183" t="s">
        <v>7259</v>
      </c>
      <c r="F846" s="184"/>
      <c r="G846" s="184"/>
      <c r="H846" s="184"/>
      <c r="I846" s="185"/>
      <c r="J846" s="186" t="s">
        <v>7259</v>
      </c>
      <c r="K846" s="187"/>
      <c r="L846" s="187"/>
      <c r="M846" s="187"/>
      <c r="N846" s="187"/>
      <c r="O846" s="187"/>
      <c r="P846" s="187"/>
      <c r="Q846" s="187"/>
      <c r="R846" s="187"/>
      <c r="S846" s="188"/>
      <c r="V846" s="100"/>
    </row>
    <row r="847" spans="1:22" s="63" customFormat="1" ht="17.25" customHeight="1" thickBot="1" x14ac:dyDescent="0.3">
      <c r="A847" s="103"/>
      <c r="B847" s="104"/>
      <c r="C847" s="105">
        <v>41977</v>
      </c>
      <c r="D847" s="105"/>
      <c r="E847" s="106" t="s">
        <v>7260</v>
      </c>
      <c r="F847" s="189"/>
      <c r="G847" s="190"/>
      <c r="H847" s="190"/>
      <c r="I847" s="191"/>
      <c r="J847" s="192" t="s">
        <v>7261</v>
      </c>
      <c r="K847" s="193"/>
      <c r="L847" s="193"/>
      <c r="M847" s="193"/>
      <c r="N847" s="189"/>
      <c r="O847" s="189"/>
      <c r="P847" s="190"/>
      <c r="Q847" s="190"/>
      <c r="R847" s="190"/>
      <c r="S847" s="191"/>
      <c r="V847" s="102"/>
    </row>
    <row r="848" spans="1:22" x14ac:dyDescent="0.25">
      <c r="A848" s="16" t="s">
        <v>7262</v>
      </c>
      <c r="V848" s="63"/>
    </row>
    <row r="849" spans="3:17" hidden="1" x14ac:dyDescent="0.25"/>
    <row r="850" spans="3:17" hidden="1" x14ac:dyDescent="0.25"/>
    <row r="851" spans="3:17" hidden="1" x14ac:dyDescent="0.25">
      <c r="C851" s="16" t="s">
        <v>7263</v>
      </c>
      <c r="E851" s="16" t="s">
        <v>3321</v>
      </c>
      <c r="M851" s="16" t="s">
        <v>7264</v>
      </c>
    </row>
    <row r="852" spans="3:17" hidden="1" x14ac:dyDescent="0.25">
      <c r="C852" s="107" t="s">
        <v>7265</v>
      </c>
      <c r="D852" s="108"/>
      <c r="E852" s="109" t="s">
        <v>7266</v>
      </c>
      <c r="M852" s="16" t="s">
        <v>7267</v>
      </c>
    </row>
    <row r="853" spans="3:17" hidden="1" x14ac:dyDescent="0.25">
      <c r="C853" s="107" t="s">
        <v>7268</v>
      </c>
      <c r="D853" s="108"/>
      <c r="E853" s="110" t="s">
        <v>7269</v>
      </c>
      <c r="M853" s="16" t="s">
        <v>7270</v>
      </c>
    </row>
    <row r="854" spans="3:17" hidden="1" x14ac:dyDescent="0.25">
      <c r="C854" s="107" t="s">
        <v>7271</v>
      </c>
      <c r="D854" s="108"/>
      <c r="E854" s="110" t="s">
        <v>7272</v>
      </c>
      <c r="M854" s="16" t="s">
        <v>7273</v>
      </c>
    </row>
    <row r="855" spans="3:17" hidden="1" x14ac:dyDescent="0.25">
      <c r="C855" s="107" t="s">
        <v>7274</v>
      </c>
      <c r="D855" s="108"/>
      <c r="E855" s="110" t="s">
        <v>7275</v>
      </c>
      <c r="Q855" s="111">
        <f ca="1">TODAY()</f>
        <v>42894</v>
      </c>
    </row>
    <row r="856" spans="3:17" hidden="1" x14ac:dyDescent="0.25">
      <c r="C856" s="107" t="s">
        <v>7276</v>
      </c>
      <c r="D856" s="108"/>
      <c r="E856" s="110" t="s">
        <v>7277</v>
      </c>
      <c r="Q856" s="111">
        <f ca="1">Q855-1</f>
        <v>42893</v>
      </c>
    </row>
    <row r="857" spans="3:17" hidden="1" x14ac:dyDescent="0.25">
      <c r="C857" s="107" t="s">
        <v>7278</v>
      </c>
      <c r="D857" s="108"/>
      <c r="E857" s="110" t="s">
        <v>7279</v>
      </c>
      <c r="Q857" s="111">
        <f t="shared" ref="Q857:Q862" ca="1" si="14">Q856-1</f>
        <v>42892</v>
      </c>
    </row>
    <row r="858" spans="3:17" hidden="1" x14ac:dyDescent="0.25">
      <c r="C858" s="107" t="s">
        <v>7280</v>
      </c>
      <c r="D858" s="108"/>
      <c r="E858" s="110" t="s">
        <v>7281</v>
      </c>
      <c r="Q858" s="111">
        <f t="shared" ca="1" si="14"/>
        <v>42891</v>
      </c>
    </row>
    <row r="859" spans="3:17" hidden="1" x14ac:dyDescent="0.25">
      <c r="C859" s="107" t="s">
        <v>7282</v>
      </c>
      <c r="D859" s="108"/>
      <c r="E859" s="110" t="s">
        <v>7283</v>
      </c>
      <c r="Q859" s="111">
        <f t="shared" ca="1" si="14"/>
        <v>42890</v>
      </c>
    </row>
    <row r="860" spans="3:17" hidden="1" x14ac:dyDescent="0.25">
      <c r="C860" s="107" t="s">
        <v>7284</v>
      </c>
      <c r="D860" s="108"/>
      <c r="E860" s="110" t="s">
        <v>7285</v>
      </c>
      <c r="Q860" s="111">
        <f t="shared" ca="1" si="14"/>
        <v>42889</v>
      </c>
    </row>
    <row r="861" spans="3:17" hidden="1" x14ac:dyDescent="0.25">
      <c r="C861" s="107" t="s">
        <v>7286</v>
      </c>
      <c r="D861" s="108"/>
      <c r="E861" s="110" t="s">
        <v>7287</v>
      </c>
      <c r="Q861" s="111">
        <f t="shared" ca="1" si="14"/>
        <v>42888</v>
      </c>
    </row>
    <row r="862" spans="3:17" hidden="1" x14ac:dyDescent="0.25">
      <c r="C862" s="107" t="s">
        <v>7288</v>
      </c>
      <c r="D862" s="108"/>
      <c r="E862" s="110" t="s">
        <v>7289</v>
      </c>
      <c r="Q862" s="111">
        <f t="shared" ca="1" si="14"/>
        <v>42887</v>
      </c>
    </row>
    <row r="863" spans="3:17" hidden="1" x14ac:dyDescent="0.25">
      <c r="C863" s="107" t="s">
        <v>7290</v>
      </c>
      <c r="D863" s="108"/>
      <c r="E863" s="110" t="s">
        <v>7291</v>
      </c>
    </row>
    <row r="864" spans="3:17" hidden="1" x14ac:dyDescent="0.25">
      <c r="C864" s="107" t="s">
        <v>7292</v>
      </c>
      <c r="D864" s="108"/>
      <c r="E864" s="110" t="s">
        <v>7293</v>
      </c>
    </row>
    <row r="865" spans="3:5" hidden="1" x14ac:dyDescent="0.25">
      <c r="C865" s="107" t="s">
        <v>7294</v>
      </c>
      <c r="D865" s="108"/>
      <c r="E865" s="110" t="s">
        <v>7295</v>
      </c>
    </row>
    <row r="866" spans="3:5" hidden="1" x14ac:dyDescent="0.25">
      <c r="C866" s="107" t="s">
        <v>7296</v>
      </c>
      <c r="D866" s="108"/>
      <c r="E866" s="110" t="s">
        <v>7297</v>
      </c>
    </row>
    <row r="867" spans="3:5" hidden="1" x14ac:dyDescent="0.25">
      <c r="C867" s="107" t="s">
        <v>7298</v>
      </c>
      <c r="D867" s="108"/>
      <c r="E867" s="110" t="s">
        <v>7299</v>
      </c>
    </row>
    <row r="868" spans="3:5" hidden="1" x14ac:dyDescent="0.25">
      <c r="C868" s="107" t="s">
        <v>7300</v>
      </c>
      <c r="D868" s="108"/>
      <c r="E868" s="110" t="s">
        <v>7301</v>
      </c>
    </row>
    <row r="869" spans="3:5" hidden="1" x14ac:dyDescent="0.25">
      <c r="C869" s="107" t="s">
        <v>7302</v>
      </c>
      <c r="D869" s="108"/>
      <c r="E869" s="110" t="s">
        <v>7303</v>
      </c>
    </row>
    <row r="870" spans="3:5" hidden="1" x14ac:dyDescent="0.25">
      <c r="C870" s="107" t="s">
        <v>7304</v>
      </c>
      <c r="D870" s="108"/>
      <c r="E870" s="110" t="s">
        <v>7305</v>
      </c>
    </row>
    <row r="871" spans="3:5" hidden="1" x14ac:dyDescent="0.25">
      <c r="C871" s="107" t="s">
        <v>7306</v>
      </c>
      <c r="D871" s="108"/>
      <c r="E871" s="107" t="s">
        <v>7307</v>
      </c>
    </row>
    <row r="872" spans="3:5" hidden="1" x14ac:dyDescent="0.25">
      <c r="C872" s="107" t="s">
        <v>7308</v>
      </c>
      <c r="D872" s="108"/>
      <c r="E872" s="107" t="s">
        <v>7309</v>
      </c>
    </row>
    <row r="873" spans="3:5" hidden="1" x14ac:dyDescent="0.25">
      <c r="C873" s="107" t="s">
        <v>7310</v>
      </c>
      <c r="D873" s="108"/>
      <c r="E873" s="107" t="s">
        <v>7311</v>
      </c>
    </row>
    <row r="874" spans="3:5" hidden="1" x14ac:dyDescent="0.25">
      <c r="C874" s="107" t="s">
        <v>7310</v>
      </c>
      <c r="D874" s="108"/>
      <c r="E874" s="107" t="s">
        <v>7312</v>
      </c>
    </row>
    <row r="875" spans="3:5" hidden="1" x14ac:dyDescent="0.25">
      <c r="C875" s="107" t="s">
        <v>7313</v>
      </c>
      <c r="D875" s="108"/>
      <c r="E875" s="107" t="s">
        <v>7314</v>
      </c>
    </row>
    <row r="876" spans="3:5" hidden="1" x14ac:dyDescent="0.25">
      <c r="C876" s="107" t="s">
        <v>7315</v>
      </c>
      <c r="D876" s="108"/>
      <c r="E876" s="107" t="s">
        <v>7316</v>
      </c>
    </row>
    <row r="877" spans="3:5" hidden="1" x14ac:dyDescent="0.25">
      <c r="C877" s="107" t="s">
        <v>7317</v>
      </c>
      <c r="D877" s="108"/>
      <c r="E877" s="107" t="s">
        <v>7318</v>
      </c>
    </row>
    <row r="878" spans="3:5" hidden="1" x14ac:dyDescent="0.25">
      <c r="C878" s="107" t="s">
        <v>5463</v>
      </c>
      <c r="D878" s="108"/>
      <c r="E878" s="107" t="s">
        <v>7319</v>
      </c>
    </row>
    <row r="879" spans="3:5" hidden="1" x14ac:dyDescent="0.25">
      <c r="C879" s="107" t="s">
        <v>7320</v>
      </c>
      <c r="D879" s="108"/>
      <c r="E879" s="107" t="s">
        <v>7321</v>
      </c>
    </row>
    <row r="880" spans="3:5" hidden="1" x14ac:dyDescent="0.25">
      <c r="C880" s="107" t="s">
        <v>7322</v>
      </c>
      <c r="D880" s="108"/>
      <c r="E880" s="107" t="s">
        <v>7323</v>
      </c>
    </row>
    <row r="881" spans="3:5" hidden="1" x14ac:dyDescent="0.25">
      <c r="C881" s="107" t="s">
        <v>7324</v>
      </c>
      <c r="D881" s="108"/>
      <c r="E881" s="107" t="s">
        <v>7325</v>
      </c>
    </row>
    <row r="882" spans="3:5" hidden="1" x14ac:dyDescent="0.25">
      <c r="C882" s="107" t="s">
        <v>7326</v>
      </c>
      <c r="D882" s="108"/>
      <c r="E882" s="107" t="s">
        <v>7327</v>
      </c>
    </row>
    <row r="883" spans="3:5" hidden="1" x14ac:dyDescent="0.25">
      <c r="C883" s="107" t="s">
        <v>7328</v>
      </c>
      <c r="D883" s="108"/>
      <c r="E883" s="107" t="s">
        <v>7329</v>
      </c>
    </row>
    <row r="884" spans="3:5" hidden="1" x14ac:dyDescent="0.25">
      <c r="C884" s="107" t="s">
        <v>7330</v>
      </c>
      <c r="D884" s="108"/>
      <c r="E884" s="107" t="s">
        <v>7331</v>
      </c>
    </row>
    <row r="885" spans="3:5" hidden="1" x14ac:dyDescent="0.25">
      <c r="C885" s="107" t="s">
        <v>7332</v>
      </c>
      <c r="D885" s="108"/>
      <c r="E885" s="107" t="s">
        <v>7333</v>
      </c>
    </row>
    <row r="886" spans="3:5" hidden="1" x14ac:dyDescent="0.25">
      <c r="C886" s="107" t="s">
        <v>7334</v>
      </c>
      <c r="D886" s="108"/>
      <c r="E886" s="107" t="s">
        <v>5469</v>
      </c>
    </row>
    <row r="887" spans="3:5" hidden="1" x14ac:dyDescent="0.25"/>
  </sheetData>
  <sheetProtection password="DCF1" sheet="1" formatCells="0" formatRows="0" insertRows="0" deleteRows="0" sort="0" autoFilter="0" pivotTables="0"/>
  <mergeCells count="27">
    <mergeCell ref="A846:C846"/>
    <mergeCell ref="E846:I846"/>
    <mergeCell ref="J846:S846"/>
    <mergeCell ref="F847:I847"/>
    <mergeCell ref="J847:M847"/>
    <mergeCell ref="N847:S847"/>
    <mergeCell ref="A842:S842"/>
    <mergeCell ref="A843:S843"/>
    <mergeCell ref="A844:S844"/>
    <mergeCell ref="A845:B845"/>
    <mergeCell ref="F845:I845"/>
    <mergeCell ref="J845:N845"/>
    <mergeCell ref="P845:S845"/>
    <mergeCell ref="A840:S840"/>
    <mergeCell ref="P2:S2"/>
    <mergeCell ref="A3:B3"/>
    <mergeCell ref="C3:M3"/>
    <mergeCell ref="N3:N5"/>
    <mergeCell ref="A4:B4"/>
    <mergeCell ref="C4:M4"/>
    <mergeCell ref="A5:C5"/>
    <mergeCell ref="E5:M5"/>
    <mergeCell ref="E7:F7"/>
    <mergeCell ref="G7:H7"/>
    <mergeCell ref="J7:O7"/>
    <mergeCell ref="A838:I838"/>
    <mergeCell ref="E839:S839"/>
  </mergeCells>
  <dataValidations count="4">
    <dataValidation type="list" allowBlank="1" showInputMessage="1" showErrorMessage="1" promptTitle="CAMPO PREDETERMINADO" prompt="Por favor seleccione un objeto de la lista desplegable!" sqref="E5:M5 JA5:JI5 SW5:TE5 ACS5:ADA5 AMO5:AMW5 AWK5:AWS5 BGG5:BGO5 BQC5:BQK5 BZY5:CAG5 CJU5:CKC5 CTQ5:CTY5 DDM5:DDU5 DNI5:DNQ5 DXE5:DXM5 EHA5:EHI5 EQW5:ERE5 FAS5:FBA5 FKO5:FKW5 FUK5:FUS5 GEG5:GEO5 GOC5:GOK5 GXY5:GYG5 HHU5:HIC5 HRQ5:HRY5 IBM5:IBU5 ILI5:ILQ5 IVE5:IVM5 JFA5:JFI5 JOW5:JPE5 JYS5:JZA5 KIO5:KIW5 KSK5:KSS5 LCG5:LCO5 LMC5:LMK5 LVY5:LWG5 MFU5:MGC5 MPQ5:MPY5 MZM5:MZU5 NJI5:NJQ5 NTE5:NTM5 ODA5:ODI5 OMW5:ONE5 OWS5:OXA5 PGO5:PGW5 PQK5:PQS5 QAG5:QAO5 QKC5:QKK5 QTY5:QUG5 RDU5:REC5 RNQ5:RNY5 RXM5:RXU5 SHI5:SHQ5 SRE5:SRM5 TBA5:TBI5 TKW5:TLE5 TUS5:TVA5 UEO5:UEW5 UOK5:UOS5 UYG5:UYO5 VIC5:VIK5 VRY5:VSG5 WBU5:WCC5 WLQ5:WLY5 WVM5:WVU5 E65541:M65541 JA65541:JI65541 SW65541:TE65541 ACS65541:ADA65541 AMO65541:AMW65541 AWK65541:AWS65541 BGG65541:BGO65541 BQC65541:BQK65541 BZY65541:CAG65541 CJU65541:CKC65541 CTQ65541:CTY65541 DDM65541:DDU65541 DNI65541:DNQ65541 DXE65541:DXM65541 EHA65541:EHI65541 EQW65541:ERE65541 FAS65541:FBA65541 FKO65541:FKW65541 FUK65541:FUS65541 GEG65541:GEO65541 GOC65541:GOK65541 GXY65541:GYG65541 HHU65541:HIC65541 HRQ65541:HRY65541 IBM65541:IBU65541 ILI65541:ILQ65541 IVE65541:IVM65541 JFA65541:JFI65541 JOW65541:JPE65541 JYS65541:JZA65541 KIO65541:KIW65541 KSK65541:KSS65541 LCG65541:LCO65541 LMC65541:LMK65541 LVY65541:LWG65541 MFU65541:MGC65541 MPQ65541:MPY65541 MZM65541:MZU65541 NJI65541:NJQ65541 NTE65541:NTM65541 ODA65541:ODI65541 OMW65541:ONE65541 OWS65541:OXA65541 PGO65541:PGW65541 PQK65541:PQS65541 QAG65541:QAO65541 QKC65541:QKK65541 QTY65541:QUG65541 RDU65541:REC65541 RNQ65541:RNY65541 RXM65541:RXU65541 SHI65541:SHQ65541 SRE65541:SRM65541 TBA65541:TBI65541 TKW65541:TLE65541 TUS65541:TVA65541 UEO65541:UEW65541 UOK65541:UOS65541 UYG65541:UYO65541 VIC65541:VIK65541 VRY65541:VSG65541 WBU65541:WCC65541 WLQ65541:WLY65541 WVM65541:WVU65541 E131077:M131077 JA131077:JI131077 SW131077:TE131077 ACS131077:ADA131077 AMO131077:AMW131077 AWK131077:AWS131077 BGG131077:BGO131077 BQC131077:BQK131077 BZY131077:CAG131077 CJU131077:CKC131077 CTQ131077:CTY131077 DDM131077:DDU131077 DNI131077:DNQ131077 DXE131077:DXM131077 EHA131077:EHI131077 EQW131077:ERE131077 FAS131077:FBA131077 FKO131077:FKW131077 FUK131077:FUS131077 GEG131077:GEO131077 GOC131077:GOK131077 GXY131077:GYG131077 HHU131077:HIC131077 HRQ131077:HRY131077 IBM131077:IBU131077 ILI131077:ILQ131077 IVE131077:IVM131077 JFA131077:JFI131077 JOW131077:JPE131077 JYS131077:JZA131077 KIO131077:KIW131077 KSK131077:KSS131077 LCG131077:LCO131077 LMC131077:LMK131077 LVY131077:LWG131077 MFU131077:MGC131077 MPQ131077:MPY131077 MZM131077:MZU131077 NJI131077:NJQ131077 NTE131077:NTM131077 ODA131077:ODI131077 OMW131077:ONE131077 OWS131077:OXA131077 PGO131077:PGW131077 PQK131077:PQS131077 QAG131077:QAO131077 QKC131077:QKK131077 QTY131077:QUG131077 RDU131077:REC131077 RNQ131077:RNY131077 RXM131077:RXU131077 SHI131077:SHQ131077 SRE131077:SRM131077 TBA131077:TBI131077 TKW131077:TLE131077 TUS131077:TVA131077 UEO131077:UEW131077 UOK131077:UOS131077 UYG131077:UYO131077 VIC131077:VIK131077 VRY131077:VSG131077 WBU131077:WCC131077 WLQ131077:WLY131077 WVM131077:WVU131077 E196613:M196613 JA196613:JI196613 SW196613:TE196613 ACS196613:ADA196613 AMO196613:AMW196613 AWK196613:AWS196613 BGG196613:BGO196613 BQC196613:BQK196613 BZY196613:CAG196613 CJU196613:CKC196613 CTQ196613:CTY196613 DDM196613:DDU196613 DNI196613:DNQ196613 DXE196613:DXM196613 EHA196613:EHI196613 EQW196613:ERE196613 FAS196613:FBA196613 FKO196613:FKW196613 FUK196613:FUS196613 GEG196613:GEO196613 GOC196613:GOK196613 GXY196613:GYG196613 HHU196613:HIC196613 HRQ196613:HRY196613 IBM196613:IBU196613 ILI196613:ILQ196613 IVE196613:IVM196613 JFA196613:JFI196613 JOW196613:JPE196613 JYS196613:JZA196613 KIO196613:KIW196613 KSK196613:KSS196613 LCG196613:LCO196613 LMC196613:LMK196613 LVY196613:LWG196613 MFU196613:MGC196613 MPQ196613:MPY196613 MZM196613:MZU196613 NJI196613:NJQ196613 NTE196613:NTM196613 ODA196613:ODI196613 OMW196613:ONE196613 OWS196613:OXA196613 PGO196613:PGW196613 PQK196613:PQS196613 QAG196613:QAO196613 QKC196613:QKK196613 QTY196613:QUG196613 RDU196613:REC196613 RNQ196613:RNY196613 RXM196613:RXU196613 SHI196613:SHQ196613 SRE196613:SRM196613 TBA196613:TBI196613 TKW196613:TLE196613 TUS196613:TVA196613 UEO196613:UEW196613 UOK196613:UOS196613 UYG196613:UYO196613 VIC196613:VIK196613 VRY196613:VSG196613 WBU196613:WCC196613 WLQ196613:WLY196613 WVM196613:WVU196613 E262149:M262149 JA262149:JI262149 SW262149:TE262149 ACS262149:ADA262149 AMO262149:AMW262149 AWK262149:AWS262149 BGG262149:BGO262149 BQC262149:BQK262149 BZY262149:CAG262149 CJU262149:CKC262149 CTQ262149:CTY262149 DDM262149:DDU262149 DNI262149:DNQ262149 DXE262149:DXM262149 EHA262149:EHI262149 EQW262149:ERE262149 FAS262149:FBA262149 FKO262149:FKW262149 FUK262149:FUS262149 GEG262149:GEO262149 GOC262149:GOK262149 GXY262149:GYG262149 HHU262149:HIC262149 HRQ262149:HRY262149 IBM262149:IBU262149 ILI262149:ILQ262149 IVE262149:IVM262149 JFA262149:JFI262149 JOW262149:JPE262149 JYS262149:JZA262149 KIO262149:KIW262149 KSK262149:KSS262149 LCG262149:LCO262149 LMC262149:LMK262149 LVY262149:LWG262149 MFU262149:MGC262149 MPQ262149:MPY262149 MZM262149:MZU262149 NJI262149:NJQ262149 NTE262149:NTM262149 ODA262149:ODI262149 OMW262149:ONE262149 OWS262149:OXA262149 PGO262149:PGW262149 PQK262149:PQS262149 QAG262149:QAO262149 QKC262149:QKK262149 QTY262149:QUG262149 RDU262149:REC262149 RNQ262149:RNY262149 RXM262149:RXU262149 SHI262149:SHQ262149 SRE262149:SRM262149 TBA262149:TBI262149 TKW262149:TLE262149 TUS262149:TVA262149 UEO262149:UEW262149 UOK262149:UOS262149 UYG262149:UYO262149 VIC262149:VIK262149 VRY262149:VSG262149 WBU262149:WCC262149 WLQ262149:WLY262149 WVM262149:WVU262149 E327685:M327685 JA327685:JI327685 SW327685:TE327685 ACS327685:ADA327685 AMO327685:AMW327685 AWK327685:AWS327685 BGG327685:BGO327685 BQC327685:BQK327685 BZY327685:CAG327685 CJU327685:CKC327685 CTQ327685:CTY327685 DDM327685:DDU327685 DNI327685:DNQ327685 DXE327685:DXM327685 EHA327685:EHI327685 EQW327685:ERE327685 FAS327685:FBA327685 FKO327685:FKW327685 FUK327685:FUS327685 GEG327685:GEO327685 GOC327685:GOK327685 GXY327685:GYG327685 HHU327685:HIC327685 HRQ327685:HRY327685 IBM327685:IBU327685 ILI327685:ILQ327685 IVE327685:IVM327685 JFA327685:JFI327685 JOW327685:JPE327685 JYS327685:JZA327685 KIO327685:KIW327685 KSK327685:KSS327685 LCG327685:LCO327685 LMC327685:LMK327685 LVY327685:LWG327685 MFU327685:MGC327685 MPQ327685:MPY327685 MZM327685:MZU327685 NJI327685:NJQ327685 NTE327685:NTM327685 ODA327685:ODI327685 OMW327685:ONE327685 OWS327685:OXA327685 PGO327685:PGW327685 PQK327685:PQS327685 QAG327685:QAO327685 QKC327685:QKK327685 QTY327685:QUG327685 RDU327685:REC327685 RNQ327685:RNY327685 RXM327685:RXU327685 SHI327685:SHQ327685 SRE327685:SRM327685 TBA327685:TBI327685 TKW327685:TLE327685 TUS327685:TVA327685 UEO327685:UEW327685 UOK327685:UOS327685 UYG327685:UYO327685 VIC327685:VIK327685 VRY327685:VSG327685 WBU327685:WCC327685 WLQ327685:WLY327685 WVM327685:WVU327685 E393221:M393221 JA393221:JI393221 SW393221:TE393221 ACS393221:ADA393221 AMO393221:AMW393221 AWK393221:AWS393221 BGG393221:BGO393221 BQC393221:BQK393221 BZY393221:CAG393221 CJU393221:CKC393221 CTQ393221:CTY393221 DDM393221:DDU393221 DNI393221:DNQ393221 DXE393221:DXM393221 EHA393221:EHI393221 EQW393221:ERE393221 FAS393221:FBA393221 FKO393221:FKW393221 FUK393221:FUS393221 GEG393221:GEO393221 GOC393221:GOK393221 GXY393221:GYG393221 HHU393221:HIC393221 HRQ393221:HRY393221 IBM393221:IBU393221 ILI393221:ILQ393221 IVE393221:IVM393221 JFA393221:JFI393221 JOW393221:JPE393221 JYS393221:JZA393221 KIO393221:KIW393221 KSK393221:KSS393221 LCG393221:LCO393221 LMC393221:LMK393221 LVY393221:LWG393221 MFU393221:MGC393221 MPQ393221:MPY393221 MZM393221:MZU393221 NJI393221:NJQ393221 NTE393221:NTM393221 ODA393221:ODI393221 OMW393221:ONE393221 OWS393221:OXA393221 PGO393221:PGW393221 PQK393221:PQS393221 QAG393221:QAO393221 QKC393221:QKK393221 QTY393221:QUG393221 RDU393221:REC393221 RNQ393221:RNY393221 RXM393221:RXU393221 SHI393221:SHQ393221 SRE393221:SRM393221 TBA393221:TBI393221 TKW393221:TLE393221 TUS393221:TVA393221 UEO393221:UEW393221 UOK393221:UOS393221 UYG393221:UYO393221 VIC393221:VIK393221 VRY393221:VSG393221 WBU393221:WCC393221 WLQ393221:WLY393221 WVM393221:WVU393221 E458757:M458757 JA458757:JI458757 SW458757:TE458757 ACS458757:ADA458757 AMO458757:AMW458757 AWK458757:AWS458757 BGG458757:BGO458757 BQC458757:BQK458757 BZY458757:CAG458757 CJU458757:CKC458757 CTQ458757:CTY458757 DDM458757:DDU458757 DNI458757:DNQ458757 DXE458757:DXM458757 EHA458757:EHI458757 EQW458757:ERE458757 FAS458757:FBA458757 FKO458757:FKW458757 FUK458757:FUS458757 GEG458757:GEO458757 GOC458757:GOK458757 GXY458757:GYG458757 HHU458757:HIC458757 HRQ458757:HRY458757 IBM458757:IBU458757 ILI458757:ILQ458757 IVE458757:IVM458757 JFA458757:JFI458757 JOW458757:JPE458757 JYS458757:JZA458757 KIO458757:KIW458757 KSK458757:KSS458757 LCG458757:LCO458757 LMC458757:LMK458757 LVY458757:LWG458757 MFU458757:MGC458757 MPQ458757:MPY458757 MZM458757:MZU458757 NJI458757:NJQ458757 NTE458757:NTM458757 ODA458757:ODI458757 OMW458757:ONE458757 OWS458757:OXA458757 PGO458757:PGW458757 PQK458757:PQS458757 QAG458757:QAO458757 QKC458757:QKK458757 QTY458757:QUG458757 RDU458757:REC458757 RNQ458757:RNY458757 RXM458757:RXU458757 SHI458757:SHQ458757 SRE458757:SRM458757 TBA458757:TBI458757 TKW458757:TLE458757 TUS458757:TVA458757 UEO458757:UEW458757 UOK458757:UOS458757 UYG458757:UYO458757 VIC458757:VIK458757 VRY458757:VSG458757 WBU458757:WCC458757 WLQ458757:WLY458757 WVM458757:WVU458757 E524293:M524293 JA524293:JI524293 SW524293:TE524293 ACS524293:ADA524293 AMO524293:AMW524293 AWK524293:AWS524293 BGG524293:BGO524293 BQC524293:BQK524293 BZY524293:CAG524293 CJU524293:CKC524293 CTQ524293:CTY524293 DDM524293:DDU524293 DNI524293:DNQ524293 DXE524293:DXM524293 EHA524293:EHI524293 EQW524293:ERE524293 FAS524293:FBA524293 FKO524293:FKW524293 FUK524293:FUS524293 GEG524293:GEO524293 GOC524293:GOK524293 GXY524293:GYG524293 HHU524293:HIC524293 HRQ524293:HRY524293 IBM524293:IBU524293 ILI524293:ILQ524293 IVE524293:IVM524293 JFA524293:JFI524293 JOW524293:JPE524293 JYS524293:JZA524293 KIO524293:KIW524293 KSK524293:KSS524293 LCG524293:LCO524293 LMC524293:LMK524293 LVY524293:LWG524293 MFU524293:MGC524293 MPQ524293:MPY524293 MZM524293:MZU524293 NJI524293:NJQ524293 NTE524293:NTM524293 ODA524293:ODI524293 OMW524293:ONE524293 OWS524293:OXA524293 PGO524293:PGW524293 PQK524293:PQS524293 QAG524293:QAO524293 QKC524293:QKK524293 QTY524293:QUG524293 RDU524293:REC524293 RNQ524293:RNY524293 RXM524293:RXU524293 SHI524293:SHQ524293 SRE524293:SRM524293 TBA524293:TBI524293 TKW524293:TLE524293 TUS524293:TVA524293 UEO524293:UEW524293 UOK524293:UOS524293 UYG524293:UYO524293 VIC524293:VIK524293 VRY524293:VSG524293 WBU524293:WCC524293 WLQ524293:WLY524293 WVM524293:WVU524293 E589829:M589829 JA589829:JI589829 SW589829:TE589829 ACS589829:ADA589829 AMO589829:AMW589829 AWK589829:AWS589829 BGG589829:BGO589829 BQC589829:BQK589829 BZY589829:CAG589829 CJU589829:CKC589829 CTQ589829:CTY589829 DDM589829:DDU589829 DNI589829:DNQ589829 DXE589829:DXM589829 EHA589829:EHI589829 EQW589829:ERE589829 FAS589829:FBA589829 FKO589829:FKW589829 FUK589829:FUS589829 GEG589829:GEO589829 GOC589829:GOK589829 GXY589829:GYG589829 HHU589829:HIC589829 HRQ589829:HRY589829 IBM589829:IBU589829 ILI589829:ILQ589829 IVE589829:IVM589829 JFA589829:JFI589829 JOW589829:JPE589829 JYS589829:JZA589829 KIO589829:KIW589829 KSK589829:KSS589829 LCG589829:LCO589829 LMC589829:LMK589829 LVY589829:LWG589829 MFU589829:MGC589829 MPQ589829:MPY589829 MZM589829:MZU589829 NJI589829:NJQ589829 NTE589829:NTM589829 ODA589829:ODI589829 OMW589829:ONE589829 OWS589829:OXA589829 PGO589829:PGW589829 PQK589829:PQS589829 QAG589829:QAO589829 QKC589829:QKK589829 QTY589829:QUG589829 RDU589829:REC589829 RNQ589829:RNY589829 RXM589829:RXU589829 SHI589829:SHQ589829 SRE589829:SRM589829 TBA589829:TBI589829 TKW589829:TLE589829 TUS589829:TVA589829 UEO589829:UEW589829 UOK589829:UOS589829 UYG589829:UYO589829 VIC589829:VIK589829 VRY589829:VSG589829 WBU589829:WCC589829 WLQ589829:WLY589829 WVM589829:WVU589829 E655365:M655365 JA655365:JI655365 SW655365:TE655365 ACS655365:ADA655365 AMO655365:AMW655365 AWK655365:AWS655365 BGG655365:BGO655365 BQC655365:BQK655365 BZY655365:CAG655365 CJU655365:CKC655365 CTQ655365:CTY655365 DDM655365:DDU655365 DNI655365:DNQ655365 DXE655365:DXM655365 EHA655365:EHI655365 EQW655365:ERE655365 FAS655365:FBA655365 FKO655365:FKW655365 FUK655365:FUS655365 GEG655365:GEO655365 GOC655365:GOK655365 GXY655365:GYG655365 HHU655365:HIC655365 HRQ655365:HRY655365 IBM655365:IBU655365 ILI655365:ILQ655365 IVE655365:IVM655365 JFA655365:JFI655365 JOW655365:JPE655365 JYS655365:JZA655365 KIO655365:KIW655365 KSK655365:KSS655365 LCG655365:LCO655365 LMC655365:LMK655365 LVY655365:LWG655365 MFU655365:MGC655365 MPQ655365:MPY655365 MZM655365:MZU655365 NJI655365:NJQ655365 NTE655365:NTM655365 ODA655365:ODI655365 OMW655365:ONE655365 OWS655365:OXA655365 PGO655365:PGW655365 PQK655365:PQS655365 QAG655365:QAO655365 QKC655365:QKK655365 QTY655365:QUG655365 RDU655365:REC655365 RNQ655365:RNY655365 RXM655365:RXU655365 SHI655365:SHQ655365 SRE655365:SRM655365 TBA655365:TBI655365 TKW655365:TLE655365 TUS655365:TVA655365 UEO655365:UEW655365 UOK655365:UOS655365 UYG655365:UYO655365 VIC655365:VIK655365 VRY655365:VSG655365 WBU655365:WCC655365 WLQ655365:WLY655365 WVM655365:WVU655365 E720901:M720901 JA720901:JI720901 SW720901:TE720901 ACS720901:ADA720901 AMO720901:AMW720901 AWK720901:AWS720901 BGG720901:BGO720901 BQC720901:BQK720901 BZY720901:CAG720901 CJU720901:CKC720901 CTQ720901:CTY720901 DDM720901:DDU720901 DNI720901:DNQ720901 DXE720901:DXM720901 EHA720901:EHI720901 EQW720901:ERE720901 FAS720901:FBA720901 FKO720901:FKW720901 FUK720901:FUS720901 GEG720901:GEO720901 GOC720901:GOK720901 GXY720901:GYG720901 HHU720901:HIC720901 HRQ720901:HRY720901 IBM720901:IBU720901 ILI720901:ILQ720901 IVE720901:IVM720901 JFA720901:JFI720901 JOW720901:JPE720901 JYS720901:JZA720901 KIO720901:KIW720901 KSK720901:KSS720901 LCG720901:LCO720901 LMC720901:LMK720901 LVY720901:LWG720901 MFU720901:MGC720901 MPQ720901:MPY720901 MZM720901:MZU720901 NJI720901:NJQ720901 NTE720901:NTM720901 ODA720901:ODI720901 OMW720901:ONE720901 OWS720901:OXA720901 PGO720901:PGW720901 PQK720901:PQS720901 QAG720901:QAO720901 QKC720901:QKK720901 QTY720901:QUG720901 RDU720901:REC720901 RNQ720901:RNY720901 RXM720901:RXU720901 SHI720901:SHQ720901 SRE720901:SRM720901 TBA720901:TBI720901 TKW720901:TLE720901 TUS720901:TVA720901 UEO720901:UEW720901 UOK720901:UOS720901 UYG720901:UYO720901 VIC720901:VIK720901 VRY720901:VSG720901 WBU720901:WCC720901 WLQ720901:WLY720901 WVM720901:WVU720901 E786437:M786437 JA786437:JI786437 SW786437:TE786437 ACS786437:ADA786437 AMO786437:AMW786437 AWK786437:AWS786437 BGG786437:BGO786437 BQC786437:BQK786437 BZY786437:CAG786437 CJU786437:CKC786437 CTQ786437:CTY786437 DDM786437:DDU786437 DNI786437:DNQ786437 DXE786437:DXM786437 EHA786437:EHI786437 EQW786437:ERE786437 FAS786437:FBA786437 FKO786437:FKW786437 FUK786437:FUS786437 GEG786437:GEO786437 GOC786437:GOK786437 GXY786437:GYG786437 HHU786437:HIC786437 HRQ786437:HRY786437 IBM786437:IBU786437 ILI786437:ILQ786437 IVE786437:IVM786437 JFA786437:JFI786437 JOW786437:JPE786437 JYS786437:JZA786437 KIO786437:KIW786437 KSK786437:KSS786437 LCG786437:LCO786437 LMC786437:LMK786437 LVY786437:LWG786437 MFU786437:MGC786437 MPQ786437:MPY786437 MZM786437:MZU786437 NJI786437:NJQ786437 NTE786437:NTM786437 ODA786437:ODI786437 OMW786437:ONE786437 OWS786437:OXA786437 PGO786437:PGW786437 PQK786437:PQS786437 QAG786437:QAO786437 QKC786437:QKK786437 QTY786437:QUG786437 RDU786437:REC786437 RNQ786437:RNY786437 RXM786437:RXU786437 SHI786437:SHQ786437 SRE786437:SRM786437 TBA786437:TBI786437 TKW786437:TLE786437 TUS786437:TVA786437 UEO786437:UEW786437 UOK786437:UOS786437 UYG786437:UYO786437 VIC786437:VIK786437 VRY786437:VSG786437 WBU786437:WCC786437 WLQ786437:WLY786437 WVM786437:WVU786437 E851973:M851973 JA851973:JI851973 SW851973:TE851973 ACS851973:ADA851973 AMO851973:AMW851973 AWK851973:AWS851973 BGG851973:BGO851973 BQC851973:BQK851973 BZY851973:CAG851973 CJU851973:CKC851973 CTQ851973:CTY851973 DDM851973:DDU851973 DNI851973:DNQ851973 DXE851973:DXM851973 EHA851973:EHI851973 EQW851973:ERE851973 FAS851973:FBA851973 FKO851973:FKW851973 FUK851973:FUS851973 GEG851973:GEO851973 GOC851973:GOK851973 GXY851973:GYG851973 HHU851973:HIC851973 HRQ851973:HRY851973 IBM851973:IBU851973 ILI851973:ILQ851973 IVE851973:IVM851973 JFA851973:JFI851973 JOW851973:JPE851973 JYS851973:JZA851973 KIO851973:KIW851973 KSK851973:KSS851973 LCG851973:LCO851973 LMC851973:LMK851973 LVY851973:LWG851973 MFU851973:MGC851973 MPQ851973:MPY851973 MZM851973:MZU851973 NJI851973:NJQ851973 NTE851973:NTM851973 ODA851973:ODI851973 OMW851973:ONE851973 OWS851973:OXA851973 PGO851973:PGW851973 PQK851973:PQS851973 QAG851973:QAO851973 QKC851973:QKK851973 QTY851973:QUG851973 RDU851973:REC851973 RNQ851973:RNY851973 RXM851973:RXU851973 SHI851973:SHQ851973 SRE851973:SRM851973 TBA851973:TBI851973 TKW851973:TLE851973 TUS851973:TVA851973 UEO851973:UEW851973 UOK851973:UOS851973 UYG851973:UYO851973 VIC851973:VIK851973 VRY851973:VSG851973 WBU851973:WCC851973 WLQ851973:WLY851973 WVM851973:WVU851973 E917509:M917509 JA917509:JI917509 SW917509:TE917509 ACS917509:ADA917509 AMO917509:AMW917509 AWK917509:AWS917509 BGG917509:BGO917509 BQC917509:BQK917509 BZY917509:CAG917509 CJU917509:CKC917509 CTQ917509:CTY917509 DDM917509:DDU917509 DNI917509:DNQ917509 DXE917509:DXM917509 EHA917509:EHI917509 EQW917509:ERE917509 FAS917509:FBA917509 FKO917509:FKW917509 FUK917509:FUS917509 GEG917509:GEO917509 GOC917509:GOK917509 GXY917509:GYG917509 HHU917509:HIC917509 HRQ917509:HRY917509 IBM917509:IBU917509 ILI917509:ILQ917509 IVE917509:IVM917509 JFA917509:JFI917509 JOW917509:JPE917509 JYS917509:JZA917509 KIO917509:KIW917509 KSK917509:KSS917509 LCG917509:LCO917509 LMC917509:LMK917509 LVY917509:LWG917509 MFU917509:MGC917509 MPQ917509:MPY917509 MZM917509:MZU917509 NJI917509:NJQ917509 NTE917509:NTM917509 ODA917509:ODI917509 OMW917509:ONE917509 OWS917509:OXA917509 PGO917509:PGW917509 PQK917509:PQS917509 QAG917509:QAO917509 QKC917509:QKK917509 QTY917509:QUG917509 RDU917509:REC917509 RNQ917509:RNY917509 RXM917509:RXU917509 SHI917509:SHQ917509 SRE917509:SRM917509 TBA917509:TBI917509 TKW917509:TLE917509 TUS917509:TVA917509 UEO917509:UEW917509 UOK917509:UOS917509 UYG917509:UYO917509 VIC917509:VIK917509 VRY917509:VSG917509 WBU917509:WCC917509 WLQ917509:WLY917509 WVM917509:WVU917509 E983045:M983045 JA983045:JI983045 SW983045:TE983045 ACS983045:ADA983045 AMO983045:AMW983045 AWK983045:AWS983045 BGG983045:BGO983045 BQC983045:BQK983045 BZY983045:CAG983045 CJU983045:CKC983045 CTQ983045:CTY983045 DDM983045:DDU983045 DNI983045:DNQ983045 DXE983045:DXM983045 EHA983045:EHI983045 EQW983045:ERE983045 FAS983045:FBA983045 FKO983045:FKW983045 FUK983045:FUS983045 GEG983045:GEO983045 GOC983045:GOK983045 GXY983045:GYG983045 HHU983045:HIC983045 HRQ983045:HRY983045 IBM983045:IBU983045 ILI983045:ILQ983045 IVE983045:IVM983045 JFA983045:JFI983045 JOW983045:JPE983045 JYS983045:JZA983045 KIO983045:KIW983045 KSK983045:KSS983045 LCG983045:LCO983045 LMC983045:LMK983045 LVY983045:LWG983045 MFU983045:MGC983045 MPQ983045:MPY983045 MZM983045:MZU983045 NJI983045:NJQ983045 NTE983045:NTM983045 ODA983045:ODI983045 OMW983045:ONE983045 OWS983045:OXA983045 PGO983045:PGW983045 PQK983045:PQS983045 QAG983045:QAO983045 QKC983045:QKK983045 QTY983045:QUG983045 RDU983045:REC983045 RNQ983045:RNY983045 RXM983045:RXU983045 SHI983045:SHQ983045 SRE983045:SRM983045 TBA983045:TBI983045 TKW983045:TLE983045 TUS983045:TVA983045 UEO983045:UEW983045 UOK983045:UOS983045 UYG983045:UYO983045 VIC983045:VIK983045 VRY983045:VSG983045 WBU983045:WCC983045 WLQ983045:WLY983045 WVM983045:WVU983045">
      <formula1>$V$3:$V$9</formula1>
    </dataValidation>
    <dataValidation type="list" allowBlank="1" showInputMessage="1" showErrorMessage="1" promptTitle="CAMPO PREDETERMINADO" prompt="Por favor seleccione el área o Seccional de la lista desplegable!" sqref="C3:M3 IY3:JI3 SU3:TE3 ACQ3:ADA3 AMM3:AMW3 AWI3:AWS3 BGE3:BGO3 BQA3:BQK3 BZW3:CAG3 CJS3:CKC3 CTO3:CTY3 DDK3:DDU3 DNG3:DNQ3 DXC3:DXM3 EGY3:EHI3 EQU3:ERE3 FAQ3:FBA3 FKM3:FKW3 FUI3:FUS3 GEE3:GEO3 GOA3:GOK3 GXW3:GYG3 HHS3:HIC3 HRO3:HRY3 IBK3:IBU3 ILG3:ILQ3 IVC3:IVM3 JEY3:JFI3 JOU3:JPE3 JYQ3:JZA3 KIM3:KIW3 KSI3:KSS3 LCE3:LCO3 LMA3:LMK3 LVW3:LWG3 MFS3:MGC3 MPO3:MPY3 MZK3:MZU3 NJG3:NJQ3 NTC3:NTM3 OCY3:ODI3 OMU3:ONE3 OWQ3:OXA3 PGM3:PGW3 PQI3:PQS3 QAE3:QAO3 QKA3:QKK3 QTW3:QUG3 RDS3:REC3 RNO3:RNY3 RXK3:RXU3 SHG3:SHQ3 SRC3:SRM3 TAY3:TBI3 TKU3:TLE3 TUQ3:TVA3 UEM3:UEW3 UOI3:UOS3 UYE3:UYO3 VIA3:VIK3 VRW3:VSG3 WBS3:WCC3 WLO3:WLY3 WVK3:WVU3 C65539:M65539 IY65539:JI65539 SU65539:TE65539 ACQ65539:ADA65539 AMM65539:AMW65539 AWI65539:AWS65539 BGE65539:BGO65539 BQA65539:BQK65539 BZW65539:CAG65539 CJS65539:CKC65539 CTO65539:CTY65539 DDK65539:DDU65539 DNG65539:DNQ65539 DXC65539:DXM65539 EGY65539:EHI65539 EQU65539:ERE65539 FAQ65539:FBA65539 FKM65539:FKW65539 FUI65539:FUS65539 GEE65539:GEO65539 GOA65539:GOK65539 GXW65539:GYG65539 HHS65539:HIC65539 HRO65539:HRY65539 IBK65539:IBU65539 ILG65539:ILQ65539 IVC65539:IVM65539 JEY65539:JFI65539 JOU65539:JPE65539 JYQ65539:JZA65539 KIM65539:KIW65539 KSI65539:KSS65539 LCE65539:LCO65539 LMA65539:LMK65539 LVW65539:LWG65539 MFS65539:MGC65539 MPO65539:MPY65539 MZK65539:MZU65539 NJG65539:NJQ65539 NTC65539:NTM65539 OCY65539:ODI65539 OMU65539:ONE65539 OWQ65539:OXA65539 PGM65539:PGW65539 PQI65539:PQS65539 QAE65539:QAO65539 QKA65539:QKK65539 QTW65539:QUG65539 RDS65539:REC65539 RNO65539:RNY65539 RXK65539:RXU65539 SHG65539:SHQ65539 SRC65539:SRM65539 TAY65539:TBI65539 TKU65539:TLE65539 TUQ65539:TVA65539 UEM65539:UEW65539 UOI65539:UOS65539 UYE65539:UYO65539 VIA65539:VIK65539 VRW65539:VSG65539 WBS65539:WCC65539 WLO65539:WLY65539 WVK65539:WVU65539 C131075:M131075 IY131075:JI131075 SU131075:TE131075 ACQ131075:ADA131075 AMM131075:AMW131075 AWI131075:AWS131075 BGE131075:BGO131075 BQA131075:BQK131075 BZW131075:CAG131075 CJS131075:CKC131075 CTO131075:CTY131075 DDK131075:DDU131075 DNG131075:DNQ131075 DXC131075:DXM131075 EGY131075:EHI131075 EQU131075:ERE131075 FAQ131075:FBA131075 FKM131075:FKW131075 FUI131075:FUS131075 GEE131075:GEO131075 GOA131075:GOK131075 GXW131075:GYG131075 HHS131075:HIC131075 HRO131075:HRY131075 IBK131075:IBU131075 ILG131075:ILQ131075 IVC131075:IVM131075 JEY131075:JFI131075 JOU131075:JPE131075 JYQ131075:JZA131075 KIM131075:KIW131075 KSI131075:KSS131075 LCE131075:LCO131075 LMA131075:LMK131075 LVW131075:LWG131075 MFS131075:MGC131075 MPO131075:MPY131075 MZK131075:MZU131075 NJG131075:NJQ131075 NTC131075:NTM131075 OCY131075:ODI131075 OMU131075:ONE131075 OWQ131075:OXA131075 PGM131075:PGW131075 PQI131075:PQS131075 QAE131075:QAO131075 QKA131075:QKK131075 QTW131075:QUG131075 RDS131075:REC131075 RNO131075:RNY131075 RXK131075:RXU131075 SHG131075:SHQ131075 SRC131075:SRM131075 TAY131075:TBI131075 TKU131075:TLE131075 TUQ131075:TVA131075 UEM131075:UEW131075 UOI131075:UOS131075 UYE131075:UYO131075 VIA131075:VIK131075 VRW131075:VSG131075 WBS131075:WCC131075 WLO131075:WLY131075 WVK131075:WVU131075 C196611:M196611 IY196611:JI196611 SU196611:TE196611 ACQ196611:ADA196611 AMM196611:AMW196611 AWI196611:AWS196611 BGE196611:BGO196611 BQA196611:BQK196611 BZW196611:CAG196611 CJS196611:CKC196611 CTO196611:CTY196611 DDK196611:DDU196611 DNG196611:DNQ196611 DXC196611:DXM196611 EGY196611:EHI196611 EQU196611:ERE196611 FAQ196611:FBA196611 FKM196611:FKW196611 FUI196611:FUS196611 GEE196611:GEO196611 GOA196611:GOK196611 GXW196611:GYG196611 HHS196611:HIC196611 HRO196611:HRY196611 IBK196611:IBU196611 ILG196611:ILQ196611 IVC196611:IVM196611 JEY196611:JFI196611 JOU196611:JPE196611 JYQ196611:JZA196611 KIM196611:KIW196611 KSI196611:KSS196611 LCE196611:LCO196611 LMA196611:LMK196611 LVW196611:LWG196611 MFS196611:MGC196611 MPO196611:MPY196611 MZK196611:MZU196611 NJG196611:NJQ196611 NTC196611:NTM196611 OCY196611:ODI196611 OMU196611:ONE196611 OWQ196611:OXA196611 PGM196611:PGW196611 PQI196611:PQS196611 QAE196611:QAO196611 QKA196611:QKK196611 QTW196611:QUG196611 RDS196611:REC196611 RNO196611:RNY196611 RXK196611:RXU196611 SHG196611:SHQ196611 SRC196611:SRM196611 TAY196611:TBI196611 TKU196611:TLE196611 TUQ196611:TVA196611 UEM196611:UEW196611 UOI196611:UOS196611 UYE196611:UYO196611 VIA196611:VIK196611 VRW196611:VSG196611 WBS196611:WCC196611 WLO196611:WLY196611 WVK196611:WVU196611 C262147:M262147 IY262147:JI262147 SU262147:TE262147 ACQ262147:ADA262147 AMM262147:AMW262147 AWI262147:AWS262147 BGE262147:BGO262147 BQA262147:BQK262147 BZW262147:CAG262147 CJS262147:CKC262147 CTO262147:CTY262147 DDK262147:DDU262147 DNG262147:DNQ262147 DXC262147:DXM262147 EGY262147:EHI262147 EQU262147:ERE262147 FAQ262147:FBA262147 FKM262147:FKW262147 FUI262147:FUS262147 GEE262147:GEO262147 GOA262147:GOK262147 GXW262147:GYG262147 HHS262147:HIC262147 HRO262147:HRY262147 IBK262147:IBU262147 ILG262147:ILQ262147 IVC262147:IVM262147 JEY262147:JFI262147 JOU262147:JPE262147 JYQ262147:JZA262147 KIM262147:KIW262147 KSI262147:KSS262147 LCE262147:LCO262147 LMA262147:LMK262147 LVW262147:LWG262147 MFS262147:MGC262147 MPO262147:MPY262147 MZK262147:MZU262147 NJG262147:NJQ262147 NTC262147:NTM262147 OCY262147:ODI262147 OMU262147:ONE262147 OWQ262147:OXA262147 PGM262147:PGW262147 PQI262147:PQS262147 QAE262147:QAO262147 QKA262147:QKK262147 QTW262147:QUG262147 RDS262147:REC262147 RNO262147:RNY262147 RXK262147:RXU262147 SHG262147:SHQ262147 SRC262147:SRM262147 TAY262147:TBI262147 TKU262147:TLE262147 TUQ262147:TVA262147 UEM262147:UEW262147 UOI262147:UOS262147 UYE262147:UYO262147 VIA262147:VIK262147 VRW262147:VSG262147 WBS262147:WCC262147 WLO262147:WLY262147 WVK262147:WVU262147 C327683:M327683 IY327683:JI327683 SU327683:TE327683 ACQ327683:ADA327683 AMM327683:AMW327683 AWI327683:AWS327683 BGE327683:BGO327683 BQA327683:BQK327683 BZW327683:CAG327683 CJS327683:CKC327683 CTO327683:CTY327683 DDK327683:DDU327683 DNG327683:DNQ327683 DXC327683:DXM327683 EGY327683:EHI327683 EQU327683:ERE327683 FAQ327683:FBA327683 FKM327683:FKW327683 FUI327683:FUS327683 GEE327683:GEO327683 GOA327683:GOK327683 GXW327683:GYG327683 HHS327683:HIC327683 HRO327683:HRY327683 IBK327683:IBU327683 ILG327683:ILQ327683 IVC327683:IVM327683 JEY327683:JFI327683 JOU327683:JPE327683 JYQ327683:JZA327683 KIM327683:KIW327683 KSI327683:KSS327683 LCE327683:LCO327683 LMA327683:LMK327683 LVW327683:LWG327683 MFS327683:MGC327683 MPO327683:MPY327683 MZK327683:MZU327683 NJG327683:NJQ327683 NTC327683:NTM327683 OCY327683:ODI327683 OMU327683:ONE327683 OWQ327683:OXA327683 PGM327683:PGW327683 PQI327683:PQS327683 QAE327683:QAO327683 QKA327683:QKK327683 QTW327683:QUG327683 RDS327683:REC327683 RNO327683:RNY327683 RXK327683:RXU327683 SHG327683:SHQ327683 SRC327683:SRM327683 TAY327683:TBI327683 TKU327683:TLE327683 TUQ327683:TVA327683 UEM327683:UEW327683 UOI327683:UOS327683 UYE327683:UYO327683 VIA327683:VIK327683 VRW327683:VSG327683 WBS327683:WCC327683 WLO327683:WLY327683 WVK327683:WVU327683 C393219:M393219 IY393219:JI393219 SU393219:TE393219 ACQ393219:ADA393219 AMM393219:AMW393219 AWI393219:AWS393219 BGE393219:BGO393219 BQA393219:BQK393219 BZW393219:CAG393219 CJS393219:CKC393219 CTO393219:CTY393219 DDK393219:DDU393219 DNG393219:DNQ393219 DXC393219:DXM393219 EGY393219:EHI393219 EQU393219:ERE393219 FAQ393219:FBA393219 FKM393219:FKW393219 FUI393219:FUS393219 GEE393219:GEO393219 GOA393219:GOK393219 GXW393219:GYG393219 HHS393219:HIC393219 HRO393219:HRY393219 IBK393219:IBU393219 ILG393219:ILQ393219 IVC393219:IVM393219 JEY393219:JFI393219 JOU393219:JPE393219 JYQ393219:JZA393219 KIM393219:KIW393219 KSI393219:KSS393219 LCE393219:LCO393219 LMA393219:LMK393219 LVW393219:LWG393219 MFS393219:MGC393219 MPO393219:MPY393219 MZK393219:MZU393219 NJG393219:NJQ393219 NTC393219:NTM393219 OCY393219:ODI393219 OMU393219:ONE393219 OWQ393219:OXA393219 PGM393219:PGW393219 PQI393219:PQS393219 QAE393219:QAO393219 QKA393219:QKK393219 QTW393219:QUG393219 RDS393219:REC393219 RNO393219:RNY393219 RXK393219:RXU393219 SHG393219:SHQ393219 SRC393219:SRM393219 TAY393219:TBI393219 TKU393219:TLE393219 TUQ393219:TVA393219 UEM393219:UEW393219 UOI393219:UOS393219 UYE393219:UYO393219 VIA393219:VIK393219 VRW393219:VSG393219 WBS393219:WCC393219 WLO393219:WLY393219 WVK393219:WVU393219 C458755:M458755 IY458755:JI458755 SU458755:TE458755 ACQ458755:ADA458755 AMM458755:AMW458755 AWI458755:AWS458755 BGE458755:BGO458755 BQA458755:BQK458755 BZW458755:CAG458755 CJS458755:CKC458755 CTO458755:CTY458755 DDK458755:DDU458755 DNG458755:DNQ458755 DXC458755:DXM458755 EGY458755:EHI458755 EQU458755:ERE458755 FAQ458755:FBA458755 FKM458755:FKW458755 FUI458755:FUS458755 GEE458755:GEO458755 GOA458755:GOK458755 GXW458755:GYG458755 HHS458755:HIC458755 HRO458755:HRY458755 IBK458755:IBU458755 ILG458755:ILQ458755 IVC458755:IVM458755 JEY458755:JFI458755 JOU458755:JPE458755 JYQ458755:JZA458755 KIM458755:KIW458755 KSI458755:KSS458755 LCE458755:LCO458755 LMA458755:LMK458755 LVW458755:LWG458755 MFS458755:MGC458755 MPO458755:MPY458755 MZK458755:MZU458755 NJG458755:NJQ458755 NTC458755:NTM458755 OCY458755:ODI458755 OMU458755:ONE458755 OWQ458755:OXA458755 PGM458755:PGW458755 PQI458755:PQS458755 QAE458755:QAO458755 QKA458755:QKK458755 QTW458755:QUG458755 RDS458755:REC458755 RNO458755:RNY458755 RXK458755:RXU458755 SHG458755:SHQ458755 SRC458755:SRM458755 TAY458755:TBI458755 TKU458755:TLE458755 TUQ458755:TVA458755 UEM458755:UEW458755 UOI458755:UOS458755 UYE458755:UYO458755 VIA458755:VIK458755 VRW458755:VSG458755 WBS458755:WCC458755 WLO458755:WLY458755 WVK458755:WVU458755 C524291:M524291 IY524291:JI524291 SU524291:TE524291 ACQ524291:ADA524291 AMM524291:AMW524291 AWI524291:AWS524291 BGE524291:BGO524291 BQA524291:BQK524291 BZW524291:CAG524291 CJS524291:CKC524291 CTO524291:CTY524291 DDK524291:DDU524291 DNG524291:DNQ524291 DXC524291:DXM524291 EGY524291:EHI524291 EQU524291:ERE524291 FAQ524291:FBA524291 FKM524291:FKW524291 FUI524291:FUS524291 GEE524291:GEO524291 GOA524291:GOK524291 GXW524291:GYG524291 HHS524291:HIC524291 HRO524291:HRY524291 IBK524291:IBU524291 ILG524291:ILQ524291 IVC524291:IVM524291 JEY524291:JFI524291 JOU524291:JPE524291 JYQ524291:JZA524291 KIM524291:KIW524291 KSI524291:KSS524291 LCE524291:LCO524291 LMA524291:LMK524291 LVW524291:LWG524291 MFS524291:MGC524291 MPO524291:MPY524291 MZK524291:MZU524291 NJG524291:NJQ524291 NTC524291:NTM524291 OCY524291:ODI524291 OMU524291:ONE524291 OWQ524291:OXA524291 PGM524291:PGW524291 PQI524291:PQS524291 QAE524291:QAO524291 QKA524291:QKK524291 QTW524291:QUG524291 RDS524291:REC524291 RNO524291:RNY524291 RXK524291:RXU524291 SHG524291:SHQ524291 SRC524291:SRM524291 TAY524291:TBI524291 TKU524291:TLE524291 TUQ524291:TVA524291 UEM524291:UEW524291 UOI524291:UOS524291 UYE524291:UYO524291 VIA524291:VIK524291 VRW524291:VSG524291 WBS524291:WCC524291 WLO524291:WLY524291 WVK524291:WVU524291 C589827:M589827 IY589827:JI589827 SU589827:TE589827 ACQ589827:ADA589827 AMM589827:AMW589827 AWI589827:AWS589827 BGE589827:BGO589827 BQA589827:BQK589827 BZW589827:CAG589827 CJS589827:CKC589827 CTO589827:CTY589827 DDK589827:DDU589827 DNG589827:DNQ589827 DXC589827:DXM589827 EGY589827:EHI589827 EQU589827:ERE589827 FAQ589827:FBA589827 FKM589827:FKW589827 FUI589827:FUS589827 GEE589827:GEO589827 GOA589827:GOK589827 GXW589827:GYG589827 HHS589827:HIC589827 HRO589827:HRY589827 IBK589827:IBU589827 ILG589827:ILQ589827 IVC589827:IVM589827 JEY589827:JFI589827 JOU589827:JPE589827 JYQ589827:JZA589827 KIM589827:KIW589827 KSI589827:KSS589827 LCE589827:LCO589827 LMA589827:LMK589827 LVW589827:LWG589827 MFS589827:MGC589827 MPO589827:MPY589827 MZK589827:MZU589827 NJG589827:NJQ589827 NTC589827:NTM589827 OCY589827:ODI589827 OMU589827:ONE589827 OWQ589827:OXA589827 PGM589827:PGW589827 PQI589827:PQS589827 QAE589827:QAO589827 QKA589827:QKK589827 QTW589827:QUG589827 RDS589827:REC589827 RNO589827:RNY589827 RXK589827:RXU589827 SHG589827:SHQ589827 SRC589827:SRM589827 TAY589827:TBI589827 TKU589827:TLE589827 TUQ589827:TVA589827 UEM589827:UEW589827 UOI589827:UOS589827 UYE589827:UYO589827 VIA589827:VIK589827 VRW589827:VSG589827 WBS589827:WCC589827 WLO589827:WLY589827 WVK589827:WVU589827 C655363:M655363 IY655363:JI655363 SU655363:TE655363 ACQ655363:ADA655363 AMM655363:AMW655363 AWI655363:AWS655363 BGE655363:BGO655363 BQA655363:BQK655363 BZW655363:CAG655363 CJS655363:CKC655363 CTO655363:CTY655363 DDK655363:DDU655363 DNG655363:DNQ655363 DXC655363:DXM655363 EGY655363:EHI655363 EQU655363:ERE655363 FAQ655363:FBA655363 FKM655363:FKW655363 FUI655363:FUS655363 GEE655363:GEO655363 GOA655363:GOK655363 GXW655363:GYG655363 HHS655363:HIC655363 HRO655363:HRY655363 IBK655363:IBU655363 ILG655363:ILQ655363 IVC655363:IVM655363 JEY655363:JFI655363 JOU655363:JPE655363 JYQ655363:JZA655363 KIM655363:KIW655363 KSI655363:KSS655363 LCE655363:LCO655363 LMA655363:LMK655363 LVW655363:LWG655363 MFS655363:MGC655363 MPO655363:MPY655363 MZK655363:MZU655363 NJG655363:NJQ655363 NTC655363:NTM655363 OCY655363:ODI655363 OMU655363:ONE655363 OWQ655363:OXA655363 PGM655363:PGW655363 PQI655363:PQS655363 QAE655363:QAO655363 QKA655363:QKK655363 QTW655363:QUG655363 RDS655363:REC655363 RNO655363:RNY655363 RXK655363:RXU655363 SHG655363:SHQ655363 SRC655363:SRM655363 TAY655363:TBI655363 TKU655363:TLE655363 TUQ655363:TVA655363 UEM655363:UEW655363 UOI655363:UOS655363 UYE655363:UYO655363 VIA655363:VIK655363 VRW655363:VSG655363 WBS655363:WCC655363 WLO655363:WLY655363 WVK655363:WVU655363 C720899:M720899 IY720899:JI720899 SU720899:TE720899 ACQ720899:ADA720899 AMM720899:AMW720899 AWI720899:AWS720899 BGE720899:BGO720899 BQA720899:BQK720899 BZW720899:CAG720899 CJS720899:CKC720899 CTO720899:CTY720899 DDK720899:DDU720899 DNG720899:DNQ720899 DXC720899:DXM720899 EGY720899:EHI720899 EQU720899:ERE720899 FAQ720899:FBA720899 FKM720899:FKW720899 FUI720899:FUS720899 GEE720899:GEO720899 GOA720899:GOK720899 GXW720899:GYG720899 HHS720899:HIC720899 HRO720899:HRY720899 IBK720899:IBU720899 ILG720899:ILQ720899 IVC720899:IVM720899 JEY720899:JFI720899 JOU720899:JPE720899 JYQ720899:JZA720899 KIM720899:KIW720899 KSI720899:KSS720899 LCE720899:LCO720899 LMA720899:LMK720899 LVW720899:LWG720899 MFS720899:MGC720899 MPO720899:MPY720899 MZK720899:MZU720899 NJG720899:NJQ720899 NTC720899:NTM720899 OCY720899:ODI720899 OMU720899:ONE720899 OWQ720899:OXA720899 PGM720899:PGW720899 PQI720899:PQS720899 QAE720899:QAO720899 QKA720899:QKK720899 QTW720899:QUG720899 RDS720899:REC720899 RNO720899:RNY720899 RXK720899:RXU720899 SHG720899:SHQ720899 SRC720899:SRM720899 TAY720899:TBI720899 TKU720899:TLE720899 TUQ720899:TVA720899 UEM720899:UEW720899 UOI720899:UOS720899 UYE720899:UYO720899 VIA720899:VIK720899 VRW720899:VSG720899 WBS720899:WCC720899 WLO720899:WLY720899 WVK720899:WVU720899 C786435:M786435 IY786435:JI786435 SU786435:TE786435 ACQ786435:ADA786435 AMM786435:AMW786435 AWI786435:AWS786435 BGE786435:BGO786435 BQA786435:BQK786435 BZW786435:CAG786435 CJS786435:CKC786435 CTO786435:CTY786435 DDK786435:DDU786435 DNG786435:DNQ786435 DXC786435:DXM786435 EGY786435:EHI786435 EQU786435:ERE786435 FAQ786435:FBA786435 FKM786435:FKW786435 FUI786435:FUS786435 GEE786435:GEO786435 GOA786435:GOK786435 GXW786435:GYG786435 HHS786435:HIC786435 HRO786435:HRY786435 IBK786435:IBU786435 ILG786435:ILQ786435 IVC786435:IVM786435 JEY786435:JFI786435 JOU786435:JPE786435 JYQ786435:JZA786435 KIM786435:KIW786435 KSI786435:KSS786435 LCE786435:LCO786435 LMA786435:LMK786435 LVW786435:LWG786435 MFS786435:MGC786435 MPO786435:MPY786435 MZK786435:MZU786435 NJG786435:NJQ786435 NTC786435:NTM786435 OCY786435:ODI786435 OMU786435:ONE786435 OWQ786435:OXA786435 PGM786435:PGW786435 PQI786435:PQS786435 QAE786435:QAO786435 QKA786435:QKK786435 QTW786435:QUG786435 RDS786435:REC786435 RNO786435:RNY786435 RXK786435:RXU786435 SHG786435:SHQ786435 SRC786435:SRM786435 TAY786435:TBI786435 TKU786435:TLE786435 TUQ786435:TVA786435 UEM786435:UEW786435 UOI786435:UOS786435 UYE786435:UYO786435 VIA786435:VIK786435 VRW786435:VSG786435 WBS786435:WCC786435 WLO786435:WLY786435 WVK786435:WVU786435 C851971:M851971 IY851971:JI851971 SU851971:TE851971 ACQ851971:ADA851971 AMM851971:AMW851971 AWI851971:AWS851971 BGE851971:BGO851971 BQA851971:BQK851971 BZW851971:CAG851971 CJS851971:CKC851971 CTO851971:CTY851971 DDK851971:DDU851971 DNG851971:DNQ851971 DXC851971:DXM851971 EGY851971:EHI851971 EQU851971:ERE851971 FAQ851971:FBA851971 FKM851971:FKW851971 FUI851971:FUS851971 GEE851971:GEO851971 GOA851971:GOK851971 GXW851971:GYG851971 HHS851971:HIC851971 HRO851971:HRY851971 IBK851971:IBU851971 ILG851971:ILQ851971 IVC851971:IVM851971 JEY851971:JFI851971 JOU851971:JPE851971 JYQ851971:JZA851971 KIM851971:KIW851971 KSI851971:KSS851971 LCE851971:LCO851971 LMA851971:LMK851971 LVW851971:LWG851971 MFS851971:MGC851971 MPO851971:MPY851971 MZK851971:MZU851971 NJG851971:NJQ851971 NTC851971:NTM851971 OCY851971:ODI851971 OMU851971:ONE851971 OWQ851971:OXA851971 PGM851971:PGW851971 PQI851971:PQS851971 QAE851971:QAO851971 QKA851971:QKK851971 QTW851971:QUG851971 RDS851971:REC851971 RNO851971:RNY851971 RXK851971:RXU851971 SHG851971:SHQ851971 SRC851971:SRM851971 TAY851971:TBI851971 TKU851971:TLE851971 TUQ851971:TVA851971 UEM851971:UEW851971 UOI851971:UOS851971 UYE851971:UYO851971 VIA851971:VIK851971 VRW851971:VSG851971 WBS851971:WCC851971 WLO851971:WLY851971 WVK851971:WVU851971 C917507:M917507 IY917507:JI917507 SU917507:TE917507 ACQ917507:ADA917507 AMM917507:AMW917507 AWI917507:AWS917507 BGE917507:BGO917507 BQA917507:BQK917507 BZW917507:CAG917507 CJS917507:CKC917507 CTO917507:CTY917507 DDK917507:DDU917507 DNG917507:DNQ917507 DXC917507:DXM917507 EGY917507:EHI917507 EQU917507:ERE917507 FAQ917507:FBA917507 FKM917507:FKW917507 FUI917507:FUS917507 GEE917507:GEO917507 GOA917507:GOK917507 GXW917507:GYG917507 HHS917507:HIC917507 HRO917507:HRY917507 IBK917507:IBU917507 ILG917507:ILQ917507 IVC917507:IVM917507 JEY917507:JFI917507 JOU917507:JPE917507 JYQ917507:JZA917507 KIM917507:KIW917507 KSI917507:KSS917507 LCE917507:LCO917507 LMA917507:LMK917507 LVW917507:LWG917507 MFS917507:MGC917507 MPO917507:MPY917507 MZK917507:MZU917507 NJG917507:NJQ917507 NTC917507:NTM917507 OCY917507:ODI917507 OMU917507:ONE917507 OWQ917507:OXA917507 PGM917507:PGW917507 PQI917507:PQS917507 QAE917507:QAO917507 QKA917507:QKK917507 QTW917507:QUG917507 RDS917507:REC917507 RNO917507:RNY917507 RXK917507:RXU917507 SHG917507:SHQ917507 SRC917507:SRM917507 TAY917507:TBI917507 TKU917507:TLE917507 TUQ917507:TVA917507 UEM917507:UEW917507 UOI917507:UOS917507 UYE917507:UYO917507 VIA917507:VIK917507 VRW917507:VSG917507 WBS917507:WCC917507 WLO917507:WLY917507 WVK917507:WVU917507 C983043:M983043 IY983043:JI983043 SU983043:TE983043 ACQ983043:ADA983043 AMM983043:AMW983043 AWI983043:AWS983043 BGE983043:BGO983043 BQA983043:BQK983043 BZW983043:CAG983043 CJS983043:CKC983043 CTO983043:CTY983043 DDK983043:DDU983043 DNG983043:DNQ983043 DXC983043:DXM983043 EGY983043:EHI983043 EQU983043:ERE983043 FAQ983043:FBA983043 FKM983043:FKW983043 FUI983043:FUS983043 GEE983043:GEO983043 GOA983043:GOK983043 GXW983043:GYG983043 HHS983043:HIC983043 HRO983043:HRY983043 IBK983043:IBU983043 ILG983043:ILQ983043 IVC983043:IVM983043 JEY983043:JFI983043 JOU983043:JPE983043 JYQ983043:JZA983043 KIM983043:KIW983043 KSI983043:KSS983043 LCE983043:LCO983043 LMA983043:LMK983043 LVW983043:LWG983043 MFS983043:MGC983043 MPO983043:MPY983043 MZK983043:MZU983043 NJG983043:NJQ983043 NTC983043:NTM983043 OCY983043:ODI983043 OMU983043:ONE983043 OWQ983043:OXA983043 PGM983043:PGW983043 PQI983043:PQS983043 QAE983043:QAO983043 QKA983043:QKK983043 QTW983043:QUG983043 RDS983043:REC983043 RNO983043:RNY983043 RXK983043:RXU983043 SHG983043:SHQ983043 SRC983043:SRM983043 TAY983043:TBI983043 TKU983043:TLE983043 TUQ983043:TVA983043 UEM983043:UEW983043 UOI983043:UOS983043 UYE983043:UYO983043 VIA983043:VIK983043 VRW983043:VSG983043 WBS983043:WCC983043 WLO983043:WLY983043 WVK983043:WVU983043">
      <formula1>$C$851:$C$887</formula1>
    </dataValidation>
    <dataValidation type="list" allowBlank="1" showInputMessage="1" showErrorMessage="1" sqref="F845:I845 JB845:JE845 SX845:TA845 ACT845:ACW845 AMP845:AMS845 AWL845:AWO845 BGH845:BGK845 BQD845:BQG845 BZZ845:CAC845 CJV845:CJY845 CTR845:CTU845 DDN845:DDQ845 DNJ845:DNM845 DXF845:DXI845 EHB845:EHE845 EQX845:ERA845 FAT845:FAW845 FKP845:FKS845 FUL845:FUO845 GEH845:GEK845 GOD845:GOG845 GXZ845:GYC845 HHV845:HHY845 HRR845:HRU845 IBN845:IBQ845 ILJ845:ILM845 IVF845:IVI845 JFB845:JFE845 JOX845:JPA845 JYT845:JYW845 KIP845:KIS845 KSL845:KSO845 LCH845:LCK845 LMD845:LMG845 LVZ845:LWC845 MFV845:MFY845 MPR845:MPU845 MZN845:MZQ845 NJJ845:NJM845 NTF845:NTI845 ODB845:ODE845 OMX845:ONA845 OWT845:OWW845 PGP845:PGS845 PQL845:PQO845 QAH845:QAK845 QKD845:QKG845 QTZ845:QUC845 RDV845:RDY845 RNR845:RNU845 RXN845:RXQ845 SHJ845:SHM845 SRF845:SRI845 TBB845:TBE845 TKX845:TLA845 TUT845:TUW845 UEP845:UES845 UOL845:UOO845 UYH845:UYK845 VID845:VIG845 VRZ845:VSC845 WBV845:WBY845 WLR845:WLU845 WVN845:WVQ845 F66381:I66381 JB66381:JE66381 SX66381:TA66381 ACT66381:ACW66381 AMP66381:AMS66381 AWL66381:AWO66381 BGH66381:BGK66381 BQD66381:BQG66381 BZZ66381:CAC66381 CJV66381:CJY66381 CTR66381:CTU66381 DDN66381:DDQ66381 DNJ66381:DNM66381 DXF66381:DXI66381 EHB66381:EHE66381 EQX66381:ERA66381 FAT66381:FAW66381 FKP66381:FKS66381 FUL66381:FUO66381 GEH66381:GEK66381 GOD66381:GOG66381 GXZ66381:GYC66381 HHV66381:HHY66381 HRR66381:HRU66381 IBN66381:IBQ66381 ILJ66381:ILM66381 IVF66381:IVI66381 JFB66381:JFE66381 JOX66381:JPA66381 JYT66381:JYW66381 KIP66381:KIS66381 KSL66381:KSO66381 LCH66381:LCK66381 LMD66381:LMG66381 LVZ66381:LWC66381 MFV66381:MFY66381 MPR66381:MPU66381 MZN66381:MZQ66381 NJJ66381:NJM66381 NTF66381:NTI66381 ODB66381:ODE66381 OMX66381:ONA66381 OWT66381:OWW66381 PGP66381:PGS66381 PQL66381:PQO66381 QAH66381:QAK66381 QKD66381:QKG66381 QTZ66381:QUC66381 RDV66381:RDY66381 RNR66381:RNU66381 RXN66381:RXQ66381 SHJ66381:SHM66381 SRF66381:SRI66381 TBB66381:TBE66381 TKX66381:TLA66381 TUT66381:TUW66381 UEP66381:UES66381 UOL66381:UOO66381 UYH66381:UYK66381 VID66381:VIG66381 VRZ66381:VSC66381 WBV66381:WBY66381 WLR66381:WLU66381 WVN66381:WVQ66381 F131917:I131917 JB131917:JE131917 SX131917:TA131917 ACT131917:ACW131917 AMP131917:AMS131917 AWL131917:AWO131917 BGH131917:BGK131917 BQD131917:BQG131917 BZZ131917:CAC131917 CJV131917:CJY131917 CTR131917:CTU131917 DDN131917:DDQ131917 DNJ131917:DNM131917 DXF131917:DXI131917 EHB131917:EHE131917 EQX131917:ERA131917 FAT131917:FAW131917 FKP131917:FKS131917 FUL131917:FUO131917 GEH131917:GEK131917 GOD131917:GOG131917 GXZ131917:GYC131917 HHV131917:HHY131917 HRR131917:HRU131917 IBN131917:IBQ131917 ILJ131917:ILM131917 IVF131917:IVI131917 JFB131917:JFE131917 JOX131917:JPA131917 JYT131917:JYW131917 KIP131917:KIS131917 KSL131917:KSO131917 LCH131917:LCK131917 LMD131917:LMG131917 LVZ131917:LWC131917 MFV131917:MFY131917 MPR131917:MPU131917 MZN131917:MZQ131917 NJJ131917:NJM131917 NTF131917:NTI131917 ODB131917:ODE131917 OMX131917:ONA131917 OWT131917:OWW131917 PGP131917:PGS131917 PQL131917:PQO131917 QAH131917:QAK131917 QKD131917:QKG131917 QTZ131917:QUC131917 RDV131917:RDY131917 RNR131917:RNU131917 RXN131917:RXQ131917 SHJ131917:SHM131917 SRF131917:SRI131917 TBB131917:TBE131917 TKX131917:TLA131917 TUT131917:TUW131917 UEP131917:UES131917 UOL131917:UOO131917 UYH131917:UYK131917 VID131917:VIG131917 VRZ131917:VSC131917 WBV131917:WBY131917 WLR131917:WLU131917 WVN131917:WVQ131917 F197453:I197453 JB197453:JE197453 SX197453:TA197453 ACT197453:ACW197453 AMP197453:AMS197453 AWL197453:AWO197453 BGH197453:BGK197453 BQD197453:BQG197453 BZZ197453:CAC197453 CJV197453:CJY197453 CTR197453:CTU197453 DDN197453:DDQ197453 DNJ197453:DNM197453 DXF197453:DXI197453 EHB197453:EHE197453 EQX197453:ERA197453 FAT197453:FAW197453 FKP197453:FKS197453 FUL197453:FUO197453 GEH197453:GEK197453 GOD197453:GOG197453 GXZ197453:GYC197453 HHV197453:HHY197453 HRR197453:HRU197453 IBN197453:IBQ197453 ILJ197453:ILM197453 IVF197453:IVI197453 JFB197453:JFE197453 JOX197453:JPA197453 JYT197453:JYW197453 KIP197453:KIS197453 KSL197453:KSO197453 LCH197453:LCK197453 LMD197453:LMG197453 LVZ197453:LWC197453 MFV197453:MFY197453 MPR197453:MPU197453 MZN197453:MZQ197453 NJJ197453:NJM197453 NTF197453:NTI197453 ODB197453:ODE197453 OMX197453:ONA197453 OWT197453:OWW197453 PGP197453:PGS197453 PQL197453:PQO197453 QAH197453:QAK197453 QKD197453:QKG197453 QTZ197453:QUC197453 RDV197453:RDY197453 RNR197453:RNU197453 RXN197453:RXQ197453 SHJ197453:SHM197453 SRF197453:SRI197453 TBB197453:TBE197453 TKX197453:TLA197453 TUT197453:TUW197453 UEP197453:UES197453 UOL197453:UOO197453 UYH197453:UYK197453 VID197453:VIG197453 VRZ197453:VSC197453 WBV197453:WBY197453 WLR197453:WLU197453 WVN197453:WVQ197453 F262989:I262989 JB262989:JE262989 SX262989:TA262989 ACT262989:ACW262989 AMP262989:AMS262989 AWL262989:AWO262989 BGH262989:BGK262989 BQD262989:BQG262989 BZZ262989:CAC262989 CJV262989:CJY262989 CTR262989:CTU262989 DDN262989:DDQ262989 DNJ262989:DNM262989 DXF262989:DXI262989 EHB262989:EHE262989 EQX262989:ERA262989 FAT262989:FAW262989 FKP262989:FKS262989 FUL262989:FUO262989 GEH262989:GEK262989 GOD262989:GOG262989 GXZ262989:GYC262989 HHV262989:HHY262989 HRR262989:HRU262989 IBN262989:IBQ262989 ILJ262989:ILM262989 IVF262989:IVI262989 JFB262989:JFE262989 JOX262989:JPA262989 JYT262989:JYW262989 KIP262989:KIS262989 KSL262989:KSO262989 LCH262989:LCK262989 LMD262989:LMG262989 LVZ262989:LWC262989 MFV262989:MFY262989 MPR262989:MPU262989 MZN262989:MZQ262989 NJJ262989:NJM262989 NTF262989:NTI262989 ODB262989:ODE262989 OMX262989:ONA262989 OWT262989:OWW262989 PGP262989:PGS262989 PQL262989:PQO262989 QAH262989:QAK262989 QKD262989:QKG262989 QTZ262989:QUC262989 RDV262989:RDY262989 RNR262989:RNU262989 RXN262989:RXQ262989 SHJ262989:SHM262989 SRF262989:SRI262989 TBB262989:TBE262989 TKX262989:TLA262989 TUT262989:TUW262989 UEP262989:UES262989 UOL262989:UOO262989 UYH262989:UYK262989 VID262989:VIG262989 VRZ262989:VSC262989 WBV262989:WBY262989 WLR262989:WLU262989 WVN262989:WVQ262989 F328525:I328525 JB328525:JE328525 SX328525:TA328525 ACT328525:ACW328525 AMP328525:AMS328525 AWL328525:AWO328525 BGH328525:BGK328525 BQD328525:BQG328525 BZZ328525:CAC328525 CJV328525:CJY328525 CTR328525:CTU328525 DDN328525:DDQ328525 DNJ328525:DNM328525 DXF328525:DXI328525 EHB328525:EHE328525 EQX328525:ERA328525 FAT328525:FAW328525 FKP328525:FKS328525 FUL328525:FUO328525 GEH328525:GEK328525 GOD328525:GOG328525 GXZ328525:GYC328525 HHV328525:HHY328525 HRR328525:HRU328525 IBN328525:IBQ328525 ILJ328525:ILM328525 IVF328525:IVI328525 JFB328525:JFE328525 JOX328525:JPA328525 JYT328525:JYW328525 KIP328525:KIS328525 KSL328525:KSO328525 LCH328525:LCK328525 LMD328525:LMG328525 LVZ328525:LWC328525 MFV328525:MFY328525 MPR328525:MPU328525 MZN328525:MZQ328525 NJJ328525:NJM328525 NTF328525:NTI328525 ODB328525:ODE328525 OMX328525:ONA328525 OWT328525:OWW328525 PGP328525:PGS328525 PQL328525:PQO328525 QAH328525:QAK328525 QKD328525:QKG328525 QTZ328525:QUC328525 RDV328525:RDY328525 RNR328525:RNU328525 RXN328525:RXQ328525 SHJ328525:SHM328525 SRF328525:SRI328525 TBB328525:TBE328525 TKX328525:TLA328525 TUT328525:TUW328525 UEP328525:UES328525 UOL328525:UOO328525 UYH328525:UYK328525 VID328525:VIG328525 VRZ328525:VSC328525 WBV328525:WBY328525 WLR328525:WLU328525 WVN328525:WVQ328525 F394061:I394061 JB394061:JE394061 SX394061:TA394061 ACT394061:ACW394061 AMP394061:AMS394061 AWL394061:AWO394061 BGH394061:BGK394061 BQD394061:BQG394061 BZZ394061:CAC394061 CJV394061:CJY394061 CTR394061:CTU394061 DDN394061:DDQ394061 DNJ394061:DNM394061 DXF394061:DXI394061 EHB394061:EHE394061 EQX394061:ERA394061 FAT394061:FAW394061 FKP394061:FKS394061 FUL394061:FUO394061 GEH394061:GEK394061 GOD394061:GOG394061 GXZ394061:GYC394061 HHV394061:HHY394061 HRR394061:HRU394061 IBN394061:IBQ394061 ILJ394061:ILM394061 IVF394061:IVI394061 JFB394061:JFE394061 JOX394061:JPA394061 JYT394061:JYW394061 KIP394061:KIS394061 KSL394061:KSO394061 LCH394061:LCK394061 LMD394061:LMG394061 LVZ394061:LWC394061 MFV394061:MFY394061 MPR394061:MPU394061 MZN394061:MZQ394061 NJJ394061:NJM394061 NTF394061:NTI394061 ODB394061:ODE394061 OMX394061:ONA394061 OWT394061:OWW394061 PGP394061:PGS394061 PQL394061:PQO394061 QAH394061:QAK394061 QKD394061:QKG394061 QTZ394061:QUC394061 RDV394061:RDY394061 RNR394061:RNU394061 RXN394061:RXQ394061 SHJ394061:SHM394061 SRF394061:SRI394061 TBB394061:TBE394061 TKX394061:TLA394061 TUT394061:TUW394061 UEP394061:UES394061 UOL394061:UOO394061 UYH394061:UYK394061 VID394061:VIG394061 VRZ394061:VSC394061 WBV394061:WBY394061 WLR394061:WLU394061 WVN394061:WVQ394061 F459597:I459597 JB459597:JE459597 SX459597:TA459597 ACT459597:ACW459597 AMP459597:AMS459597 AWL459597:AWO459597 BGH459597:BGK459597 BQD459597:BQG459597 BZZ459597:CAC459597 CJV459597:CJY459597 CTR459597:CTU459597 DDN459597:DDQ459597 DNJ459597:DNM459597 DXF459597:DXI459597 EHB459597:EHE459597 EQX459597:ERA459597 FAT459597:FAW459597 FKP459597:FKS459597 FUL459597:FUO459597 GEH459597:GEK459597 GOD459597:GOG459597 GXZ459597:GYC459597 HHV459597:HHY459597 HRR459597:HRU459597 IBN459597:IBQ459597 ILJ459597:ILM459597 IVF459597:IVI459597 JFB459597:JFE459597 JOX459597:JPA459597 JYT459597:JYW459597 KIP459597:KIS459597 KSL459597:KSO459597 LCH459597:LCK459597 LMD459597:LMG459597 LVZ459597:LWC459597 MFV459597:MFY459597 MPR459597:MPU459597 MZN459597:MZQ459597 NJJ459597:NJM459597 NTF459597:NTI459597 ODB459597:ODE459597 OMX459597:ONA459597 OWT459597:OWW459597 PGP459597:PGS459597 PQL459597:PQO459597 QAH459597:QAK459597 QKD459597:QKG459597 QTZ459597:QUC459597 RDV459597:RDY459597 RNR459597:RNU459597 RXN459597:RXQ459597 SHJ459597:SHM459597 SRF459597:SRI459597 TBB459597:TBE459597 TKX459597:TLA459597 TUT459597:TUW459597 UEP459597:UES459597 UOL459597:UOO459597 UYH459597:UYK459597 VID459597:VIG459597 VRZ459597:VSC459597 WBV459597:WBY459597 WLR459597:WLU459597 WVN459597:WVQ459597 F525133:I525133 JB525133:JE525133 SX525133:TA525133 ACT525133:ACW525133 AMP525133:AMS525133 AWL525133:AWO525133 BGH525133:BGK525133 BQD525133:BQG525133 BZZ525133:CAC525133 CJV525133:CJY525133 CTR525133:CTU525133 DDN525133:DDQ525133 DNJ525133:DNM525133 DXF525133:DXI525133 EHB525133:EHE525133 EQX525133:ERA525133 FAT525133:FAW525133 FKP525133:FKS525133 FUL525133:FUO525133 GEH525133:GEK525133 GOD525133:GOG525133 GXZ525133:GYC525133 HHV525133:HHY525133 HRR525133:HRU525133 IBN525133:IBQ525133 ILJ525133:ILM525133 IVF525133:IVI525133 JFB525133:JFE525133 JOX525133:JPA525133 JYT525133:JYW525133 KIP525133:KIS525133 KSL525133:KSO525133 LCH525133:LCK525133 LMD525133:LMG525133 LVZ525133:LWC525133 MFV525133:MFY525133 MPR525133:MPU525133 MZN525133:MZQ525133 NJJ525133:NJM525133 NTF525133:NTI525133 ODB525133:ODE525133 OMX525133:ONA525133 OWT525133:OWW525133 PGP525133:PGS525133 PQL525133:PQO525133 QAH525133:QAK525133 QKD525133:QKG525133 QTZ525133:QUC525133 RDV525133:RDY525133 RNR525133:RNU525133 RXN525133:RXQ525133 SHJ525133:SHM525133 SRF525133:SRI525133 TBB525133:TBE525133 TKX525133:TLA525133 TUT525133:TUW525133 UEP525133:UES525133 UOL525133:UOO525133 UYH525133:UYK525133 VID525133:VIG525133 VRZ525133:VSC525133 WBV525133:WBY525133 WLR525133:WLU525133 WVN525133:WVQ525133 F590669:I590669 JB590669:JE590669 SX590669:TA590669 ACT590669:ACW590669 AMP590669:AMS590669 AWL590669:AWO590669 BGH590669:BGK590669 BQD590669:BQG590669 BZZ590669:CAC590669 CJV590669:CJY590669 CTR590669:CTU590669 DDN590669:DDQ590669 DNJ590669:DNM590669 DXF590669:DXI590669 EHB590669:EHE590669 EQX590669:ERA590669 FAT590669:FAW590669 FKP590669:FKS590669 FUL590669:FUO590669 GEH590669:GEK590669 GOD590669:GOG590669 GXZ590669:GYC590669 HHV590669:HHY590669 HRR590669:HRU590669 IBN590669:IBQ590669 ILJ590669:ILM590669 IVF590669:IVI590669 JFB590669:JFE590669 JOX590669:JPA590669 JYT590669:JYW590669 KIP590669:KIS590669 KSL590669:KSO590669 LCH590669:LCK590669 LMD590669:LMG590669 LVZ590669:LWC590669 MFV590669:MFY590669 MPR590669:MPU590669 MZN590669:MZQ590669 NJJ590669:NJM590669 NTF590669:NTI590669 ODB590669:ODE590669 OMX590669:ONA590669 OWT590669:OWW590669 PGP590669:PGS590669 PQL590669:PQO590669 QAH590669:QAK590669 QKD590669:QKG590669 QTZ590669:QUC590669 RDV590669:RDY590669 RNR590669:RNU590669 RXN590669:RXQ590669 SHJ590669:SHM590669 SRF590669:SRI590669 TBB590669:TBE590669 TKX590669:TLA590669 TUT590669:TUW590669 UEP590669:UES590669 UOL590669:UOO590669 UYH590669:UYK590669 VID590669:VIG590669 VRZ590669:VSC590669 WBV590669:WBY590669 WLR590669:WLU590669 WVN590669:WVQ590669 F656205:I656205 JB656205:JE656205 SX656205:TA656205 ACT656205:ACW656205 AMP656205:AMS656205 AWL656205:AWO656205 BGH656205:BGK656205 BQD656205:BQG656205 BZZ656205:CAC656205 CJV656205:CJY656205 CTR656205:CTU656205 DDN656205:DDQ656205 DNJ656205:DNM656205 DXF656205:DXI656205 EHB656205:EHE656205 EQX656205:ERA656205 FAT656205:FAW656205 FKP656205:FKS656205 FUL656205:FUO656205 GEH656205:GEK656205 GOD656205:GOG656205 GXZ656205:GYC656205 HHV656205:HHY656205 HRR656205:HRU656205 IBN656205:IBQ656205 ILJ656205:ILM656205 IVF656205:IVI656205 JFB656205:JFE656205 JOX656205:JPA656205 JYT656205:JYW656205 KIP656205:KIS656205 KSL656205:KSO656205 LCH656205:LCK656205 LMD656205:LMG656205 LVZ656205:LWC656205 MFV656205:MFY656205 MPR656205:MPU656205 MZN656205:MZQ656205 NJJ656205:NJM656205 NTF656205:NTI656205 ODB656205:ODE656205 OMX656205:ONA656205 OWT656205:OWW656205 PGP656205:PGS656205 PQL656205:PQO656205 QAH656205:QAK656205 QKD656205:QKG656205 QTZ656205:QUC656205 RDV656205:RDY656205 RNR656205:RNU656205 RXN656205:RXQ656205 SHJ656205:SHM656205 SRF656205:SRI656205 TBB656205:TBE656205 TKX656205:TLA656205 TUT656205:TUW656205 UEP656205:UES656205 UOL656205:UOO656205 UYH656205:UYK656205 VID656205:VIG656205 VRZ656205:VSC656205 WBV656205:WBY656205 WLR656205:WLU656205 WVN656205:WVQ656205 F721741:I721741 JB721741:JE721741 SX721741:TA721741 ACT721741:ACW721741 AMP721741:AMS721741 AWL721741:AWO721741 BGH721741:BGK721741 BQD721741:BQG721741 BZZ721741:CAC721741 CJV721741:CJY721741 CTR721741:CTU721741 DDN721741:DDQ721741 DNJ721741:DNM721741 DXF721741:DXI721741 EHB721741:EHE721741 EQX721741:ERA721741 FAT721741:FAW721741 FKP721741:FKS721741 FUL721741:FUO721741 GEH721741:GEK721741 GOD721741:GOG721741 GXZ721741:GYC721741 HHV721741:HHY721741 HRR721741:HRU721741 IBN721741:IBQ721741 ILJ721741:ILM721741 IVF721741:IVI721741 JFB721741:JFE721741 JOX721741:JPA721741 JYT721741:JYW721741 KIP721741:KIS721741 KSL721741:KSO721741 LCH721741:LCK721741 LMD721741:LMG721741 LVZ721741:LWC721741 MFV721741:MFY721741 MPR721741:MPU721741 MZN721741:MZQ721741 NJJ721741:NJM721741 NTF721741:NTI721741 ODB721741:ODE721741 OMX721741:ONA721741 OWT721741:OWW721741 PGP721741:PGS721741 PQL721741:PQO721741 QAH721741:QAK721741 QKD721741:QKG721741 QTZ721741:QUC721741 RDV721741:RDY721741 RNR721741:RNU721741 RXN721741:RXQ721741 SHJ721741:SHM721741 SRF721741:SRI721741 TBB721741:TBE721741 TKX721741:TLA721741 TUT721741:TUW721741 UEP721741:UES721741 UOL721741:UOO721741 UYH721741:UYK721741 VID721741:VIG721741 VRZ721741:VSC721741 WBV721741:WBY721741 WLR721741:WLU721741 WVN721741:WVQ721741 F787277:I787277 JB787277:JE787277 SX787277:TA787277 ACT787277:ACW787277 AMP787277:AMS787277 AWL787277:AWO787277 BGH787277:BGK787277 BQD787277:BQG787277 BZZ787277:CAC787277 CJV787277:CJY787277 CTR787277:CTU787277 DDN787277:DDQ787277 DNJ787277:DNM787277 DXF787277:DXI787277 EHB787277:EHE787277 EQX787277:ERA787277 FAT787277:FAW787277 FKP787277:FKS787277 FUL787277:FUO787277 GEH787277:GEK787277 GOD787277:GOG787277 GXZ787277:GYC787277 HHV787277:HHY787277 HRR787277:HRU787277 IBN787277:IBQ787277 ILJ787277:ILM787277 IVF787277:IVI787277 JFB787277:JFE787277 JOX787277:JPA787277 JYT787277:JYW787277 KIP787277:KIS787277 KSL787277:KSO787277 LCH787277:LCK787277 LMD787277:LMG787277 LVZ787277:LWC787277 MFV787277:MFY787277 MPR787277:MPU787277 MZN787277:MZQ787277 NJJ787277:NJM787277 NTF787277:NTI787277 ODB787277:ODE787277 OMX787277:ONA787277 OWT787277:OWW787277 PGP787277:PGS787277 PQL787277:PQO787277 QAH787277:QAK787277 QKD787277:QKG787277 QTZ787277:QUC787277 RDV787277:RDY787277 RNR787277:RNU787277 RXN787277:RXQ787277 SHJ787277:SHM787277 SRF787277:SRI787277 TBB787277:TBE787277 TKX787277:TLA787277 TUT787277:TUW787277 UEP787277:UES787277 UOL787277:UOO787277 UYH787277:UYK787277 VID787277:VIG787277 VRZ787277:VSC787277 WBV787277:WBY787277 WLR787277:WLU787277 WVN787277:WVQ787277 F852813:I852813 JB852813:JE852813 SX852813:TA852813 ACT852813:ACW852813 AMP852813:AMS852813 AWL852813:AWO852813 BGH852813:BGK852813 BQD852813:BQG852813 BZZ852813:CAC852813 CJV852813:CJY852813 CTR852813:CTU852813 DDN852813:DDQ852813 DNJ852813:DNM852813 DXF852813:DXI852813 EHB852813:EHE852813 EQX852813:ERA852813 FAT852813:FAW852813 FKP852813:FKS852813 FUL852813:FUO852813 GEH852813:GEK852813 GOD852813:GOG852813 GXZ852813:GYC852813 HHV852813:HHY852813 HRR852813:HRU852813 IBN852813:IBQ852813 ILJ852813:ILM852813 IVF852813:IVI852813 JFB852813:JFE852813 JOX852813:JPA852813 JYT852813:JYW852813 KIP852813:KIS852813 KSL852813:KSO852813 LCH852813:LCK852813 LMD852813:LMG852813 LVZ852813:LWC852813 MFV852813:MFY852813 MPR852813:MPU852813 MZN852813:MZQ852813 NJJ852813:NJM852813 NTF852813:NTI852813 ODB852813:ODE852813 OMX852813:ONA852813 OWT852813:OWW852813 PGP852813:PGS852813 PQL852813:PQO852813 QAH852813:QAK852813 QKD852813:QKG852813 QTZ852813:QUC852813 RDV852813:RDY852813 RNR852813:RNU852813 RXN852813:RXQ852813 SHJ852813:SHM852813 SRF852813:SRI852813 TBB852813:TBE852813 TKX852813:TLA852813 TUT852813:TUW852813 UEP852813:UES852813 UOL852813:UOO852813 UYH852813:UYK852813 VID852813:VIG852813 VRZ852813:VSC852813 WBV852813:WBY852813 WLR852813:WLU852813 WVN852813:WVQ852813 F918349:I918349 JB918349:JE918349 SX918349:TA918349 ACT918349:ACW918349 AMP918349:AMS918349 AWL918349:AWO918349 BGH918349:BGK918349 BQD918349:BQG918349 BZZ918349:CAC918349 CJV918349:CJY918349 CTR918349:CTU918349 DDN918349:DDQ918349 DNJ918349:DNM918349 DXF918349:DXI918349 EHB918349:EHE918349 EQX918349:ERA918349 FAT918349:FAW918349 FKP918349:FKS918349 FUL918349:FUO918349 GEH918349:GEK918349 GOD918349:GOG918349 GXZ918349:GYC918349 HHV918349:HHY918349 HRR918349:HRU918349 IBN918349:IBQ918349 ILJ918349:ILM918349 IVF918349:IVI918349 JFB918349:JFE918349 JOX918349:JPA918349 JYT918349:JYW918349 KIP918349:KIS918349 KSL918349:KSO918349 LCH918349:LCK918349 LMD918349:LMG918349 LVZ918349:LWC918349 MFV918349:MFY918349 MPR918349:MPU918349 MZN918349:MZQ918349 NJJ918349:NJM918349 NTF918349:NTI918349 ODB918349:ODE918349 OMX918349:ONA918349 OWT918349:OWW918349 PGP918349:PGS918349 PQL918349:PQO918349 QAH918349:QAK918349 QKD918349:QKG918349 QTZ918349:QUC918349 RDV918349:RDY918349 RNR918349:RNU918349 RXN918349:RXQ918349 SHJ918349:SHM918349 SRF918349:SRI918349 TBB918349:TBE918349 TKX918349:TLA918349 TUT918349:TUW918349 UEP918349:UES918349 UOL918349:UOO918349 UYH918349:UYK918349 VID918349:VIG918349 VRZ918349:VSC918349 WBV918349:WBY918349 WLR918349:WLU918349 WVN918349:WVQ918349 F983885:I983885 JB983885:JE983885 SX983885:TA983885 ACT983885:ACW983885 AMP983885:AMS983885 AWL983885:AWO983885 BGH983885:BGK983885 BQD983885:BQG983885 BZZ983885:CAC983885 CJV983885:CJY983885 CTR983885:CTU983885 DDN983885:DDQ983885 DNJ983885:DNM983885 DXF983885:DXI983885 EHB983885:EHE983885 EQX983885:ERA983885 FAT983885:FAW983885 FKP983885:FKS983885 FUL983885:FUO983885 GEH983885:GEK983885 GOD983885:GOG983885 GXZ983885:GYC983885 HHV983885:HHY983885 HRR983885:HRU983885 IBN983885:IBQ983885 ILJ983885:ILM983885 IVF983885:IVI983885 JFB983885:JFE983885 JOX983885:JPA983885 JYT983885:JYW983885 KIP983885:KIS983885 KSL983885:KSO983885 LCH983885:LCK983885 LMD983885:LMG983885 LVZ983885:LWC983885 MFV983885:MFY983885 MPR983885:MPU983885 MZN983885:MZQ983885 NJJ983885:NJM983885 NTF983885:NTI983885 ODB983885:ODE983885 OMX983885:ONA983885 OWT983885:OWW983885 PGP983885:PGS983885 PQL983885:PQO983885 QAH983885:QAK983885 QKD983885:QKG983885 QTZ983885:QUC983885 RDV983885:RDY983885 RNR983885:RNU983885 RXN983885:RXQ983885 SHJ983885:SHM983885 SRF983885:SRI983885 TBB983885:TBE983885 TKX983885:TLA983885 TUT983885:TUW983885 UEP983885:UES983885 UOL983885:UOO983885 UYH983885:UYK983885 VID983885:VIG983885 VRZ983885:VSC983885 WBV983885:WBY983885 WLR983885:WLU983885 WVN983885:WVQ983885">
      <formula1>$M$851:$M$855</formula1>
    </dataValidation>
    <dataValidation type="list" allowBlank="1" showInputMessage="1" showErrorMessage="1" sqref="N847:S847 JJ847:JO847 TF847:TK847 ADB847:ADG847 AMX847:ANC847 AWT847:AWY847 BGP847:BGU847 BQL847:BQQ847 CAH847:CAM847 CKD847:CKI847 CTZ847:CUE847 DDV847:DEA847 DNR847:DNW847 DXN847:DXS847 EHJ847:EHO847 ERF847:ERK847 FBB847:FBG847 FKX847:FLC847 FUT847:FUY847 GEP847:GEU847 GOL847:GOQ847 GYH847:GYM847 HID847:HII847 HRZ847:HSE847 IBV847:ICA847 ILR847:ILW847 IVN847:IVS847 JFJ847:JFO847 JPF847:JPK847 JZB847:JZG847 KIX847:KJC847 KST847:KSY847 LCP847:LCU847 LML847:LMQ847 LWH847:LWM847 MGD847:MGI847 MPZ847:MQE847 MZV847:NAA847 NJR847:NJW847 NTN847:NTS847 ODJ847:ODO847 ONF847:ONK847 OXB847:OXG847 PGX847:PHC847 PQT847:PQY847 QAP847:QAU847 QKL847:QKQ847 QUH847:QUM847 RED847:REI847 RNZ847:ROE847 RXV847:RYA847 SHR847:SHW847 SRN847:SRS847 TBJ847:TBO847 TLF847:TLK847 TVB847:TVG847 UEX847:UFC847 UOT847:UOY847 UYP847:UYU847 VIL847:VIQ847 VSH847:VSM847 WCD847:WCI847 WLZ847:WME847 WVV847:WWA847 N66383:S66383 JJ66383:JO66383 TF66383:TK66383 ADB66383:ADG66383 AMX66383:ANC66383 AWT66383:AWY66383 BGP66383:BGU66383 BQL66383:BQQ66383 CAH66383:CAM66383 CKD66383:CKI66383 CTZ66383:CUE66383 DDV66383:DEA66383 DNR66383:DNW66383 DXN66383:DXS66383 EHJ66383:EHO66383 ERF66383:ERK66383 FBB66383:FBG66383 FKX66383:FLC66383 FUT66383:FUY66383 GEP66383:GEU66383 GOL66383:GOQ66383 GYH66383:GYM66383 HID66383:HII66383 HRZ66383:HSE66383 IBV66383:ICA66383 ILR66383:ILW66383 IVN66383:IVS66383 JFJ66383:JFO66383 JPF66383:JPK66383 JZB66383:JZG66383 KIX66383:KJC66383 KST66383:KSY66383 LCP66383:LCU66383 LML66383:LMQ66383 LWH66383:LWM66383 MGD66383:MGI66383 MPZ66383:MQE66383 MZV66383:NAA66383 NJR66383:NJW66383 NTN66383:NTS66383 ODJ66383:ODO66383 ONF66383:ONK66383 OXB66383:OXG66383 PGX66383:PHC66383 PQT66383:PQY66383 QAP66383:QAU66383 QKL66383:QKQ66383 QUH66383:QUM66383 RED66383:REI66383 RNZ66383:ROE66383 RXV66383:RYA66383 SHR66383:SHW66383 SRN66383:SRS66383 TBJ66383:TBO66383 TLF66383:TLK66383 TVB66383:TVG66383 UEX66383:UFC66383 UOT66383:UOY66383 UYP66383:UYU66383 VIL66383:VIQ66383 VSH66383:VSM66383 WCD66383:WCI66383 WLZ66383:WME66383 WVV66383:WWA66383 N131919:S131919 JJ131919:JO131919 TF131919:TK131919 ADB131919:ADG131919 AMX131919:ANC131919 AWT131919:AWY131919 BGP131919:BGU131919 BQL131919:BQQ131919 CAH131919:CAM131919 CKD131919:CKI131919 CTZ131919:CUE131919 DDV131919:DEA131919 DNR131919:DNW131919 DXN131919:DXS131919 EHJ131919:EHO131919 ERF131919:ERK131919 FBB131919:FBG131919 FKX131919:FLC131919 FUT131919:FUY131919 GEP131919:GEU131919 GOL131919:GOQ131919 GYH131919:GYM131919 HID131919:HII131919 HRZ131919:HSE131919 IBV131919:ICA131919 ILR131919:ILW131919 IVN131919:IVS131919 JFJ131919:JFO131919 JPF131919:JPK131919 JZB131919:JZG131919 KIX131919:KJC131919 KST131919:KSY131919 LCP131919:LCU131919 LML131919:LMQ131919 LWH131919:LWM131919 MGD131919:MGI131919 MPZ131919:MQE131919 MZV131919:NAA131919 NJR131919:NJW131919 NTN131919:NTS131919 ODJ131919:ODO131919 ONF131919:ONK131919 OXB131919:OXG131919 PGX131919:PHC131919 PQT131919:PQY131919 QAP131919:QAU131919 QKL131919:QKQ131919 QUH131919:QUM131919 RED131919:REI131919 RNZ131919:ROE131919 RXV131919:RYA131919 SHR131919:SHW131919 SRN131919:SRS131919 TBJ131919:TBO131919 TLF131919:TLK131919 TVB131919:TVG131919 UEX131919:UFC131919 UOT131919:UOY131919 UYP131919:UYU131919 VIL131919:VIQ131919 VSH131919:VSM131919 WCD131919:WCI131919 WLZ131919:WME131919 WVV131919:WWA131919 N197455:S197455 JJ197455:JO197455 TF197455:TK197455 ADB197455:ADG197455 AMX197455:ANC197455 AWT197455:AWY197455 BGP197455:BGU197455 BQL197455:BQQ197455 CAH197455:CAM197455 CKD197455:CKI197455 CTZ197455:CUE197455 DDV197455:DEA197455 DNR197455:DNW197455 DXN197455:DXS197455 EHJ197455:EHO197455 ERF197455:ERK197455 FBB197455:FBG197455 FKX197455:FLC197455 FUT197455:FUY197455 GEP197455:GEU197455 GOL197455:GOQ197455 GYH197455:GYM197455 HID197455:HII197455 HRZ197455:HSE197455 IBV197455:ICA197455 ILR197455:ILW197455 IVN197455:IVS197455 JFJ197455:JFO197455 JPF197455:JPK197455 JZB197455:JZG197455 KIX197455:KJC197455 KST197455:KSY197455 LCP197455:LCU197455 LML197455:LMQ197455 LWH197455:LWM197455 MGD197455:MGI197455 MPZ197455:MQE197455 MZV197455:NAA197455 NJR197455:NJW197455 NTN197455:NTS197455 ODJ197455:ODO197455 ONF197455:ONK197455 OXB197455:OXG197455 PGX197455:PHC197455 PQT197455:PQY197455 QAP197455:QAU197455 QKL197455:QKQ197455 QUH197455:QUM197455 RED197455:REI197455 RNZ197455:ROE197455 RXV197455:RYA197455 SHR197455:SHW197455 SRN197455:SRS197455 TBJ197455:TBO197455 TLF197455:TLK197455 TVB197455:TVG197455 UEX197455:UFC197455 UOT197455:UOY197455 UYP197455:UYU197455 VIL197455:VIQ197455 VSH197455:VSM197455 WCD197455:WCI197455 WLZ197455:WME197455 WVV197455:WWA197455 N262991:S262991 JJ262991:JO262991 TF262991:TK262991 ADB262991:ADG262991 AMX262991:ANC262991 AWT262991:AWY262991 BGP262991:BGU262991 BQL262991:BQQ262991 CAH262991:CAM262991 CKD262991:CKI262991 CTZ262991:CUE262991 DDV262991:DEA262991 DNR262991:DNW262991 DXN262991:DXS262991 EHJ262991:EHO262991 ERF262991:ERK262991 FBB262991:FBG262991 FKX262991:FLC262991 FUT262991:FUY262991 GEP262991:GEU262991 GOL262991:GOQ262991 GYH262991:GYM262991 HID262991:HII262991 HRZ262991:HSE262991 IBV262991:ICA262991 ILR262991:ILW262991 IVN262991:IVS262991 JFJ262991:JFO262991 JPF262991:JPK262991 JZB262991:JZG262991 KIX262991:KJC262991 KST262991:KSY262991 LCP262991:LCU262991 LML262991:LMQ262991 LWH262991:LWM262991 MGD262991:MGI262991 MPZ262991:MQE262991 MZV262991:NAA262991 NJR262991:NJW262991 NTN262991:NTS262991 ODJ262991:ODO262991 ONF262991:ONK262991 OXB262991:OXG262991 PGX262991:PHC262991 PQT262991:PQY262991 QAP262991:QAU262991 QKL262991:QKQ262991 QUH262991:QUM262991 RED262991:REI262991 RNZ262991:ROE262991 RXV262991:RYA262991 SHR262991:SHW262991 SRN262991:SRS262991 TBJ262991:TBO262991 TLF262991:TLK262991 TVB262991:TVG262991 UEX262991:UFC262991 UOT262991:UOY262991 UYP262991:UYU262991 VIL262991:VIQ262991 VSH262991:VSM262991 WCD262991:WCI262991 WLZ262991:WME262991 WVV262991:WWA262991 N328527:S328527 JJ328527:JO328527 TF328527:TK328527 ADB328527:ADG328527 AMX328527:ANC328527 AWT328527:AWY328527 BGP328527:BGU328527 BQL328527:BQQ328527 CAH328527:CAM328527 CKD328527:CKI328527 CTZ328527:CUE328527 DDV328527:DEA328527 DNR328527:DNW328527 DXN328527:DXS328527 EHJ328527:EHO328527 ERF328527:ERK328527 FBB328527:FBG328527 FKX328527:FLC328527 FUT328527:FUY328527 GEP328527:GEU328527 GOL328527:GOQ328527 GYH328527:GYM328527 HID328527:HII328527 HRZ328527:HSE328527 IBV328527:ICA328527 ILR328527:ILW328527 IVN328527:IVS328527 JFJ328527:JFO328527 JPF328527:JPK328527 JZB328527:JZG328527 KIX328527:KJC328527 KST328527:KSY328527 LCP328527:LCU328527 LML328527:LMQ328527 LWH328527:LWM328527 MGD328527:MGI328527 MPZ328527:MQE328527 MZV328527:NAA328527 NJR328527:NJW328527 NTN328527:NTS328527 ODJ328527:ODO328527 ONF328527:ONK328527 OXB328527:OXG328527 PGX328527:PHC328527 PQT328527:PQY328527 QAP328527:QAU328527 QKL328527:QKQ328527 QUH328527:QUM328527 RED328527:REI328527 RNZ328527:ROE328527 RXV328527:RYA328527 SHR328527:SHW328527 SRN328527:SRS328527 TBJ328527:TBO328527 TLF328527:TLK328527 TVB328527:TVG328527 UEX328527:UFC328527 UOT328527:UOY328527 UYP328527:UYU328527 VIL328527:VIQ328527 VSH328527:VSM328527 WCD328527:WCI328527 WLZ328527:WME328527 WVV328527:WWA328527 N394063:S394063 JJ394063:JO394063 TF394063:TK394063 ADB394063:ADG394063 AMX394063:ANC394063 AWT394063:AWY394063 BGP394063:BGU394063 BQL394063:BQQ394063 CAH394063:CAM394063 CKD394063:CKI394063 CTZ394063:CUE394063 DDV394063:DEA394063 DNR394063:DNW394063 DXN394063:DXS394063 EHJ394063:EHO394063 ERF394063:ERK394063 FBB394063:FBG394063 FKX394063:FLC394063 FUT394063:FUY394063 GEP394063:GEU394063 GOL394063:GOQ394063 GYH394063:GYM394063 HID394063:HII394063 HRZ394063:HSE394063 IBV394063:ICA394063 ILR394063:ILW394063 IVN394063:IVS394063 JFJ394063:JFO394063 JPF394063:JPK394063 JZB394063:JZG394063 KIX394063:KJC394063 KST394063:KSY394063 LCP394063:LCU394063 LML394063:LMQ394063 LWH394063:LWM394063 MGD394063:MGI394063 MPZ394063:MQE394063 MZV394063:NAA394063 NJR394063:NJW394063 NTN394063:NTS394063 ODJ394063:ODO394063 ONF394063:ONK394063 OXB394063:OXG394063 PGX394063:PHC394063 PQT394063:PQY394063 QAP394063:QAU394063 QKL394063:QKQ394063 QUH394063:QUM394063 RED394063:REI394063 RNZ394063:ROE394063 RXV394063:RYA394063 SHR394063:SHW394063 SRN394063:SRS394063 TBJ394063:TBO394063 TLF394063:TLK394063 TVB394063:TVG394063 UEX394063:UFC394063 UOT394063:UOY394063 UYP394063:UYU394063 VIL394063:VIQ394063 VSH394063:VSM394063 WCD394063:WCI394063 WLZ394063:WME394063 WVV394063:WWA394063 N459599:S459599 JJ459599:JO459599 TF459599:TK459599 ADB459599:ADG459599 AMX459599:ANC459599 AWT459599:AWY459599 BGP459599:BGU459599 BQL459599:BQQ459599 CAH459599:CAM459599 CKD459599:CKI459599 CTZ459599:CUE459599 DDV459599:DEA459599 DNR459599:DNW459599 DXN459599:DXS459599 EHJ459599:EHO459599 ERF459599:ERK459599 FBB459599:FBG459599 FKX459599:FLC459599 FUT459599:FUY459599 GEP459599:GEU459599 GOL459599:GOQ459599 GYH459599:GYM459599 HID459599:HII459599 HRZ459599:HSE459599 IBV459599:ICA459599 ILR459599:ILW459599 IVN459599:IVS459599 JFJ459599:JFO459599 JPF459599:JPK459599 JZB459599:JZG459599 KIX459599:KJC459599 KST459599:KSY459599 LCP459599:LCU459599 LML459599:LMQ459599 LWH459599:LWM459599 MGD459599:MGI459599 MPZ459599:MQE459599 MZV459599:NAA459599 NJR459599:NJW459599 NTN459599:NTS459599 ODJ459599:ODO459599 ONF459599:ONK459599 OXB459599:OXG459599 PGX459599:PHC459599 PQT459599:PQY459599 QAP459599:QAU459599 QKL459599:QKQ459599 QUH459599:QUM459599 RED459599:REI459599 RNZ459599:ROE459599 RXV459599:RYA459599 SHR459599:SHW459599 SRN459599:SRS459599 TBJ459599:TBO459599 TLF459599:TLK459599 TVB459599:TVG459599 UEX459599:UFC459599 UOT459599:UOY459599 UYP459599:UYU459599 VIL459599:VIQ459599 VSH459599:VSM459599 WCD459599:WCI459599 WLZ459599:WME459599 WVV459599:WWA459599 N525135:S525135 JJ525135:JO525135 TF525135:TK525135 ADB525135:ADG525135 AMX525135:ANC525135 AWT525135:AWY525135 BGP525135:BGU525135 BQL525135:BQQ525135 CAH525135:CAM525135 CKD525135:CKI525135 CTZ525135:CUE525135 DDV525135:DEA525135 DNR525135:DNW525135 DXN525135:DXS525135 EHJ525135:EHO525135 ERF525135:ERK525135 FBB525135:FBG525135 FKX525135:FLC525135 FUT525135:FUY525135 GEP525135:GEU525135 GOL525135:GOQ525135 GYH525135:GYM525135 HID525135:HII525135 HRZ525135:HSE525135 IBV525135:ICA525135 ILR525135:ILW525135 IVN525135:IVS525135 JFJ525135:JFO525135 JPF525135:JPK525135 JZB525135:JZG525135 KIX525135:KJC525135 KST525135:KSY525135 LCP525135:LCU525135 LML525135:LMQ525135 LWH525135:LWM525135 MGD525135:MGI525135 MPZ525135:MQE525135 MZV525135:NAA525135 NJR525135:NJW525135 NTN525135:NTS525135 ODJ525135:ODO525135 ONF525135:ONK525135 OXB525135:OXG525135 PGX525135:PHC525135 PQT525135:PQY525135 QAP525135:QAU525135 QKL525135:QKQ525135 QUH525135:QUM525135 RED525135:REI525135 RNZ525135:ROE525135 RXV525135:RYA525135 SHR525135:SHW525135 SRN525135:SRS525135 TBJ525135:TBO525135 TLF525135:TLK525135 TVB525135:TVG525135 UEX525135:UFC525135 UOT525135:UOY525135 UYP525135:UYU525135 VIL525135:VIQ525135 VSH525135:VSM525135 WCD525135:WCI525135 WLZ525135:WME525135 WVV525135:WWA525135 N590671:S590671 JJ590671:JO590671 TF590671:TK590671 ADB590671:ADG590671 AMX590671:ANC590671 AWT590671:AWY590671 BGP590671:BGU590671 BQL590671:BQQ590671 CAH590671:CAM590671 CKD590671:CKI590671 CTZ590671:CUE590671 DDV590671:DEA590671 DNR590671:DNW590671 DXN590671:DXS590671 EHJ590671:EHO590671 ERF590671:ERK590671 FBB590671:FBG590671 FKX590671:FLC590671 FUT590671:FUY590671 GEP590671:GEU590671 GOL590671:GOQ590671 GYH590671:GYM590671 HID590671:HII590671 HRZ590671:HSE590671 IBV590671:ICA590671 ILR590671:ILW590671 IVN590671:IVS590671 JFJ590671:JFO590671 JPF590671:JPK590671 JZB590671:JZG590671 KIX590671:KJC590671 KST590671:KSY590671 LCP590671:LCU590671 LML590671:LMQ590671 LWH590671:LWM590671 MGD590671:MGI590671 MPZ590671:MQE590671 MZV590671:NAA590671 NJR590671:NJW590671 NTN590671:NTS590671 ODJ590671:ODO590671 ONF590671:ONK590671 OXB590671:OXG590671 PGX590671:PHC590671 PQT590671:PQY590671 QAP590671:QAU590671 QKL590671:QKQ590671 QUH590671:QUM590671 RED590671:REI590671 RNZ590671:ROE590671 RXV590671:RYA590671 SHR590671:SHW590671 SRN590671:SRS590671 TBJ590671:TBO590671 TLF590671:TLK590671 TVB590671:TVG590671 UEX590671:UFC590671 UOT590671:UOY590671 UYP590671:UYU590671 VIL590671:VIQ590671 VSH590671:VSM590671 WCD590671:WCI590671 WLZ590671:WME590671 WVV590671:WWA590671 N656207:S656207 JJ656207:JO656207 TF656207:TK656207 ADB656207:ADG656207 AMX656207:ANC656207 AWT656207:AWY656207 BGP656207:BGU656207 BQL656207:BQQ656207 CAH656207:CAM656207 CKD656207:CKI656207 CTZ656207:CUE656207 DDV656207:DEA656207 DNR656207:DNW656207 DXN656207:DXS656207 EHJ656207:EHO656207 ERF656207:ERK656207 FBB656207:FBG656207 FKX656207:FLC656207 FUT656207:FUY656207 GEP656207:GEU656207 GOL656207:GOQ656207 GYH656207:GYM656207 HID656207:HII656207 HRZ656207:HSE656207 IBV656207:ICA656207 ILR656207:ILW656207 IVN656207:IVS656207 JFJ656207:JFO656207 JPF656207:JPK656207 JZB656207:JZG656207 KIX656207:KJC656207 KST656207:KSY656207 LCP656207:LCU656207 LML656207:LMQ656207 LWH656207:LWM656207 MGD656207:MGI656207 MPZ656207:MQE656207 MZV656207:NAA656207 NJR656207:NJW656207 NTN656207:NTS656207 ODJ656207:ODO656207 ONF656207:ONK656207 OXB656207:OXG656207 PGX656207:PHC656207 PQT656207:PQY656207 QAP656207:QAU656207 QKL656207:QKQ656207 QUH656207:QUM656207 RED656207:REI656207 RNZ656207:ROE656207 RXV656207:RYA656207 SHR656207:SHW656207 SRN656207:SRS656207 TBJ656207:TBO656207 TLF656207:TLK656207 TVB656207:TVG656207 UEX656207:UFC656207 UOT656207:UOY656207 UYP656207:UYU656207 VIL656207:VIQ656207 VSH656207:VSM656207 WCD656207:WCI656207 WLZ656207:WME656207 WVV656207:WWA656207 N721743:S721743 JJ721743:JO721743 TF721743:TK721743 ADB721743:ADG721743 AMX721743:ANC721743 AWT721743:AWY721743 BGP721743:BGU721743 BQL721743:BQQ721743 CAH721743:CAM721743 CKD721743:CKI721743 CTZ721743:CUE721743 DDV721743:DEA721743 DNR721743:DNW721743 DXN721743:DXS721743 EHJ721743:EHO721743 ERF721743:ERK721743 FBB721743:FBG721743 FKX721743:FLC721743 FUT721743:FUY721743 GEP721743:GEU721743 GOL721743:GOQ721743 GYH721743:GYM721743 HID721743:HII721743 HRZ721743:HSE721743 IBV721743:ICA721743 ILR721743:ILW721743 IVN721743:IVS721743 JFJ721743:JFO721743 JPF721743:JPK721743 JZB721743:JZG721743 KIX721743:KJC721743 KST721743:KSY721743 LCP721743:LCU721743 LML721743:LMQ721743 LWH721743:LWM721743 MGD721743:MGI721743 MPZ721743:MQE721743 MZV721743:NAA721743 NJR721743:NJW721743 NTN721743:NTS721743 ODJ721743:ODO721743 ONF721743:ONK721743 OXB721743:OXG721743 PGX721743:PHC721743 PQT721743:PQY721743 QAP721743:QAU721743 QKL721743:QKQ721743 QUH721743:QUM721743 RED721743:REI721743 RNZ721743:ROE721743 RXV721743:RYA721743 SHR721743:SHW721743 SRN721743:SRS721743 TBJ721743:TBO721743 TLF721743:TLK721743 TVB721743:TVG721743 UEX721743:UFC721743 UOT721743:UOY721743 UYP721743:UYU721743 VIL721743:VIQ721743 VSH721743:VSM721743 WCD721743:WCI721743 WLZ721743:WME721743 WVV721743:WWA721743 N787279:S787279 JJ787279:JO787279 TF787279:TK787279 ADB787279:ADG787279 AMX787279:ANC787279 AWT787279:AWY787279 BGP787279:BGU787279 BQL787279:BQQ787279 CAH787279:CAM787279 CKD787279:CKI787279 CTZ787279:CUE787279 DDV787279:DEA787279 DNR787279:DNW787279 DXN787279:DXS787279 EHJ787279:EHO787279 ERF787279:ERK787279 FBB787279:FBG787279 FKX787279:FLC787279 FUT787279:FUY787279 GEP787279:GEU787279 GOL787279:GOQ787279 GYH787279:GYM787279 HID787279:HII787279 HRZ787279:HSE787279 IBV787279:ICA787279 ILR787279:ILW787279 IVN787279:IVS787279 JFJ787279:JFO787279 JPF787279:JPK787279 JZB787279:JZG787279 KIX787279:KJC787279 KST787279:KSY787279 LCP787279:LCU787279 LML787279:LMQ787279 LWH787279:LWM787279 MGD787279:MGI787279 MPZ787279:MQE787279 MZV787279:NAA787279 NJR787279:NJW787279 NTN787279:NTS787279 ODJ787279:ODO787279 ONF787279:ONK787279 OXB787279:OXG787279 PGX787279:PHC787279 PQT787279:PQY787279 QAP787279:QAU787279 QKL787279:QKQ787279 QUH787279:QUM787279 RED787279:REI787279 RNZ787279:ROE787279 RXV787279:RYA787279 SHR787279:SHW787279 SRN787279:SRS787279 TBJ787279:TBO787279 TLF787279:TLK787279 TVB787279:TVG787279 UEX787279:UFC787279 UOT787279:UOY787279 UYP787279:UYU787279 VIL787279:VIQ787279 VSH787279:VSM787279 WCD787279:WCI787279 WLZ787279:WME787279 WVV787279:WWA787279 N852815:S852815 JJ852815:JO852815 TF852815:TK852815 ADB852815:ADG852815 AMX852815:ANC852815 AWT852815:AWY852815 BGP852815:BGU852815 BQL852815:BQQ852815 CAH852815:CAM852815 CKD852815:CKI852815 CTZ852815:CUE852815 DDV852815:DEA852815 DNR852815:DNW852815 DXN852815:DXS852815 EHJ852815:EHO852815 ERF852815:ERK852815 FBB852815:FBG852815 FKX852815:FLC852815 FUT852815:FUY852815 GEP852815:GEU852815 GOL852815:GOQ852815 GYH852815:GYM852815 HID852815:HII852815 HRZ852815:HSE852815 IBV852815:ICA852815 ILR852815:ILW852815 IVN852815:IVS852815 JFJ852815:JFO852815 JPF852815:JPK852815 JZB852815:JZG852815 KIX852815:KJC852815 KST852815:KSY852815 LCP852815:LCU852815 LML852815:LMQ852815 LWH852815:LWM852815 MGD852815:MGI852815 MPZ852815:MQE852815 MZV852815:NAA852815 NJR852815:NJW852815 NTN852815:NTS852815 ODJ852815:ODO852815 ONF852815:ONK852815 OXB852815:OXG852815 PGX852815:PHC852815 PQT852815:PQY852815 QAP852815:QAU852815 QKL852815:QKQ852815 QUH852815:QUM852815 RED852815:REI852815 RNZ852815:ROE852815 RXV852815:RYA852815 SHR852815:SHW852815 SRN852815:SRS852815 TBJ852815:TBO852815 TLF852815:TLK852815 TVB852815:TVG852815 UEX852815:UFC852815 UOT852815:UOY852815 UYP852815:UYU852815 VIL852815:VIQ852815 VSH852815:VSM852815 WCD852815:WCI852815 WLZ852815:WME852815 WVV852815:WWA852815 N918351:S918351 JJ918351:JO918351 TF918351:TK918351 ADB918351:ADG918351 AMX918351:ANC918351 AWT918351:AWY918351 BGP918351:BGU918351 BQL918351:BQQ918351 CAH918351:CAM918351 CKD918351:CKI918351 CTZ918351:CUE918351 DDV918351:DEA918351 DNR918351:DNW918351 DXN918351:DXS918351 EHJ918351:EHO918351 ERF918351:ERK918351 FBB918351:FBG918351 FKX918351:FLC918351 FUT918351:FUY918351 GEP918351:GEU918351 GOL918351:GOQ918351 GYH918351:GYM918351 HID918351:HII918351 HRZ918351:HSE918351 IBV918351:ICA918351 ILR918351:ILW918351 IVN918351:IVS918351 JFJ918351:JFO918351 JPF918351:JPK918351 JZB918351:JZG918351 KIX918351:KJC918351 KST918351:KSY918351 LCP918351:LCU918351 LML918351:LMQ918351 LWH918351:LWM918351 MGD918351:MGI918351 MPZ918351:MQE918351 MZV918351:NAA918351 NJR918351:NJW918351 NTN918351:NTS918351 ODJ918351:ODO918351 ONF918351:ONK918351 OXB918351:OXG918351 PGX918351:PHC918351 PQT918351:PQY918351 QAP918351:QAU918351 QKL918351:QKQ918351 QUH918351:QUM918351 RED918351:REI918351 RNZ918351:ROE918351 RXV918351:RYA918351 SHR918351:SHW918351 SRN918351:SRS918351 TBJ918351:TBO918351 TLF918351:TLK918351 TVB918351:TVG918351 UEX918351:UFC918351 UOT918351:UOY918351 UYP918351:UYU918351 VIL918351:VIQ918351 VSH918351:VSM918351 WCD918351:WCI918351 WLZ918351:WME918351 WVV918351:WWA918351 N983887:S983887 JJ983887:JO983887 TF983887:TK983887 ADB983887:ADG983887 AMX983887:ANC983887 AWT983887:AWY983887 BGP983887:BGU983887 BQL983887:BQQ983887 CAH983887:CAM983887 CKD983887:CKI983887 CTZ983887:CUE983887 DDV983887:DEA983887 DNR983887:DNW983887 DXN983887:DXS983887 EHJ983887:EHO983887 ERF983887:ERK983887 FBB983887:FBG983887 FKX983887:FLC983887 FUT983887:FUY983887 GEP983887:GEU983887 GOL983887:GOQ983887 GYH983887:GYM983887 HID983887:HII983887 HRZ983887:HSE983887 IBV983887:ICA983887 ILR983887:ILW983887 IVN983887:IVS983887 JFJ983887:JFO983887 JPF983887:JPK983887 JZB983887:JZG983887 KIX983887:KJC983887 KST983887:KSY983887 LCP983887:LCU983887 LML983887:LMQ983887 LWH983887:LWM983887 MGD983887:MGI983887 MPZ983887:MQE983887 MZV983887:NAA983887 NJR983887:NJW983887 NTN983887:NTS983887 ODJ983887:ODO983887 ONF983887:ONK983887 OXB983887:OXG983887 PGX983887:PHC983887 PQT983887:PQY983887 QAP983887:QAU983887 QKL983887:QKQ983887 QUH983887:QUM983887 RED983887:REI983887 RNZ983887:ROE983887 RXV983887:RYA983887 SHR983887:SHW983887 SRN983887:SRS983887 TBJ983887:TBO983887 TLF983887:TLK983887 TVB983887:TVG983887 UEX983887:UFC983887 UOT983887:UOY983887 UYP983887:UYU983887 VIL983887:VIQ983887 VSH983887:VSM983887 WCD983887:WCI983887 WLZ983887:WME983887 WVV983887:WWA983887">
      <formula1>$Q$855:$Q$863</formula1>
    </dataValidation>
  </dataValidations>
  <printOptions horizontalCentered="1"/>
  <pageMargins left="0.35433070866141736" right="0.39370078740157483" top="0.7" bottom="0.77" header="0.16" footer="0.16"/>
  <pageSetup scale="71" fitToHeight="0" orientation="landscape" r:id="rId1"/>
  <headerFooter>
    <oddHeader>&amp;L&amp;G&amp;C&amp;"Arial,Negrita"
CONSEJO PROFESIONAL DE INGENIERÍA&amp;"-,Normal"&amp;11
&amp;"Arial,Negrita"&amp;12FORMATO UNICO DE INVENTARIO Y TRANSFERENCIA DE DOCUMENTOS</oddHeader>
    <oddFooter>&amp;L&amp;"Arial,Negrita"&amp;8Convenciones:&amp;"Arial,Normal"
&amp;7Ca: Carpeta
AZ: Folder AZ
Em: Empastado o Libro
MT: Medio Técnico (CD / DVD / Microfilm, Etc)
Cj: Caja / Doc sueltos&amp;C&amp;10&amp;D&amp;R&amp;"Arial,Negrita"&amp;8GD-fr-06
v.2 Dic.13&amp;"Arial,Negrita Cursiva"
PÁGINA &amp;P DE &amp;N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Check Box 1">
              <controlPr locked="0" defaultSize="0" autoFill="0" autoLine="0" autoPict="0">
                <anchor moveWithCells="1">
                  <from>
                    <xdr:col>1</xdr:col>
                    <xdr:colOff>447675</xdr:colOff>
                    <xdr:row>837</xdr:row>
                    <xdr:rowOff>152400</xdr:rowOff>
                  </from>
                  <to>
                    <xdr:col>2</xdr:col>
                    <xdr:colOff>238125</xdr:colOff>
                    <xdr:row>839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Check Box 2">
              <controlPr locked="0" defaultSize="0" autoFill="0" autoLine="0" autoPict="0">
                <anchor moveWithCells="1">
                  <from>
                    <xdr:col>1</xdr:col>
                    <xdr:colOff>781050</xdr:colOff>
                    <xdr:row>837</xdr:row>
                    <xdr:rowOff>171450</xdr:rowOff>
                  </from>
                  <to>
                    <xdr:col>2</xdr:col>
                    <xdr:colOff>552450</xdr:colOff>
                    <xdr:row>839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1513"/>
  <sheetViews>
    <sheetView zoomScale="80" zoomScaleNormal="80" workbookViewId="0">
      <pane ySplit="1" topLeftCell="A2" activePane="bottomLeft" state="frozen"/>
      <selection pane="bottomLeft" activeCell="G7" sqref="G7"/>
    </sheetView>
  </sheetViews>
  <sheetFormatPr baseColWidth="10" defaultRowHeight="12.75" x14ac:dyDescent="0.25"/>
  <cols>
    <col min="1" max="1" width="14.85546875" style="4" customWidth="1"/>
    <col min="2" max="2" width="9.140625" style="4" customWidth="1"/>
    <col min="3" max="3" width="14" style="4" customWidth="1"/>
    <col min="4" max="4" width="8.85546875" style="4" customWidth="1"/>
    <col min="5" max="5" width="14.28515625" style="4" customWidth="1"/>
    <col min="6" max="6" width="16.7109375" style="4" customWidth="1"/>
    <col min="7" max="7" width="13" style="4" customWidth="1"/>
    <col min="8" max="8" width="19.85546875" style="4" customWidth="1"/>
    <col min="9" max="9" width="21.28515625" style="4" customWidth="1"/>
    <col min="10" max="10" width="23.42578125" style="4" customWidth="1"/>
    <col min="11" max="11" width="4.85546875" style="4" customWidth="1"/>
    <col min="12" max="12" width="12.42578125" style="4" bestFit="1" customWidth="1"/>
    <col min="13" max="13" width="74.5703125" style="4" customWidth="1"/>
    <col min="14" max="14" width="61.5703125" style="4" customWidth="1"/>
    <col min="15" max="15" width="15.42578125" style="4" customWidth="1"/>
    <col min="16" max="16" width="16.5703125" style="4" customWidth="1"/>
    <col min="17" max="17" width="14" style="4" customWidth="1"/>
    <col min="18" max="18" width="12" style="4" hidden="1" customWidth="1"/>
    <col min="19" max="19" width="64.85546875" style="4" customWidth="1"/>
    <col min="20" max="16384" width="11.42578125" style="4"/>
  </cols>
  <sheetData>
    <row r="1" spans="1:19" ht="26.25" customHeight="1" x14ac:dyDescent="0.25">
      <c r="A1" s="1" t="s">
        <v>3319</v>
      </c>
      <c r="B1" s="1" t="s">
        <v>3324</v>
      </c>
      <c r="C1" s="2" t="s">
        <v>0</v>
      </c>
      <c r="D1" s="2" t="s">
        <v>1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6</v>
      </c>
      <c r="J1" s="2" t="s">
        <v>7</v>
      </c>
      <c r="K1" s="2" t="s">
        <v>8</v>
      </c>
      <c r="L1" s="2" t="s">
        <v>9</v>
      </c>
      <c r="M1" s="2" t="s">
        <v>10</v>
      </c>
      <c r="N1" s="2" t="s">
        <v>11</v>
      </c>
      <c r="O1" s="2" t="s">
        <v>12</v>
      </c>
      <c r="P1" s="2" t="s">
        <v>13</v>
      </c>
      <c r="Q1" s="2" t="s">
        <v>14</v>
      </c>
      <c r="R1" s="3" t="s">
        <v>3325</v>
      </c>
      <c r="S1" s="3" t="s">
        <v>3326</v>
      </c>
    </row>
    <row r="2" spans="1:19" ht="25.5" x14ac:dyDescent="0.25">
      <c r="A2" s="5" t="s">
        <v>3327</v>
      </c>
      <c r="B2" s="5">
        <v>1</v>
      </c>
      <c r="C2" s="6" t="s">
        <v>2294</v>
      </c>
      <c r="D2" s="6" t="s">
        <v>3328</v>
      </c>
      <c r="E2" s="6">
        <v>679</v>
      </c>
      <c r="F2" s="6" t="s">
        <v>340</v>
      </c>
      <c r="G2" s="6">
        <v>773</v>
      </c>
      <c r="H2" s="6" t="s">
        <v>341</v>
      </c>
      <c r="I2" s="6" t="s">
        <v>3329</v>
      </c>
      <c r="J2" s="6" t="s">
        <v>3330</v>
      </c>
      <c r="K2" s="6" t="s">
        <v>3331</v>
      </c>
      <c r="L2" s="6">
        <v>43063515</v>
      </c>
      <c r="M2" s="6" t="s">
        <v>3320</v>
      </c>
      <c r="N2" s="6" t="s">
        <v>61</v>
      </c>
      <c r="O2" s="6">
        <v>88</v>
      </c>
      <c r="P2" s="7">
        <v>31023</v>
      </c>
      <c r="Q2" s="6" t="s">
        <v>3332</v>
      </c>
      <c r="R2" s="8">
        <v>6</v>
      </c>
      <c r="S2" s="9"/>
    </row>
    <row r="3" spans="1:19" ht="25.5" x14ac:dyDescent="0.25">
      <c r="A3" s="5" t="s">
        <v>3327</v>
      </c>
      <c r="B3" s="5">
        <v>2</v>
      </c>
      <c r="C3" s="6" t="s">
        <v>2226</v>
      </c>
      <c r="D3" s="6" t="s">
        <v>3328</v>
      </c>
      <c r="E3" s="6">
        <v>569</v>
      </c>
      <c r="F3" s="6" t="s">
        <v>83</v>
      </c>
      <c r="G3" s="6">
        <v>324</v>
      </c>
      <c r="H3" s="6" t="s">
        <v>84</v>
      </c>
      <c r="I3" s="6" t="s">
        <v>3333</v>
      </c>
      <c r="J3" s="6" t="s">
        <v>3334</v>
      </c>
      <c r="K3" s="6" t="s">
        <v>3331</v>
      </c>
      <c r="L3" s="6">
        <v>32519726</v>
      </c>
      <c r="M3" s="6" t="s">
        <v>328</v>
      </c>
      <c r="N3" s="6" t="s">
        <v>61</v>
      </c>
      <c r="O3" s="6">
        <v>76</v>
      </c>
      <c r="P3" s="7">
        <v>30236</v>
      </c>
      <c r="Q3" s="6" t="s">
        <v>3332</v>
      </c>
      <c r="R3" s="8">
        <v>5</v>
      </c>
      <c r="S3" s="6"/>
    </row>
    <row r="4" spans="1:19" ht="25.5" x14ac:dyDescent="0.25">
      <c r="A4" s="5" t="s">
        <v>3327</v>
      </c>
      <c r="B4" s="5">
        <v>3</v>
      </c>
      <c r="C4" s="6" t="s">
        <v>1924</v>
      </c>
      <c r="D4" s="6" t="s">
        <v>3328</v>
      </c>
      <c r="E4" s="6">
        <v>528</v>
      </c>
      <c r="F4" s="6" t="s">
        <v>51</v>
      </c>
      <c r="G4" s="6">
        <v>52</v>
      </c>
      <c r="H4" s="6" t="s">
        <v>44</v>
      </c>
      <c r="I4" s="6" t="s">
        <v>3335</v>
      </c>
      <c r="J4" s="6" t="s">
        <v>3330</v>
      </c>
      <c r="K4" s="6" t="s">
        <v>3331</v>
      </c>
      <c r="L4" s="6">
        <v>43074518</v>
      </c>
      <c r="M4" s="6" t="s">
        <v>1807</v>
      </c>
      <c r="N4" s="6" t="s">
        <v>61</v>
      </c>
      <c r="O4" s="6">
        <v>117</v>
      </c>
      <c r="P4" s="7">
        <v>32484</v>
      </c>
      <c r="Q4" s="6" t="s">
        <v>3332</v>
      </c>
      <c r="R4" s="8">
        <v>7</v>
      </c>
      <c r="S4" s="6"/>
    </row>
    <row r="5" spans="1:19" ht="25.5" x14ac:dyDescent="0.25">
      <c r="A5" s="5" t="s">
        <v>3327</v>
      </c>
      <c r="B5" s="5">
        <v>4</v>
      </c>
      <c r="C5" s="6" t="s">
        <v>2290</v>
      </c>
      <c r="D5" s="6" t="s">
        <v>3328</v>
      </c>
      <c r="E5" s="6">
        <v>633</v>
      </c>
      <c r="F5" s="6" t="s">
        <v>332</v>
      </c>
      <c r="G5" s="6">
        <v>634</v>
      </c>
      <c r="H5" s="6" t="s">
        <v>333</v>
      </c>
      <c r="I5" s="6" t="s">
        <v>3336</v>
      </c>
      <c r="J5" s="6" t="s">
        <v>3337</v>
      </c>
      <c r="K5" s="6" t="s">
        <v>3331</v>
      </c>
      <c r="L5" s="6">
        <v>42985271</v>
      </c>
      <c r="M5" s="6" t="s">
        <v>389</v>
      </c>
      <c r="N5" s="6" t="s">
        <v>61</v>
      </c>
      <c r="O5" s="6">
        <v>82</v>
      </c>
      <c r="P5" s="7">
        <v>30652</v>
      </c>
      <c r="Q5" s="6" t="s">
        <v>3332</v>
      </c>
      <c r="R5" s="8">
        <v>5</v>
      </c>
      <c r="S5" s="6"/>
    </row>
    <row r="6" spans="1:19" ht="25.5" x14ac:dyDescent="0.25">
      <c r="A6" s="5" t="s">
        <v>3327</v>
      </c>
      <c r="B6" s="5">
        <v>5</v>
      </c>
      <c r="C6" s="6" t="s">
        <v>2297</v>
      </c>
      <c r="D6" s="6" t="s">
        <v>3328</v>
      </c>
      <c r="E6" s="6">
        <v>731</v>
      </c>
      <c r="F6" s="6" t="s">
        <v>118</v>
      </c>
      <c r="G6" s="6">
        <v>1092</v>
      </c>
      <c r="H6" s="6" t="s">
        <v>119</v>
      </c>
      <c r="I6" s="6" t="s">
        <v>3338</v>
      </c>
      <c r="J6" s="6" t="s">
        <v>3339</v>
      </c>
      <c r="K6" s="6" t="s">
        <v>3331</v>
      </c>
      <c r="L6" s="6">
        <v>42879050</v>
      </c>
      <c r="M6" s="6" t="s">
        <v>3320</v>
      </c>
      <c r="N6" s="6" t="s">
        <v>61</v>
      </c>
      <c r="O6" s="6">
        <v>88</v>
      </c>
      <c r="P6" s="7">
        <v>31113</v>
      </c>
      <c r="Q6" s="6" t="s">
        <v>3332</v>
      </c>
      <c r="R6" s="8">
        <v>6</v>
      </c>
      <c r="S6" s="6"/>
    </row>
    <row r="7" spans="1:19" ht="25.5" x14ac:dyDescent="0.25">
      <c r="A7" s="5" t="s">
        <v>3327</v>
      </c>
      <c r="B7" s="5">
        <v>6</v>
      </c>
      <c r="C7" s="6" t="s">
        <v>2295</v>
      </c>
      <c r="D7" s="6" t="s">
        <v>3328</v>
      </c>
      <c r="E7" s="6">
        <v>719</v>
      </c>
      <c r="F7" s="6" t="s">
        <v>114</v>
      </c>
      <c r="G7" s="6">
        <v>1000</v>
      </c>
      <c r="H7" s="6" t="s">
        <v>115</v>
      </c>
      <c r="I7" s="6" t="s">
        <v>3340</v>
      </c>
      <c r="J7" s="6" t="s">
        <v>3341</v>
      </c>
      <c r="K7" s="6" t="s">
        <v>3331</v>
      </c>
      <c r="L7" s="6">
        <v>43026960</v>
      </c>
      <c r="M7" s="6" t="s">
        <v>3320</v>
      </c>
      <c r="N7" s="6" t="s">
        <v>61</v>
      </c>
      <c r="O7" s="6">
        <v>74</v>
      </c>
      <c r="P7" s="7">
        <v>29917</v>
      </c>
      <c r="Q7" s="6" t="s">
        <v>3332</v>
      </c>
      <c r="R7" s="8">
        <v>6</v>
      </c>
      <c r="S7" s="6"/>
    </row>
    <row r="8" spans="1:19" ht="25.5" x14ac:dyDescent="0.25">
      <c r="A8" s="5" t="s">
        <v>3327</v>
      </c>
      <c r="B8" s="5">
        <v>7</v>
      </c>
      <c r="C8" s="6" t="s">
        <v>2317</v>
      </c>
      <c r="D8" s="6" t="s">
        <v>3328</v>
      </c>
      <c r="E8" s="6">
        <v>5</v>
      </c>
      <c r="F8" s="6" t="s">
        <v>497</v>
      </c>
      <c r="G8" s="6">
        <v>1849</v>
      </c>
      <c r="H8" s="6" t="s">
        <v>498</v>
      </c>
      <c r="I8" s="6" t="s">
        <v>3342</v>
      </c>
      <c r="J8" s="6" t="s">
        <v>3343</v>
      </c>
      <c r="K8" s="6" t="s">
        <v>3331</v>
      </c>
      <c r="L8" s="6">
        <v>32180679</v>
      </c>
      <c r="M8" s="6" t="s">
        <v>79</v>
      </c>
      <c r="N8" s="6" t="s">
        <v>88</v>
      </c>
      <c r="O8" s="6">
        <v>175</v>
      </c>
      <c r="P8" s="7">
        <v>36504</v>
      </c>
      <c r="Q8" s="6" t="s">
        <v>3332</v>
      </c>
      <c r="R8" s="8">
        <v>6</v>
      </c>
      <c r="S8" s="6" t="s">
        <v>3344</v>
      </c>
    </row>
    <row r="9" spans="1:19" ht="25.5" x14ac:dyDescent="0.25">
      <c r="A9" s="5" t="s">
        <v>3327</v>
      </c>
      <c r="B9" s="5">
        <v>8</v>
      </c>
      <c r="C9" s="6" t="s">
        <v>1890</v>
      </c>
      <c r="D9" s="6" t="s">
        <v>3328</v>
      </c>
      <c r="E9" s="6">
        <v>519</v>
      </c>
      <c r="F9" s="6" t="s">
        <v>39</v>
      </c>
      <c r="G9" s="6">
        <v>27</v>
      </c>
      <c r="H9" s="6" t="s">
        <v>40</v>
      </c>
      <c r="I9" s="6" t="s">
        <v>3345</v>
      </c>
      <c r="J9" s="6" t="s">
        <v>3346</v>
      </c>
      <c r="K9" s="6" t="s">
        <v>3331</v>
      </c>
      <c r="L9" s="6">
        <v>32417119</v>
      </c>
      <c r="M9" s="6" t="s">
        <v>185</v>
      </c>
      <c r="N9" s="6" t="s">
        <v>3347</v>
      </c>
      <c r="O9" s="6" t="s">
        <v>21</v>
      </c>
      <c r="P9" s="7">
        <v>25535</v>
      </c>
      <c r="Q9" s="6" t="s">
        <v>3332</v>
      </c>
      <c r="R9" s="8">
        <v>5</v>
      </c>
      <c r="S9" s="6"/>
    </row>
    <row r="10" spans="1:19" ht="25.5" x14ac:dyDescent="0.25">
      <c r="A10" s="5" t="s">
        <v>3327</v>
      </c>
      <c r="B10" s="5">
        <v>9</v>
      </c>
      <c r="C10" s="6" t="s">
        <v>1891</v>
      </c>
      <c r="D10" s="6" t="s">
        <v>3328</v>
      </c>
      <c r="E10" s="6">
        <v>522</v>
      </c>
      <c r="F10" s="6" t="s">
        <v>43</v>
      </c>
      <c r="G10" s="6">
        <v>52</v>
      </c>
      <c r="H10" s="6" t="s">
        <v>44</v>
      </c>
      <c r="I10" s="6" t="s">
        <v>3348</v>
      </c>
      <c r="J10" s="6" t="s">
        <v>3349</v>
      </c>
      <c r="K10" s="6" t="s">
        <v>3331</v>
      </c>
      <c r="L10" s="6">
        <v>32427530</v>
      </c>
      <c r="M10" s="6" t="s">
        <v>186</v>
      </c>
      <c r="N10" s="6" t="s">
        <v>505</v>
      </c>
      <c r="O10" s="6">
        <v>59</v>
      </c>
      <c r="P10" s="7">
        <v>25542</v>
      </c>
      <c r="Q10" s="6" t="s">
        <v>3332</v>
      </c>
      <c r="R10" s="8">
        <v>5</v>
      </c>
      <c r="S10" s="6"/>
    </row>
    <row r="11" spans="1:19" ht="25.5" x14ac:dyDescent="0.25">
      <c r="A11" s="5" t="s">
        <v>3327</v>
      </c>
      <c r="B11" s="5">
        <v>10</v>
      </c>
      <c r="C11" s="6" t="s">
        <v>1903</v>
      </c>
      <c r="D11" s="6" t="s">
        <v>3328</v>
      </c>
      <c r="E11" s="6">
        <v>497</v>
      </c>
      <c r="F11" s="6" t="s">
        <v>32</v>
      </c>
      <c r="G11" s="6">
        <v>31</v>
      </c>
      <c r="H11" s="6" t="s">
        <v>42</v>
      </c>
      <c r="I11" s="6" t="s">
        <v>3350</v>
      </c>
      <c r="J11" s="6" t="s">
        <v>3351</v>
      </c>
      <c r="K11" s="6" t="s">
        <v>3331</v>
      </c>
      <c r="L11" s="6">
        <v>32528353</v>
      </c>
      <c r="M11" s="6" t="s">
        <v>185</v>
      </c>
      <c r="N11" s="6" t="s">
        <v>3347</v>
      </c>
      <c r="O11" s="6" t="s">
        <v>21</v>
      </c>
      <c r="P11" s="7">
        <v>27356</v>
      </c>
      <c r="Q11" s="6" t="s">
        <v>3332</v>
      </c>
      <c r="R11" s="8">
        <v>6</v>
      </c>
      <c r="S11" s="6"/>
    </row>
    <row r="12" spans="1:19" ht="25.5" x14ac:dyDescent="0.25">
      <c r="A12" s="5" t="s">
        <v>3327</v>
      </c>
      <c r="B12" s="5">
        <v>11</v>
      </c>
      <c r="C12" s="6" t="s">
        <v>2004</v>
      </c>
      <c r="D12" s="6" t="s">
        <v>3328</v>
      </c>
      <c r="E12" s="6">
        <v>528</v>
      </c>
      <c r="F12" s="6" t="s">
        <v>51</v>
      </c>
      <c r="G12" s="6">
        <v>52</v>
      </c>
      <c r="H12" s="6" t="s">
        <v>44</v>
      </c>
      <c r="I12" s="6" t="s">
        <v>3352</v>
      </c>
      <c r="J12" s="6" t="s">
        <v>3353</v>
      </c>
      <c r="K12" s="6" t="s">
        <v>3331</v>
      </c>
      <c r="L12" s="6">
        <v>43529620</v>
      </c>
      <c r="M12" s="6" t="s">
        <v>1807</v>
      </c>
      <c r="N12" s="6" t="s">
        <v>61</v>
      </c>
      <c r="O12" s="6">
        <v>125</v>
      </c>
      <c r="P12" s="7">
        <v>32848</v>
      </c>
      <c r="Q12" s="6" t="s">
        <v>3332</v>
      </c>
      <c r="R12" s="8">
        <v>5</v>
      </c>
      <c r="S12" s="6"/>
    </row>
    <row r="13" spans="1:19" ht="25.5" x14ac:dyDescent="0.25">
      <c r="A13" s="5" t="s">
        <v>3327</v>
      </c>
      <c r="B13" s="5">
        <v>12</v>
      </c>
      <c r="C13" s="6" t="s">
        <v>1958</v>
      </c>
      <c r="D13" s="6" t="s">
        <v>3328</v>
      </c>
      <c r="E13" s="6">
        <v>528</v>
      </c>
      <c r="F13" s="6" t="s">
        <v>51</v>
      </c>
      <c r="G13" s="6">
        <v>52</v>
      </c>
      <c r="H13" s="6" t="s">
        <v>44</v>
      </c>
      <c r="I13" s="6" t="s">
        <v>3354</v>
      </c>
      <c r="J13" s="6" t="s">
        <v>3355</v>
      </c>
      <c r="K13" s="6" t="s">
        <v>3331</v>
      </c>
      <c r="L13" s="6">
        <v>42968133</v>
      </c>
      <c r="M13" s="6" t="s">
        <v>389</v>
      </c>
      <c r="N13" s="6" t="s">
        <v>61</v>
      </c>
      <c r="O13" s="6">
        <v>77</v>
      </c>
      <c r="P13" s="7">
        <v>30288</v>
      </c>
      <c r="Q13" s="6" t="s">
        <v>3332</v>
      </c>
      <c r="R13" s="8">
        <v>5</v>
      </c>
      <c r="S13" s="6"/>
    </row>
    <row r="14" spans="1:19" ht="25.5" x14ac:dyDescent="0.25">
      <c r="A14" s="5" t="s">
        <v>3327</v>
      </c>
      <c r="B14" s="5">
        <v>13</v>
      </c>
      <c r="C14" s="6" t="s">
        <v>1919</v>
      </c>
      <c r="D14" s="6" t="s">
        <v>3328</v>
      </c>
      <c r="E14" s="6">
        <v>522</v>
      </c>
      <c r="F14" s="6" t="s">
        <v>43</v>
      </c>
      <c r="G14" s="6">
        <v>52</v>
      </c>
      <c r="H14" s="6" t="s">
        <v>44</v>
      </c>
      <c r="I14" s="6" t="s">
        <v>3356</v>
      </c>
      <c r="J14" s="6" t="s">
        <v>3357</v>
      </c>
      <c r="K14" s="6" t="s">
        <v>3331</v>
      </c>
      <c r="L14" s="6">
        <v>39166537</v>
      </c>
      <c r="M14" s="6" t="s">
        <v>1807</v>
      </c>
      <c r="N14" s="6" t="s">
        <v>61</v>
      </c>
      <c r="O14" s="6">
        <v>133</v>
      </c>
      <c r="P14" s="7">
        <v>33213</v>
      </c>
      <c r="Q14" s="6" t="s">
        <v>3332</v>
      </c>
      <c r="R14" s="8">
        <v>5</v>
      </c>
      <c r="S14" s="6"/>
    </row>
    <row r="15" spans="1:19" ht="25.5" x14ac:dyDescent="0.25">
      <c r="A15" s="5" t="s">
        <v>3327</v>
      </c>
      <c r="B15" s="5">
        <v>14</v>
      </c>
      <c r="C15" s="6" t="s">
        <v>1960</v>
      </c>
      <c r="D15" s="6" t="s">
        <v>3328</v>
      </c>
      <c r="E15" s="6">
        <v>522</v>
      </c>
      <c r="F15" s="6" t="s">
        <v>43</v>
      </c>
      <c r="G15" s="6">
        <v>52</v>
      </c>
      <c r="H15" s="6" t="s">
        <v>44</v>
      </c>
      <c r="I15" s="6" t="s">
        <v>3358</v>
      </c>
      <c r="J15" s="6" t="s">
        <v>3359</v>
      </c>
      <c r="K15" s="6" t="s">
        <v>3331</v>
      </c>
      <c r="L15" s="6">
        <v>42969699</v>
      </c>
      <c r="M15" s="6" t="s">
        <v>328</v>
      </c>
      <c r="N15" s="6" t="s">
        <v>61</v>
      </c>
      <c r="O15" s="6">
        <v>72</v>
      </c>
      <c r="P15" s="7">
        <v>29917</v>
      </c>
      <c r="Q15" s="6" t="s">
        <v>3332</v>
      </c>
      <c r="R15" s="8">
        <v>4</v>
      </c>
      <c r="S15" s="6"/>
    </row>
    <row r="16" spans="1:19" ht="25.5" x14ac:dyDescent="0.25">
      <c r="A16" s="5" t="s">
        <v>3327</v>
      </c>
      <c r="B16" s="5">
        <v>15</v>
      </c>
      <c r="C16" s="6" t="s">
        <v>2200</v>
      </c>
      <c r="D16" s="6" t="s">
        <v>3328</v>
      </c>
      <c r="E16" s="6">
        <v>528</v>
      </c>
      <c r="F16" s="6" t="s">
        <v>51</v>
      </c>
      <c r="G16" s="6">
        <v>64</v>
      </c>
      <c r="H16" s="6" t="s">
        <v>60</v>
      </c>
      <c r="I16" s="6" t="s">
        <v>3360</v>
      </c>
      <c r="J16" s="6" t="s">
        <v>3361</v>
      </c>
      <c r="K16" s="6" t="s">
        <v>3331</v>
      </c>
      <c r="L16" s="6">
        <v>21398840</v>
      </c>
      <c r="M16" s="6" t="s">
        <v>185</v>
      </c>
      <c r="N16" s="6" t="s">
        <v>3347</v>
      </c>
      <c r="O16" s="6" t="s">
        <v>21</v>
      </c>
      <c r="P16" s="7">
        <v>28824</v>
      </c>
      <c r="Q16" s="6" t="s">
        <v>3332</v>
      </c>
      <c r="R16" s="8">
        <v>6</v>
      </c>
      <c r="S16" s="6"/>
    </row>
    <row r="17" spans="1:19" ht="25.5" x14ac:dyDescent="0.25">
      <c r="A17" s="5" t="s">
        <v>3327</v>
      </c>
      <c r="B17" s="5">
        <v>16</v>
      </c>
      <c r="C17" s="6" t="s">
        <v>2292</v>
      </c>
      <c r="D17" s="6" t="s">
        <v>3328</v>
      </c>
      <c r="E17" s="6">
        <v>670</v>
      </c>
      <c r="F17" s="6" t="s">
        <v>99</v>
      </c>
      <c r="G17" s="6">
        <v>730</v>
      </c>
      <c r="H17" s="6" t="s">
        <v>100</v>
      </c>
      <c r="I17" s="6" t="s">
        <v>3362</v>
      </c>
      <c r="J17" s="6" t="s">
        <v>3363</v>
      </c>
      <c r="K17" s="6" t="s">
        <v>3331</v>
      </c>
      <c r="L17" s="6">
        <v>43038535</v>
      </c>
      <c r="M17" s="6" t="s">
        <v>389</v>
      </c>
      <c r="N17" s="6" t="s">
        <v>61</v>
      </c>
      <c r="O17" s="6">
        <v>88</v>
      </c>
      <c r="P17" s="7">
        <v>31023</v>
      </c>
      <c r="Q17" s="6" t="s">
        <v>3332</v>
      </c>
      <c r="R17" s="8">
        <v>7</v>
      </c>
      <c r="S17" s="6"/>
    </row>
    <row r="18" spans="1:19" ht="25.5" x14ac:dyDescent="0.25">
      <c r="A18" s="5" t="s">
        <v>3327</v>
      </c>
      <c r="B18" s="5">
        <v>17</v>
      </c>
      <c r="C18" s="6" t="s">
        <v>2318</v>
      </c>
      <c r="D18" s="6" t="s">
        <v>3328</v>
      </c>
      <c r="E18" s="6">
        <v>5</v>
      </c>
      <c r="F18" s="6" t="s">
        <v>497</v>
      </c>
      <c r="G18" s="6">
        <v>1849</v>
      </c>
      <c r="H18" s="6" t="s">
        <v>498</v>
      </c>
      <c r="I18" s="6" t="s">
        <v>3364</v>
      </c>
      <c r="J18" s="6" t="s">
        <v>3365</v>
      </c>
      <c r="K18" s="6" t="s">
        <v>3331</v>
      </c>
      <c r="L18" s="6">
        <v>43834341</v>
      </c>
      <c r="M18" s="6" t="s">
        <v>79</v>
      </c>
      <c r="N18" s="6" t="s">
        <v>88</v>
      </c>
      <c r="O18" s="6">
        <v>173</v>
      </c>
      <c r="P18" s="7">
        <v>36350</v>
      </c>
      <c r="Q18" s="6" t="s">
        <v>3332</v>
      </c>
      <c r="R18" s="8">
        <v>7</v>
      </c>
      <c r="S18" s="6" t="s">
        <v>3344</v>
      </c>
    </row>
    <row r="19" spans="1:19" ht="25.5" x14ac:dyDescent="0.25">
      <c r="A19" s="5" t="s">
        <v>3327</v>
      </c>
      <c r="B19" s="5">
        <v>18</v>
      </c>
      <c r="C19" s="6" t="s">
        <v>1965</v>
      </c>
      <c r="D19" s="6" t="s">
        <v>3328</v>
      </c>
      <c r="E19" s="6">
        <v>553</v>
      </c>
      <c r="F19" s="6" t="s">
        <v>69</v>
      </c>
      <c r="G19" s="6">
        <v>182</v>
      </c>
      <c r="H19" s="6" t="s">
        <v>70</v>
      </c>
      <c r="I19" s="6" t="s">
        <v>3366</v>
      </c>
      <c r="J19" s="6" t="s">
        <v>3367</v>
      </c>
      <c r="K19" s="6" t="s">
        <v>3331</v>
      </c>
      <c r="L19" s="6">
        <v>43003115</v>
      </c>
      <c r="M19" s="6" t="s">
        <v>328</v>
      </c>
      <c r="N19" s="6" t="s">
        <v>61</v>
      </c>
      <c r="O19" s="6">
        <v>70</v>
      </c>
      <c r="P19" s="7">
        <v>29546</v>
      </c>
      <c r="Q19" s="6" t="s">
        <v>3332</v>
      </c>
      <c r="R19" s="8">
        <v>5</v>
      </c>
      <c r="S19" s="6"/>
    </row>
    <row r="20" spans="1:19" ht="25.5" x14ac:dyDescent="0.25">
      <c r="A20" s="5" t="s">
        <v>3327</v>
      </c>
      <c r="B20" s="5">
        <v>19</v>
      </c>
      <c r="C20" s="6" t="s">
        <v>2203</v>
      </c>
      <c r="D20" s="6" t="s">
        <v>3328</v>
      </c>
      <c r="E20" s="6">
        <v>538</v>
      </c>
      <c r="F20" s="6" t="s">
        <v>59</v>
      </c>
      <c r="G20" s="6">
        <v>64</v>
      </c>
      <c r="H20" s="6" t="s">
        <v>60</v>
      </c>
      <c r="I20" s="6" t="s">
        <v>3368</v>
      </c>
      <c r="J20" s="6" t="s">
        <v>3369</v>
      </c>
      <c r="K20" s="6" t="s">
        <v>3331</v>
      </c>
      <c r="L20" s="6">
        <v>32415363</v>
      </c>
      <c r="M20" s="6" t="s">
        <v>186</v>
      </c>
      <c r="N20" s="6" t="s">
        <v>88</v>
      </c>
      <c r="O20" s="6">
        <v>152</v>
      </c>
      <c r="P20" s="7">
        <v>34313</v>
      </c>
      <c r="Q20" s="6" t="s">
        <v>3332</v>
      </c>
      <c r="R20" s="8">
        <v>6</v>
      </c>
      <c r="S20" s="6"/>
    </row>
    <row r="21" spans="1:19" ht="25.5" x14ac:dyDescent="0.25">
      <c r="A21" s="5" t="s">
        <v>3327</v>
      </c>
      <c r="B21" s="5">
        <v>20</v>
      </c>
      <c r="C21" s="6" t="s">
        <v>2319</v>
      </c>
      <c r="D21" s="6" t="s">
        <v>3328</v>
      </c>
      <c r="E21" s="6">
        <v>10</v>
      </c>
      <c r="F21" s="6" t="s">
        <v>500</v>
      </c>
      <c r="G21" s="6">
        <v>1907</v>
      </c>
      <c r="H21" s="6" t="s">
        <v>501</v>
      </c>
      <c r="I21" s="6" t="s">
        <v>3370</v>
      </c>
      <c r="J21" s="6" t="s">
        <v>3371</v>
      </c>
      <c r="K21" s="6" t="s">
        <v>3331</v>
      </c>
      <c r="L21" s="6">
        <v>43584431</v>
      </c>
      <c r="M21" s="6" t="s">
        <v>79</v>
      </c>
      <c r="N21" s="6" t="s">
        <v>88</v>
      </c>
      <c r="O21" s="6">
        <v>158</v>
      </c>
      <c r="P21" s="7">
        <v>34894</v>
      </c>
      <c r="Q21" s="6" t="s">
        <v>3332</v>
      </c>
      <c r="R21" s="8">
        <v>6</v>
      </c>
      <c r="S21" s="6"/>
    </row>
    <row r="22" spans="1:19" ht="25.5" x14ac:dyDescent="0.25">
      <c r="A22" s="5" t="s">
        <v>3327</v>
      </c>
      <c r="B22" s="5">
        <v>21</v>
      </c>
      <c r="C22" s="6" t="s">
        <v>2296</v>
      </c>
      <c r="D22" s="6" t="s">
        <v>3328</v>
      </c>
      <c r="E22" s="6">
        <v>725</v>
      </c>
      <c r="F22" s="6" t="s">
        <v>361</v>
      </c>
      <c r="G22" s="6">
        <v>1058</v>
      </c>
      <c r="H22" s="6" t="s">
        <v>362</v>
      </c>
      <c r="I22" s="6" t="s">
        <v>3372</v>
      </c>
      <c r="J22" s="6" t="s">
        <v>3373</v>
      </c>
      <c r="K22" s="6" t="s">
        <v>3331</v>
      </c>
      <c r="L22" s="6">
        <v>42995284</v>
      </c>
      <c r="M22" s="6" t="s">
        <v>3320</v>
      </c>
      <c r="N22" s="6" t="s">
        <v>61</v>
      </c>
      <c r="O22" s="6">
        <v>77</v>
      </c>
      <c r="P22" s="7">
        <v>30288</v>
      </c>
      <c r="Q22" s="6" t="s">
        <v>3332</v>
      </c>
      <c r="R22" s="8">
        <v>6</v>
      </c>
      <c r="S22" s="6" t="s">
        <v>3374</v>
      </c>
    </row>
    <row r="23" spans="1:19" ht="25.5" x14ac:dyDescent="0.25">
      <c r="A23" s="5" t="s">
        <v>3327</v>
      </c>
      <c r="B23" s="5">
        <v>22</v>
      </c>
      <c r="C23" s="6" t="s">
        <v>1905</v>
      </c>
      <c r="D23" s="6" t="s">
        <v>3328</v>
      </c>
      <c r="E23" s="6">
        <v>538</v>
      </c>
      <c r="F23" s="6" t="s">
        <v>59</v>
      </c>
      <c r="G23" s="6">
        <v>64</v>
      </c>
      <c r="H23" s="6" t="s">
        <v>60</v>
      </c>
      <c r="I23" s="6" t="s">
        <v>3375</v>
      </c>
      <c r="J23" s="6" t="s">
        <v>3376</v>
      </c>
      <c r="K23" s="6" t="s">
        <v>3331</v>
      </c>
      <c r="L23" s="6">
        <v>32534205</v>
      </c>
      <c r="M23" s="6" t="s">
        <v>389</v>
      </c>
      <c r="N23" s="6" t="s">
        <v>61</v>
      </c>
      <c r="O23" s="6">
        <v>82</v>
      </c>
      <c r="P23" s="7">
        <v>30652</v>
      </c>
      <c r="Q23" s="6" t="s">
        <v>3332</v>
      </c>
      <c r="R23" s="8">
        <v>5</v>
      </c>
      <c r="S23" s="6" t="s">
        <v>3377</v>
      </c>
    </row>
    <row r="24" spans="1:19" ht="25.5" x14ac:dyDescent="0.25">
      <c r="A24" s="5" t="s">
        <v>3327</v>
      </c>
      <c r="B24" s="5">
        <v>23</v>
      </c>
      <c r="C24" s="6" t="s">
        <v>1882</v>
      </c>
      <c r="D24" s="6" t="s">
        <v>3328</v>
      </c>
      <c r="E24" s="6">
        <v>522</v>
      </c>
      <c r="F24" s="6" t="s">
        <v>43</v>
      </c>
      <c r="G24" s="6">
        <v>52</v>
      </c>
      <c r="H24" s="6" t="s">
        <v>44</v>
      </c>
      <c r="I24" s="6" t="s">
        <v>3378</v>
      </c>
      <c r="J24" s="6" t="s">
        <v>3379</v>
      </c>
      <c r="K24" s="6" t="s">
        <v>3331</v>
      </c>
      <c r="L24" s="6">
        <v>31400296</v>
      </c>
      <c r="M24" s="6" t="s">
        <v>389</v>
      </c>
      <c r="N24" s="6" t="s">
        <v>61</v>
      </c>
      <c r="O24" s="6">
        <v>82</v>
      </c>
      <c r="P24" s="7">
        <v>30652</v>
      </c>
      <c r="Q24" s="6" t="s">
        <v>3332</v>
      </c>
      <c r="R24" s="8">
        <v>5</v>
      </c>
      <c r="S24" s="6" t="s">
        <v>3380</v>
      </c>
    </row>
    <row r="25" spans="1:19" ht="25.5" x14ac:dyDescent="0.25">
      <c r="A25" s="5" t="s">
        <v>3327</v>
      </c>
      <c r="B25" s="5">
        <v>24</v>
      </c>
      <c r="C25" s="6" t="s">
        <v>1975</v>
      </c>
      <c r="D25" s="6" t="s">
        <v>3328</v>
      </c>
      <c r="E25" s="6">
        <v>528</v>
      </c>
      <c r="F25" s="6" t="s">
        <v>51</v>
      </c>
      <c r="G25" s="6">
        <v>433</v>
      </c>
      <c r="H25" s="6" t="s">
        <v>266</v>
      </c>
      <c r="I25" s="6" t="s">
        <v>3381</v>
      </c>
      <c r="J25" s="6" t="s">
        <v>3382</v>
      </c>
      <c r="K25" s="6" t="s">
        <v>3331</v>
      </c>
      <c r="L25" s="6">
        <v>43039807</v>
      </c>
      <c r="M25" s="6" t="s">
        <v>389</v>
      </c>
      <c r="N25" s="6" t="s">
        <v>61</v>
      </c>
      <c r="O25" s="6">
        <v>83</v>
      </c>
      <c r="P25" s="7">
        <v>30652</v>
      </c>
      <c r="Q25" s="6" t="s">
        <v>3332</v>
      </c>
      <c r="R25" s="8">
        <v>6</v>
      </c>
      <c r="S25" s="6" t="s">
        <v>3383</v>
      </c>
    </row>
    <row r="26" spans="1:19" ht="25.5" x14ac:dyDescent="0.25">
      <c r="A26" s="5" t="s">
        <v>3327</v>
      </c>
      <c r="B26" s="5">
        <v>25</v>
      </c>
      <c r="C26" s="6" t="s">
        <v>1899</v>
      </c>
      <c r="D26" s="6" t="s">
        <v>3328</v>
      </c>
      <c r="E26" s="6">
        <v>489</v>
      </c>
      <c r="F26" s="6" t="s">
        <v>31</v>
      </c>
      <c r="G26" s="6">
        <v>26</v>
      </c>
      <c r="H26" s="6" t="s">
        <v>29</v>
      </c>
      <c r="I26" s="6" t="s">
        <v>3384</v>
      </c>
      <c r="J26" s="6" t="s">
        <v>3385</v>
      </c>
      <c r="K26" s="6" t="s">
        <v>3331</v>
      </c>
      <c r="L26" s="6">
        <v>32493596</v>
      </c>
      <c r="M26" s="6" t="s">
        <v>3386</v>
      </c>
      <c r="N26" s="6" t="s">
        <v>3347</v>
      </c>
      <c r="O26" s="6" t="s">
        <v>21</v>
      </c>
      <c r="P26" s="7">
        <v>27725</v>
      </c>
      <c r="Q26" s="6" t="s">
        <v>3332</v>
      </c>
      <c r="R26" s="8">
        <v>5</v>
      </c>
      <c r="S26" s="6" t="s">
        <v>3387</v>
      </c>
    </row>
    <row r="27" spans="1:19" ht="25.5" x14ac:dyDescent="0.25">
      <c r="A27" s="5" t="s">
        <v>3327</v>
      </c>
      <c r="B27" s="5">
        <v>26</v>
      </c>
      <c r="C27" s="6" t="s">
        <v>2201</v>
      </c>
      <c r="D27" s="6" t="s">
        <v>3328</v>
      </c>
      <c r="E27" s="6">
        <v>544</v>
      </c>
      <c r="F27" s="6" t="s">
        <v>65</v>
      </c>
      <c r="G27" s="6">
        <v>135</v>
      </c>
      <c r="H27" s="6" t="s">
        <v>66</v>
      </c>
      <c r="I27" s="6" t="s">
        <v>3388</v>
      </c>
      <c r="J27" s="6" t="s">
        <v>3389</v>
      </c>
      <c r="K27" s="6" t="s">
        <v>3331</v>
      </c>
      <c r="L27" s="6">
        <v>37222427</v>
      </c>
      <c r="M27" s="6" t="s">
        <v>185</v>
      </c>
      <c r="N27" s="6" t="s">
        <v>3347</v>
      </c>
      <c r="O27" s="6" t="s">
        <v>21</v>
      </c>
      <c r="P27" s="7">
        <v>28090</v>
      </c>
      <c r="Q27" s="6" t="s">
        <v>3332</v>
      </c>
      <c r="R27" s="8">
        <v>5</v>
      </c>
      <c r="S27" s="6"/>
    </row>
    <row r="28" spans="1:19" ht="25.5" x14ac:dyDescent="0.25">
      <c r="A28" s="5" t="s">
        <v>3327</v>
      </c>
      <c r="B28" s="5">
        <v>27</v>
      </c>
      <c r="C28" s="6" t="s">
        <v>1973</v>
      </c>
      <c r="D28" s="6" t="s">
        <v>3328</v>
      </c>
      <c r="E28" s="6">
        <v>528</v>
      </c>
      <c r="F28" s="6" t="s">
        <v>51</v>
      </c>
      <c r="G28" s="6">
        <v>52</v>
      </c>
      <c r="H28" s="6" t="s">
        <v>44</v>
      </c>
      <c r="I28" s="6" t="s">
        <v>3390</v>
      </c>
      <c r="J28" s="6" t="s">
        <v>3391</v>
      </c>
      <c r="K28" s="6" t="s">
        <v>3331</v>
      </c>
      <c r="L28" s="6">
        <v>43031677</v>
      </c>
      <c r="M28" s="6" t="s">
        <v>389</v>
      </c>
      <c r="N28" s="6" t="s">
        <v>61</v>
      </c>
      <c r="O28" s="6">
        <v>83</v>
      </c>
      <c r="P28" s="7">
        <v>30652</v>
      </c>
      <c r="Q28" s="6" t="s">
        <v>3332</v>
      </c>
      <c r="R28" s="8">
        <v>5</v>
      </c>
      <c r="S28" s="6" t="s">
        <v>3380</v>
      </c>
    </row>
    <row r="29" spans="1:19" ht="25.5" x14ac:dyDescent="0.25">
      <c r="A29" s="5" t="s">
        <v>3327</v>
      </c>
      <c r="B29" s="5">
        <v>28</v>
      </c>
      <c r="C29" s="6" t="s">
        <v>1898</v>
      </c>
      <c r="D29" s="6" t="s">
        <v>3328</v>
      </c>
      <c r="E29" s="6">
        <v>522</v>
      </c>
      <c r="F29" s="6" t="s">
        <v>43</v>
      </c>
      <c r="G29" s="6">
        <v>52</v>
      </c>
      <c r="H29" s="6" t="s">
        <v>44</v>
      </c>
      <c r="I29" s="6" t="s">
        <v>3392</v>
      </c>
      <c r="J29" s="6" t="s">
        <v>3393</v>
      </c>
      <c r="K29" s="6" t="s">
        <v>3331</v>
      </c>
      <c r="L29" s="6">
        <v>32483884</v>
      </c>
      <c r="M29" s="6" t="s">
        <v>328</v>
      </c>
      <c r="N29" s="6" t="s">
        <v>61</v>
      </c>
      <c r="O29" s="6">
        <v>81</v>
      </c>
      <c r="P29" s="7">
        <v>30652</v>
      </c>
      <c r="Q29" s="6" t="s">
        <v>3332</v>
      </c>
      <c r="R29" s="8">
        <v>5</v>
      </c>
      <c r="S29" s="10" t="s">
        <v>3394</v>
      </c>
    </row>
    <row r="30" spans="1:19" ht="25.5" x14ac:dyDescent="0.25">
      <c r="A30" s="5" t="s">
        <v>3327</v>
      </c>
      <c r="B30" s="5">
        <v>29</v>
      </c>
      <c r="C30" s="6" t="s">
        <v>1889</v>
      </c>
      <c r="D30" s="6" t="s">
        <v>3328</v>
      </c>
      <c r="E30" s="6">
        <v>528</v>
      </c>
      <c r="F30" s="6" t="s">
        <v>51</v>
      </c>
      <c r="G30" s="6">
        <v>52</v>
      </c>
      <c r="H30" s="6" t="s">
        <v>44</v>
      </c>
      <c r="I30" s="6" t="s">
        <v>3395</v>
      </c>
      <c r="J30" s="6" t="s">
        <v>3396</v>
      </c>
      <c r="K30" s="6" t="s">
        <v>3331</v>
      </c>
      <c r="L30" s="6">
        <v>32414415</v>
      </c>
      <c r="M30" s="6" t="s">
        <v>186</v>
      </c>
      <c r="N30" s="6" t="s">
        <v>505</v>
      </c>
      <c r="O30" s="6">
        <v>82</v>
      </c>
      <c r="P30" s="7">
        <v>26627</v>
      </c>
      <c r="Q30" s="6" t="s">
        <v>3332</v>
      </c>
      <c r="R30" s="8">
        <v>5</v>
      </c>
      <c r="S30" s="6"/>
    </row>
    <row r="31" spans="1:19" ht="25.5" x14ac:dyDescent="0.25">
      <c r="A31" s="5" t="s">
        <v>3327</v>
      </c>
      <c r="B31" s="5">
        <v>30</v>
      </c>
      <c r="C31" s="6" t="s">
        <v>1883</v>
      </c>
      <c r="D31" s="6" t="s">
        <v>3328</v>
      </c>
      <c r="E31" s="6">
        <v>594</v>
      </c>
      <c r="F31" s="6" t="s">
        <v>77</v>
      </c>
      <c r="G31" s="6">
        <v>488</v>
      </c>
      <c r="H31" s="6" t="s">
        <v>78</v>
      </c>
      <c r="I31" s="6" t="s">
        <v>3397</v>
      </c>
      <c r="J31" s="6" t="s">
        <v>3398</v>
      </c>
      <c r="K31" s="6" t="s">
        <v>3331</v>
      </c>
      <c r="L31" s="6">
        <v>32320407</v>
      </c>
      <c r="M31" s="6" t="s">
        <v>790</v>
      </c>
      <c r="N31" s="6" t="s">
        <v>61</v>
      </c>
      <c r="O31" s="6">
        <v>149</v>
      </c>
      <c r="P31" s="7">
        <v>34312</v>
      </c>
      <c r="Q31" s="6" t="s">
        <v>3332</v>
      </c>
      <c r="R31" s="8">
        <v>8</v>
      </c>
      <c r="S31" s="6"/>
    </row>
    <row r="32" spans="1:19" ht="25.5" x14ac:dyDescent="0.25">
      <c r="A32" s="5" t="s">
        <v>3327</v>
      </c>
      <c r="B32" s="5">
        <v>31</v>
      </c>
      <c r="C32" s="6" t="s">
        <v>1888</v>
      </c>
      <c r="D32" s="6" t="s">
        <v>3328</v>
      </c>
      <c r="E32" s="6">
        <v>528</v>
      </c>
      <c r="F32" s="6" t="s">
        <v>51</v>
      </c>
      <c r="G32" s="6">
        <v>52</v>
      </c>
      <c r="H32" s="6" t="s">
        <v>44</v>
      </c>
      <c r="I32" s="6" t="s">
        <v>3399</v>
      </c>
      <c r="J32" s="6" t="s">
        <v>3393</v>
      </c>
      <c r="K32" s="6" t="s">
        <v>3331</v>
      </c>
      <c r="L32" s="6">
        <v>32406405</v>
      </c>
      <c r="M32" s="6" t="s">
        <v>185</v>
      </c>
      <c r="N32" s="6" t="s">
        <v>3347</v>
      </c>
      <c r="O32" s="6" t="s">
        <v>21</v>
      </c>
      <c r="P32" s="7">
        <v>25900</v>
      </c>
      <c r="Q32" s="6" t="s">
        <v>3332</v>
      </c>
      <c r="R32" s="8">
        <v>6</v>
      </c>
      <c r="S32" s="6"/>
    </row>
    <row r="33" spans="1:19" ht="25.5" x14ac:dyDescent="0.25">
      <c r="A33" s="5" t="s">
        <v>3327</v>
      </c>
      <c r="B33" s="5">
        <v>32</v>
      </c>
      <c r="C33" s="6" t="s">
        <v>1940</v>
      </c>
      <c r="D33" s="6" t="s">
        <v>3328</v>
      </c>
      <c r="E33" s="6">
        <v>528</v>
      </c>
      <c r="F33" s="6" t="s">
        <v>51</v>
      </c>
      <c r="G33" s="6">
        <v>52</v>
      </c>
      <c r="H33" s="6" t="s">
        <v>44</v>
      </c>
      <c r="I33" s="6" t="s">
        <v>3400</v>
      </c>
      <c r="J33" s="6" t="s">
        <v>3401</v>
      </c>
      <c r="K33" s="6" t="s">
        <v>3331</v>
      </c>
      <c r="L33" s="6">
        <v>42865790</v>
      </c>
      <c r="M33" s="6" t="s">
        <v>328</v>
      </c>
      <c r="N33" s="6" t="s">
        <v>61</v>
      </c>
      <c r="O33" s="6">
        <v>80</v>
      </c>
      <c r="P33" s="7">
        <v>30491</v>
      </c>
      <c r="Q33" s="6" t="s">
        <v>3332</v>
      </c>
      <c r="R33" s="8">
        <v>5</v>
      </c>
      <c r="S33" s="6" t="s">
        <v>3380</v>
      </c>
    </row>
    <row r="34" spans="1:19" ht="25.5" x14ac:dyDescent="0.25">
      <c r="A34" s="5" t="s">
        <v>3327</v>
      </c>
      <c r="B34" s="5">
        <v>33</v>
      </c>
      <c r="C34" s="6" t="s">
        <v>1892</v>
      </c>
      <c r="D34" s="6" t="s">
        <v>3328</v>
      </c>
      <c r="E34" s="6">
        <v>522</v>
      </c>
      <c r="F34" s="6" t="s">
        <v>43</v>
      </c>
      <c r="G34" s="6">
        <v>52</v>
      </c>
      <c r="H34" s="6" t="s">
        <v>44</v>
      </c>
      <c r="I34" s="6" t="s">
        <v>3402</v>
      </c>
      <c r="J34" s="6" t="s">
        <v>3403</v>
      </c>
      <c r="K34" s="6" t="s">
        <v>3331</v>
      </c>
      <c r="L34" s="6">
        <v>32446409</v>
      </c>
      <c r="M34" s="6" t="s">
        <v>3386</v>
      </c>
      <c r="N34" s="6" t="s">
        <v>3347</v>
      </c>
      <c r="O34" s="6" t="s">
        <v>21</v>
      </c>
      <c r="P34" s="7">
        <v>26263</v>
      </c>
      <c r="Q34" s="6" t="s">
        <v>3332</v>
      </c>
      <c r="R34" s="8">
        <v>4</v>
      </c>
      <c r="S34" s="6"/>
    </row>
    <row r="35" spans="1:19" ht="25.5" x14ac:dyDescent="0.25">
      <c r="A35" s="5" t="s">
        <v>3327</v>
      </c>
      <c r="B35" s="5">
        <v>34</v>
      </c>
      <c r="C35" s="6" t="s">
        <v>1894</v>
      </c>
      <c r="D35" s="6" t="s">
        <v>3328</v>
      </c>
      <c r="E35" s="6">
        <v>519</v>
      </c>
      <c r="F35" s="6" t="s">
        <v>39</v>
      </c>
      <c r="G35" s="6">
        <v>27</v>
      </c>
      <c r="H35" s="6" t="s">
        <v>40</v>
      </c>
      <c r="I35" s="6" t="s">
        <v>3404</v>
      </c>
      <c r="J35" s="6" t="s">
        <v>3405</v>
      </c>
      <c r="K35" s="6" t="s">
        <v>3331</v>
      </c>
      <c r="L35" s="6">
        <v>32463466</v>
      </c>
      <c r="M35" s="6" t="s">
        <v>3386</v>
      </c>
      <c r="N35" s="6" t="s">
        <v>3347</v>
      </c>
      <c r="O35" s="6" t="s">
        <v>21</v>
      </c>
      <c r="P35" s="7">
        <v>26633</v>
      </c>
      <c r="Q35" s="6" t="s">
        <v>3332</v>
      </c>
      <c r="R35" s="8">
        <v>5</v>
      </c>
      <c r="S35" s="6"/>
    </row>
    <row r="36" spans="1:19" ht="25.5" x14ac:dyDescent="0.25">
      <c r="A36" s="5" t="s">
        <v>3327</v>
      </c>
      <c r="B36" s="5">
        <v>35</v>
      </c>
      <c r="C36" s="6" t="s">
        <v>1970</v>
      </c>
      <c r="D36" s="6" t="s">
        <v>3328</v>
      </c>
      <c r="E36" s="6">
        <v>522</v>
      </c>
      <c r="F36" s="6" t="s">
        <v>43</v>
      </c>
      <c r="G36" s="6">
        <v>52</v>
      </c>
      <c r="H36" s="6" t="s">
        <v>44</v>
      </c>
      <c r="I36" s="6" t="s">
        <v>3406</v>
      </c>
      <c r="J36" s="6" t="s">
        <v>3407</v>
      </c>
      <c r="K36" s="6" t="s">
        <v>3331</v>
      </c>
      <c r="L36" s="6">
        <v>43020929</v>
      </c>
      <c r="M36" s="6" t="s">
        <v>3320</v>
      </c>
      <c r="N36" s="6" t="s">
        <v>61</v>
      </c>
      <c r="O36" s="6">
        <v>82</v>
      </c>
      <c r="P36" s="7">
        <v>30652</v>
      </c>
      <c r="Q36" s="6" t="s">
        <v>3332</v>
      </c>
      <c r="R36" s="8">
        <v>5</v>
      </c>
      <c r="S36" s="6" t="s">
        <v>3383</v>
      </c>
    </row>
    <row r="37" spans="1:19" ht="25.5" x14ac:dyDescent="0.25">
      <c r="A37" s="5" t="s">
        <v>3327</v>
      </c>
      <c r="B37" s="5">
        <v>36</v>
      </c>
      <c r="C37" s="6" t="s">
        <v>1949</v>
      </c>
      <c r="D37" s="6" t="s">
        <v>3328</v>
      </c>
      <c r="E37" s="6">
        <v>497</v>
      </c>
      <c r="F37" s="6" t="s">
        <v>32</v>
      </c>
      <c r="G37" s="6">
        <v>4</v>
      </c>
      <c r="H37" s="6" t="s">
        <v>33</v>
      </c>
      <c r="I37" s="6" t="s">
        <v>3408</v>
      </c>
      <c r="J37" s="6" t="s">
        <v>3409</v>
      </c>
      <c r="K37" s="6" t="s">
        <v>3331</v>
      </c>
      <c r="L37" s="6">
        <v>42880217</v>
      </c>
      <c r="M37" s="6" t="s">
        <v>3320</v>
      </c>
      <c r="N37" s="6" t="s">
        <v>61</v>
      </c>
      <c r="O37" s="6">
        <v>88</v>
      </c>
      <c r="P37" s="7">
        <v>31023</v>
      </c>
      <c r="Q37" s="6" t="s">
        <v>3332</v>
      </c>
      <c r="R37" s="8">
        <v>5</v>
      </c>
      <c r="S37" s="6"/>
    </row>
    <row r="38" spans="1:19" ht="25.5" x14ac:dyDescent="0.25">
      <c r="A38" s="5" t="s">
        <v>3327</v>
      </c>
      <c r="B38" s="5">
        <v>37</v>
      </c>
      <c r="C38" s="6" t="s">
        <v>2014</v>
      </c>
      <c r="D38" s="6" t="s">
        <v>3328</v>
      </c>
      <c r="E38" s="6">
        <v>569</v>
      </c>
      <c r="F38" s="6" t="s">
        <v>83</v>
      </c>
      <c r="G38" s="6">
        <v>324</v>
      </c>
      <c r="H38" s="6" t="s">
        <v>84</v>
      </c>
      <c r="I38" s="6" t="s">
        <v>3410</v>
      </c>
      <c r="J38" s="6" t="s">
        <v>3411</v>
      </c>
      <c r="K38" s="6" t="s">
        <v>3331</v>
      </c>
      <c r="L38" s="6">
        <v>43734136</v>
      </c>
      <c r="M38" s="6" t="s">
        <v>790</v>
      </c>
      <c r="N38" s="6" t="s">
        <v>61</v>
      </c>
      <c r="O38" s="6">
        <v>149</v>
      </c>
      <c r="P38" s="7">
        <v>34312</v>
      </c>
      <c r="Q38" s="6" t="s">
        <v>3332</v>
      </c>
      <c r="R38" s="8">
        <v>6</v>
      </c>
      <c r="S38" s="6"/>
    </row>
    <row r="39" spans="1:19" ht="25.5" x14ac:dyDescent="0.25">
      <c r="A39" s="5" t="s">
        <v>3327</v>
      </c>
      <c r="B39" s="5">
        <v>38</v>
      </c>
      <c r="C39" s="6" t="s">
        <v>3298</v>
      </c>
      <c r="D39" s="6" t="s">
        <v>3328</v>
      </c>
      <c r="E39" s="6">
        <v>217</v>
      </c>
      <c r="F39" s="6" t="s">
        <v>3316</v>
      </c>
      <c r="G39" s="6">
        <v>152</v>
      </c>
      <c r="H39" s="6" t="s">
        <v>3412</v>
      </c>
      <c r="I39" s="6" t="s">
        <v>3413</v>
      </c>
      <c r="J39" s="6" t="s">
        <v>3414</v>
      </c>
      <c r="K39" s="6" t="s">
        <v>3331</v>
      </c>
      <c r="L39" s="6">
        <v>830055</v>
      </c>
      <c r="M39" s="6" t="s">
        <v>3317</v>
      </c>
      <c r="N39" s="6" t="s">
        <v>3318</v>
      </c>
      <c r="O39" s="6" t="s">
        <v>21</v>
      </c>
      <c r="P39" s="6" t="s">
        <v>21</v>
      </c>
      <c r="Q39" s="6" t="s">
        <v>3415</v>
      </c>
      <c r="R39" s="8">
        <v>9</v>
      </c>
      <c r="S39" s="6"/>
    </row>
    <row r="40" spans="1:19" ht="25.5" x14ac:dyDescent="0.25">
      <c r="A40" s="5" t="s">
        <v>3327</v>
      </c>
      <c r="B40" s="5">
        <v>39</v>
      </c>
      <c r="C40" s="6" t="s">
        <v>1996</v>
      </c>
      <c r="D40" s="6" t="s">
        <v>3328</v>
      </c>
      <c r="E40" s="6">
        <v>17</v>
      </c>
      <c r="F40" s="6" t="s">
        <v>528</v>
      </c>
      <c r="G40" s="6">
        <v>1991</v>
      </c>
      <c r="H40" s="6" t="s">
        <v>529</v>
      </c>
      <c r="I40" s="6" t="s">
        <v>3416</v>
      </c>
      <c r="J40" s="6" t="s">
        <v>3417</v>
      </c>
      <c r="K40" s="6" t="s">
        <v>3331</v>
      </c>
      <c r="L40" s="6">
        <v>43105937</v>
      </c>
      <c r="M40" s="6" t="s">
        <v>547</v>
      </c>
      <c r="N40" s="6" t="s">
        <v>446</v>
      </c>
      <c r="O40" s="6">
        <v>218</v>
      </c>
      <c r="P40" s="7">
        <v>36697</v>
      </c>
      <c r="Q40" s="6" t="s">
        <v>3332</v>
      </c>
      <c r="R40" s="8">
        <v>6</v>
      </c>
      <c r="S40" s="6"/>
    </row>
    <row r="41" spans="1:19" ht="25.5" x14ac:dyDescent="0.25">
      <c r="A41" s="5" t="s">
        <v>3327</v>
      </c>
      <c r="B41" s="5">
        <v>40</v>
      </c>
      <c r="C41" s="6" t="s">
        <v>1922</v>
      </c>
      <c r="D41" s="6" t="s">
        <v>3328</v>
      </c>
      <c r="E41" s="6">
        <v>17</v>
      </c>
      <c r="F41" s="6" t="s">
        <v>528</v>
      </c>
      <c r="G41" s="6">
        <v>1991</v>
      </c>
      <c r="H41" s="6" t="s">
        <v>529</v>
      </c>
      <c r="I41" s="6" t="s">
        <v>3418</v>
      </c>
      <c r="J41" s="6" t="s">
        <v>3419</v>
      </c>
      <c r="K41" s="6" t="s">
        <v>3331</v>
      </c>
      <c r="L41" s="6">
        <v>39269915</v>
      </c>
      <c r="M41" s="6" t="s">
        <v>331</v>
      </c>
      <c r="N41" s="6" t="s">
        <v>61</v>
      </c>
      <c r="O41" s="6">
        <v>126</v>
      </c>
      <c r="P41" s="7">
        <v>32848</v>
      </c>
      <c r="Q41" s="6" t="s">
        <v>3332</v>
      </c>
      <c r="R41" s="8">
        <v>6</v>
      </c>
      <c r="S41" s="6"/>
    </row>
    <row r="42" spans="1:19" ht="25.5" x14ac:dyDescent="0.25">
      <c r="A42" s="5" t="s">
        <v>3327</v>
      </c>
      <c r="B42" s="5">
        <v>41</v>
      </c>
      <c r="C42" s="6" t="s">
        <v>1961</v>
      </c>
      <c r="D42" s="6" t="s">
        <v>3328</v>
      </c>
      <c r="E42" s="6">
        <v>522</v>
      </c>
      <c r="F42" s="6" t="s">
        <v>43</v>
      </c>
      <c r="G42" s="6">
        <v>52</v>
      </c>
      <c r="H42" s="6" t="s">
        <v>44</v>
      </c>
      <c r="I42" s="6" t="s">
        <v>3420</v>
      </c>
      <c r="J42" s="6" t="s">
        <v>3421</v>
      </c>
      <c r="K42" s="6" t="s">
        <v>3331</v>
      </c>
      <c r="L42" s="6">
        <v>42988381</v>
      </c>
      <c r="M42" s="6" t="s">
        <v>389</v>
      </c>
      <c r="N42" s="6" t="s">
        <v>61</v>
      </c>
      <c r="O42" s="6">
        <v>77</v>
      </c>
      <c r="P42" s="7">
        <v>30288</v>
      </c>
      <c r="Q42" s="6" t="s">
        <v>3332</v>
      </c>
      <c r="R42" s="8">
        <v>5</v>
      </c>
      <c r="S42" s="10" t="s">
        <v>3422</v>
      </c>
    </row>
    <row r="43" spans="1:19" ht="25.5" x14ac:dyDescent="0.25">
      <c r="A43" s="5" t="s">
        <v>3327</v>
      </c>
      <c r="B43" s="5">
        <v>42</v>
      </c>
      <c r="C43" s="6" t="s">
        <v>1867</v>
      </c>
      <c r="D43" s="6" t="s">
        <v>3328</v>
      </c>
      <c r="E43" s="6">
        <v>528</v>
      </c>
      <c r="F43" s="6" t="s">
        <v>51</v>
      </c>
      <c r="G43" s="6">
        <v>52</v>
      </c>
      <c r="H43" s="6" t="s">
        <v>44</v>
      </c>
      <c r="I43" s="6" t="s">
        <v>3423</v>
      </c>
      <c r="J43" s="6" t="s">
        <v>3424</v>
      </c>
      <c r="K43" s="6" t="s">
        <v>3331</v>
      </c>
      <c r="L43" s="6">
        <v>32463465</v>
      </c>
      <c r="M43" s="6" t="s">
        <v>3386</v>
      </c>
      <c r="N43" s="6" t="s">
        <v>3347</v>
      </c>
      <c r="O43" s="6" t="s">
        <v>21</v>
      </c>
      <c r="P43" s="7">
        <v>26633</v>
      </c>
      <c r="Q43" s="6" t="s">
        <v>3332</v>
      </c>
      <c r="R43" s="8">
        <v>5</v>
      </c>
      <c r="S43" s="6"/>
    </row>
    <row r="44" spans="1:19" ht="25.5" x14ac:dyDescent="0.25">
      <c r="A44" s="5" t="s">
        <v>3327</v>
      </c>
      <c r="B44" s="5">
        <v>43</v>
      </c>
      <c r="C44" s="6" t="s">
        <v>2227</v>
      </c>
      <c r="D44" s="6" t="s">
        <v>3328</v>
      </c>
      <c r="E44" s="6">
        <v>706</v>
      </c>
      <c r="F44" s="6" t="s">
        <v>329</v>
      </c>
      <c r="G44" s="6">
        <v>922</v>
      </c>
      <c r="H44" s="6" t="s">
        <v>330</v>
      </c>
      <c r="I44" s="6" t="s">
        <v>3425</v>
      </c>
      <c r="J44" s="6" t="s">
        <v>3426</v>
      </c>
      <c r="K44" s="6" t="s">
        <v>3331</v>
      </c>
      <c r="L44" s="6">
        <v>32419664</v>
      </c>
      <c r="M44" s="6" t="s">
        <v>328</v>
      </c>
      <c r="N44" s="6" t="s">
        <v>61</v>
      </c>
      <c r="O44" s="6">
        <v>70</v>
      </c>
      <c r="P44" s="7">
        <v>29546</v>
      </c>
      <c r="Q44" s="6" t="s">
        <v>3332</v>
      </c>
      <c r="R44" s="8">
        <v>5</v>
      </c>
      <c r="S44" s="10" t="s">
        <v>3427</v>
      </c>
    </row>
    <row r="45" spans="1:19" ht="25.5" x14ac:dyDescent="0.25">
      <c r="A45" s="5" t="s">
        <v>3327</v>
      </c>
      <c r="B45" s="5">
        <v>44</v>
      </c>
      <c r="C45" s="6" t="s">
        <v>1897</v>
      </c>
      <c r="D45" s="6" t="s">
        <v>3328</v>
      </c>
      <c r="E45" s="6">
        <v>519</v>
      </c>
      <c r="F45" s="6" t="s">
        <v>39</v>
      </c>
      <c r="G45" s="6">
        <v>27</v>
      </c>
      <c r="H45" s="6" t="s">
        <v>40</v>
      </c>
      <c r="I45" s="6" t="s">
        <v>3428</v>
      </c>
      <c r="J45" s="6" t="s">
        <v>3429</v>
      </c>
      <c r="K45" s="6" t="s">
        <v>3331</v>
      </c>
      <c r="L45" s="6">
        <v>32478583</v>
      </c>
      <c r="M45" s="6" t="s">
        <v>328</v>
      </c>
      <c r="N45" s="6" t="s">
        <v>61</v>
      </c>
      <c r="O45" s="6">
        <v>70</v>
      </c>
      <c r="P45" s="7">
        <v>29546</v>
      </c>
      <c r="Q45" s="6" t="s">
        <v>3332</v>
      </c>
      <c r="R45" s="8">
        <v>6</v>
      </c>
      <c r="S45" s="10" t="s">
        <v>3427</v>
      </c>
    </row>
    <row r="46" spans="1:19" ht="25.5" x14ac:dyDescent="0.25">
      <c r="A46" s="5" t="s">
        <v>3327</v>
      </c>
      <c r="B46" s="5">
        <v>45</v>
      </c>
      <c r="C46" s="6" t="s">
        <v>2298</v>
      </c>
      <c r="D46" s="6" t="s">
        <v>3328</v>
      </c>
      <c r="E46" s="6">
        <v>747</v>
      </c>
      <c r="F46" s="6" t="s">
        <v>348</v>
      </c>
      <c r="G46" s="6">
        <v>1221</v>
      </c>
      <c r="H46" s="6" t="s">
        <v>349</v>
      </c>
      <c r="I46" s="6" t="s">
        <v>3430</v>
      </c>
      <c r="J46" s="6" t="s">
        <v>3431</v>
      </c>
      <c r="K46" s="6" t="s">
        <v>3331</v>
      </c>
      <c r="L46" s="6">
        <v>42874884</v>
      </c>
      <c r="M46" s="6" t="s">
        <v>3320</v>
      </c>
      <c r="N46" s="6" t="s">
        <v>61</v>
      </c>
      <c r="O46" s="6">
        <v>91</v>
      </c>
      <c r="P46" s="7">
        <v>31233</v>
      </c>
      <c r="Q46" s="6" t="s">
        <v>3332</v>
      </c>
      <c r="R46" s="8">
        <v>5</v>
      </c>
      <c r="S46" s="6"/>
    </row>
    <row r="47" spans="1:19" ht="25.5" x14ac:dyDescent="0.25">
      <c r="A47" s="5" t="s">
        <v>3327</v>
      </c>
      <c r="B47" s="5">
        <v>46</v>
      </c>
      <c r="C47" s="6" t="s">
        <v>1950</v>
      </c>
      <c r="D47" s="6" t="s">
        <v>3328</v>
      </c>
      <c r="E47" s="6">
        <v>497</v>
      </c>
      <c r="F47" s="6" t="s">
        <v>32</v>
      </c>
      <c r="G47" s="6">
        <v>4</v>
      </c>
      <c r="H47" s="6" t="s">
        <v>33</v>
      </c>
      <c r="I47" s="6" t="s">
        <v>3432</v>
      </c>
      <c r="J47" s="6" t="s">
        <v>3433</v>
      </c>
      <c r="K47" s="6" t="s">
        <v>3331</v>
      </c>
      <c r="L47" s="6">
        <v>42880218</v>
      </c>
      <c r="M47" s="6" t="s">
        <v>3320</v>
      </c>
      <c r="N47" s="6" t="s">
        <v>61</v>
      </c>
      <c r="O47" s="6">
        <v>88</v>
      </c>
      <c r="P47" s="7">
        <v>31023</v>
      </c>
      <c r="Q47" s="6" t="s">
        <v>3332</v>
      </c>
      <c r="R47" s="8">
        <v>6</v>
      </c>
      <c r="S47" s="6"/>
    </row>
    <row r="48" spans="1:19" ht="25.5" x14ac:dyDescent="0.25">
      <c r="A48" s="5" t="s">
        <v>3327</v>
      </c>
      <c r="B48" s="5">
        <v>47</v>
      </c>
      <c r="C48" s="6" t="s">
        <v>1937</v>
      </c>
      <c r="D48" s="6" t="s">
        <v>3328</v>
      </c>
      <c r="E48" s="6">
        <v>30</v>
      </c>
      <c r="F48" s="6" t="s">
        <v>516</v>
      </c>
      <c r="G48" s="6">
        <v>2185</v>
      </c>
      <c r="H48" s="6" t="s">
        <v>517</v>
      </c>
      <c r="I48" s="6" t="s">
        <v>3434</v>
      </c>
      <c r="J48" s="6" t="s">
        <v>3435</v>
      </c>
      <c r="K48" s="6" t="s">
        <v>3331</v>
      </c>
      <c r="L48" s="6">
        <v>42777508</v>
      </c>
      <c r="M48" s="6" t="s">
        <v>19</v>
      </c>
      <c r="N48" s="6" t="s">
        <v>61</v>
      </c>
      <c r="O48" s="6">
        <v>143</v>
      </c>
      <c r="P48" s="6" t="s">
        <v>518</v>
      </c>
      <c r="Q48" s="6" t="s">
        <v>3332</v>
      </c>
      <c r="R48" s="8">
        <v>5</v>
      </c>
      <c r="S48" s="6"/>
    </row>
    <row r="49" spans="1:19" ht="25.5" x14ac:dyDescent="0.25">
      <c r="A49" s="5" t="s">
        <v>3327</v>
      </c>
      <c r="B49" s="5">
        <v>48</v>
      </c>
      <c r="C49" s="6" t="s">
        <v>1900</v>
      </c>
      <c r="D49" s="6" t="s">
        <v>3328</v>
      </c>
      <c r="E49" s="6">
        <v>528</v>
      </c>
      <c r="F49" s="6" t="s">
        <v>51</v>
      </c>
      <c r="G49" s="6">
        <v>52</v>
      </c>
      <c r="H49" s="6" t="s">
        <v>44</v>
      </c>
      <c r="I49" s="6" t="s">
        <v>3436</v>
      </c>
      <c r="J49" s="6" t="s">
        <v>3437</v>
      </c>
      <c r="K49" s="6" t="s">
        <v>3331</v>
      </c>
      <c r="L49" s="6">
        <v>32516081</v>
      </c>
      <c r="M49" s="6" t="s">
        <v>3386</v>
      </c>
      <c r="N49" s="6" t="s">
        <v>3347</v>
      </c>
      <c r="O49" s="6" t="s">
        <v>21</v>
      </c>
      <c r="P49" s="7">
        <v>26998</v>
      </c>
      <c r="Q49" s="6" t="s">
        <v>3332</v>
      </c>
      <c r="R49" s="8">
        <v>6</v>
      </c>
      <c r="S49" s="6"/>
    </row>
    <row r="50" spans="1:19" ht="25.5" x14ac:dyDescent="0.25">
      <c r="A50" s="5" t="s">
        <v>3327</v>
      </c>
      <c r="B50" s="5">
        <v>49</v>
      </c>
      <c r="C50" s="6" t="s">
        <v>2022</v>
      </c>
      <c r="D50" s="6" t="s">
        <v>3328</v>
      </c>
      <c r="E50" s="6">
        <v>528</v>
      </c>
      <c r="F50" s="6" t="s">
        <v>51</v>
      </c>
      <c r="G50" s="6">
        <v>52</v>
      </c>
      <c r="H50" s="6" t="s">
        <v>44</v>
      </c>
      <c r="I50" s="6" t="s">
        <v>3438</v>
      </c>
      <c r="J50" s="6" t="s">
        <v>3439</v>
      </c>
      <c r="K50" s="6" t="s">
        <v>3331</v>
      </c>
      <c r="L50" s="6">
        <v>45455111</v>
      </c>
      <c r="M50" s="6" t="s">
        <v>1807</v>
      </c>
      <c r="N50" s="6" t="s">
        <v>61</v>
      </c>
      <c r="O50" s="6">
        <v>105</v>
      </c>
      <c r="P50" s="7">
        <v>31994</v>
      </c>
      <c r="Q50" s="6" t="s">
        <v>3332</v>
      </c>
      <c r="R50" s="8">
        <v>4</v>
      </c>
      <c r="S50" s="6"/>
    </row>
    <row r="51" spans="1:19" ht="25.5" x14ac:dyDescent="0.25">
      <c r="A51" s="5" t="s">
        <v>3327</v>
      </c>
      <c r="B51" s="5">
        <v>50</v>
      </c>
      <c r="C51" s="6" t="s">
        <v>1856</v>
      </c>
      <c r="D51" s="6" t="s">
        <v>3328</v>
      </c>
      <c r="E51" s="6">
        <v>528</v>
      </c>
      <c r="F51" s="6" t="s">
        <v>51</v>
      </c>
      <c r="G51" s="6">
        <v>52</v>
      </c>
      <c r="H51" s="6" t="s">
        <v>44</v>
      </c>
      <c r="I51" s="6" t="s">
        <v>3440</v>
      </c>
      <c r="J51" s="6" t="s">
        <v>3441</v>
      </c>
      <c r="K51" s="6" t="s">
        <v>3331</v>
      </c>
      <c r="L51" s="6">
        <v>21574549</v>
      </c>
      <c r="M51" s="6" t="s">
        <v>389</v>
      </c>
      <c r="N51" s="6" t="s">
        <v>61</v>
      </c>
      <c r="O51" s="6">
        <v>77</v>
      </c>
      <c r="P51" s="7">
        <v>30288</v>
      </c>
      <c r="Q51" s="6" t="s">
        <v>3332</v>
      </c>
      <c r="R51" s="8">
        <v>4</v>
      </c>
      <c r="S51" s="6"/>
    </row>
    <row r="52" spans="1:19" ht="25.5" x14ac:dyDescent="0.25">
      <c r="A52" s="5" t="s">
        <v>3327</v>
      </c>
      <c r="B52" s="5">
        <v>51</v>
      </c>
      <c r="C52" s="6" t="s">
        <v>1927</v>
      </c>
      <c r="D52" s="6" t="s">
        <v>3328</v>
      </c>
      <c r="E52" s="6">
        <v>544</v>
      </c>
      <c r="F52" s="6" t="s">
        <v>65</v>
      </c>
      <c r="G52" s="6">
        <v>135</v>
      </c>
      <c r="H52" s="6" t="s">
        <v>66</v>
      </c>
      <c r="I52" s="6" t="s">
        <v>3442</v>
      </c>
      <c r="J52" s="6" t="s">
        <v>3334</v>
      </c>
      <c r="K52" s="6" t="s">
        <v>3331</v>
      </c>
      <c r="L52" s="6">
        <v>42751191</v>
      </c>
      <c r="M52" s="6" t="s">
        <v>3386</v>
      </c>
      <c r="N52" s="6" t="s">
        <v>3347</v>
      </c>
      <c r="O52" s="6" t="s">
        <v>21</v>
      </c>
      <c r="P52" s="7">
        <v>29182</v>
      </c>
      <c r="Q52" s="6" t="s">
        <v>3332</v>
      </c>
      <c r="R52" s="8">
        <v>5</v>
      </c>
      <c r="S52" s="6"/>
    </row>
    <row r="53" spans="1:19" ht="25.5" x14ac:dyDescent="0.25">
      <c r="A53" s="5" t="s">
        <v>3327</v>
      </c>
      <c r="B53" s="5">
        <v>52</v>
      </c>
      <c r="C53" s="6" t="s">
        <v>1862</v>
      </c>
      <c r="D53" s="6" t="s">
        <v>3328</v>
      </c>
      <c r="E53" s="6">
        <v>528</v>
      </c>
      <c r="F53" s="6" t="s">
        <v>51</v>
      </c>
      <c r="G53" s="6">
        <v>52</v>
      </c>
      <c r="H53" s="6" t="s">
        <v>44</v>
      </c>
      <c r="I53" s="6" t="s">
        <v>3443</v>
      </c>
      <c r="J53" s="6" t="s">
        <v>3444</v>
      </c>
      <c r="K53" s="6" t="s">
        <v>3331</v>
      </c>
      <c r="L53" s="6">
        <v>24954647</v>
      </c>
      <c r="M53" s="6" t="s">
        <v>3386</v>
      </c>
      <c r="N53" s="6" t="s">
        <v>3347</v>
      </c>
      <c r="O53" s="6" t="s">
        <v>21</v>
      </c>
      <c r="P53" s="7">
        <v>26998</v>
      </c>
      <c r="Q53" s="6" t="s">
        <v>3332</v>
      </c>
      <c r="R53" s="8">
        <v>5</v>
      </c>
      <c r="S53" s="6"/>
    </row>
    <row r="54" spans="1:19" ht="25.5" x14ac:dyDescent="0.25">
      <c r="A54" s="5" t="s">
        <v>3327</v>
      </c>
      <c r="B54" s="5">
        <v>53</v>
      </c>
      <c r="C54" s="6" t="s">
        <v>2301</v>
      </c>
      <c r="D54" s="6" t="s">
        <v>3328</v>
      </c>
      <c r="E54" s="6">
        <v>33</v>
      </c>
      <c r="F54" s="6" t="s">
        <v>475</v>
      </c>
      <c r="G54" s="6">
        <v>2260</v>
      </c>
      <c r="H54" s="6" t="s">
        <v>476</v>
      </c>
      <c r="I54" s="6" t="s">
        <v>3445</v>
      </c>
      <c r="J54" s="6" t="s">
        <v>3446</v>
      </c>
      <c r="K54" s="6" t="s">
        <v>3331</v>
      </c>
      <c r="L54" s="6">
        <v>43734742</v>
      </c>
      <c r="M54" s="6" t="s">
        <v>79</v>
      </c>
      <c r="N54" s="6" t="s">
        <v>88</v>
      </c>
      <c r="O54" s="6">
        <v>168</v>
      </c>
      <c r="P54" s="6" t="s">
        <v>118</v>
      </c>
      <c r="Q54" s="6" t="s">
        <v>3332</v>
      </c>
      <c r="R54" s="8">
        <v>6</v>
      </c>
      <c r="S54" s="6"/>
    </row>
    <row r="55" spans="1:19" ht="25.5" x14ac:dyDescent="0.25">
      <c r="A55" s="5" t="s">
        <v>3327</v>
      </c>
      <c r="B55" s="5">
        <v>54</v>
      </c>
      <c r="C55" s="6" t="s">
        <v>2202</v>
      </c>
      <c r="D55" s="6" t="s">
        <v>3328</v>
      </c>
      <c r="E55" s="6">
        <v>591</v>
      </c>
      <c r="F55" s="6" t="s">
        <v>77</v>
      </c>
      <c r="G55" s="6">
        <v>486</v>
      </c>
      <c r="H55" s="6" t="s">
        <v>78</v>
      </c>
      <c r="I55" s="6" t="s">
        <v>3447</v>
      </c>
      <c r="J55" s="6" t="s">
        <v>3448</v>
      </c>
      <c r="K55" s="6" t="s">
        <v>3331</v>
      </c>
      <c r="L55" s="6">
        <v>24705666</v>
      </c>
      <c r="M55" s="6" t="s">
        <v>185</v>
      </c>
      <c r="N55" s="6" t="s">
        <v>3347</v>
      </c>
      <c r="O55" s="6">
        <v>58</v>
      </c>
      <c r="P55" s="7">
        <v>28451</v>
      </c>
      <c r="Q55" s="6" t="s">
        <v>3332</v>
      </c>
      <c r="R55" s="8">
        <v>7</v>
      </c>
      <c r="S55" s="6"/>
    </row>
    <row r="56" spans="1:19" ht="25.5" x14ac:dyDescent="0.25">
      <c r="A56" s="5" t="s">
        <v>3327</v>
      </c>
      <c r="B56" s="5">
        <v>55</v>
      </c>
      <c r="C56" s="6" t="s">
        <v>2291</v>
      </c>
      <c r="D56" s="6" t="s">
        <v>3328</v>
      </c>
      <c r="E56" s="6">
        <v>553</v>
      </c>
      <c r="F56" s="6" t="s">
        <v>69</v>
      </c>
      <c r="G56" s="6">
        <v>634</v>
      </c>
      <c r="H56" s="6" t="s">
        <v>333</v>
      </c>
      <c r="I56" s="6" t="s">
        <v>3449</v>
      </c>
      <c r="J56" s="6" t="s">
        <v>3450</v>
      </c>
      <c r="K56" s="6" t="s">
        <v>3331</v>
      </c>
      <c r="L56" s="6">
        <v>43042965</v>
      </c>
      <c r="M56" s="6" t="s">
        <v>389</v>
      </c>
      <c r="N56" s="6" t="s">
        <v>61</v>
      </c>
      <c r="O56" s="6">
        <v>82</v>
      </c>
      <c r="P56" s="7">
        <v>30652</v>
      </c>
      <c r="Q56" s="6" t="s">
        <v>3332</v>
      </c>
      <c r="R56" s="8">
        <v>6</v>
      </c>
      <c r="S56" s="6"/>
    </row>
    <row r="57" spans="1:19" ht="25.5" x14ac:dyDescent="0.25">
      <c r="A57" s="5" t="s">
        <v>3327</v>
      </c>
      <c r="B57" s="5">
        <v>56</v>
      </c>
      <c r="C57" s="6" t="s">
        <v>1849</v>
      </c>
      <c r="D57" s="6" t="s">
        <v>3328</v>
      </c>
      <c r="E57" s="6">
        <v>497</v>
      </c>
      <c r="F57" s="6" t="s">
        <v>32</v>
      </c>
      <c r="G57" s="6">
        <v>4</v>
      </c>
      <c r="H57" s="6" t="s">
        <v>33</v>
      </c>
      <c r="I57" s="6" t="s">
        <v>3451</v>
      </c>
      <c r="J57" s="6" t="s">
        <v>3452</v>
      </c>
      <c r="K57" s="6" t="s">
        <v>3331</v>
      </c>
      <c r="L57" s="6">
        <v>21266306</v>
      </c>
      <c r="M57" s="6" t="s">
        <v>186</v>
      </c>
      <c r="N57" s="6" t="s">
        <v>505</v>
      </c>
      <c r="O57" s="6">
        <v>6</v>
      </c>
      <c r="P57" s="7">
        <v>21873</v>
      </c>
      <c r="Q57" s="6" t="s">
        <v>3332</v>
      </c>
      <c r="R57" s="8">
        <v>6</v>
      </c>
      <c r="S57" s="6"/>
    </row>
    <row r="58" spans="1:19" ht="25.5" x14ac:dyDescent="0.25">
      <c r="A58" s="5" t="s">
        <v>3327</v>
      </c>
      <c r="B58" s="5">
        <v>57</v>
      </c>
      <c r="C58" s="6" t="s">
        <v>1851</v>
      </c>
      <c r="D58" s="6" t="s">
        <v>3328</v>
      </c>
      <c r="E58" s="6">
        <v>497</v>
      </c>
      <c r="F58" s="6" t="s">
        <v>32</v>
      </c>
      <c r="G58" s="6">
        <v>4</v>
      </c>
      <c r="H58" s="6" t="s">
        <v>33</v>
      </c>
      <c r="I58" s="6" t="s">
        <v>3451</v>
      </c>
      <c r="J58" s="6" t="s">
        <v>3453</v>
      </c>
      <c r="K58" s="6" t="s">
        <v>3331</v>
      </c>
      <c r="L58" s="6">
        <v>21341720</v>
      </c>
      <c r="M58" s="6" t="s">
        <v>186</v>
      </c>
      <c r="N58" s="6" t="s">
        <v>505</v>
      </c>
      <c r="O58" s="6">
        <v>45</v>
      </c>
      <c r="P58" s="7">
        <v>24300</v>
      </c>
      <c r="Q58" s="6" t="s">
        <v>3332</v>
      </c>
      <c r="R58" s="8">
        <v>4</v>
      </c>
      <c r="S58" s="6"/>
    </row>
    <row r="59" spans="1:19" ht="25.5" x14ac:dyDescent="0.25">
      <c r="A59" s="5" t="s">
        <v>3327</v>
      </c>
      <c r="B59" s="5">
        <v>58</v>
      </c>
      <c r="C59" s="6" t="s">
        <v>1967</v>
      </c>
      <c r="D59" s="6" t="s">
        <v>3328</v>
      </c>
      <c r="E59" s="6">
        <v>19</v>
      </c>
      <c r="F59" s="6" t="s">
        <v>532</v>
      </c>
      <c r="G59" s="6">
        <v>2029</v>
      </c>
      <c r="H59" s="6" t="s">
        <v>533</v>
      </c>
      <c r="I59" s="6" t="s">
        <v>3454</v>
      </c>
      <c r="J59" s="6" t="s">
        <v>3455</v>
      </c>
      <c r="K59" s="6" t="s">
        <v>3331</v>
      </c>
      <c r="L59" s="6">
        <v>43006749</v>
      </c>
      <c r="M59" s="6" t="s">
        <v>30</v>
      </c>
      <c r="N59" s="6" t="s">
        <v>61</v>
      </c>
      <c r="O59" s="6">
        <v>99</v>
      </c>
      <c r="P59" s="7">
        <v>31597</v>
      </c>
      <c r="Q59" s="6" t="s">
        <v>3332</v>
      </c>
      <c r="R59" s="8">
        <v>6</v>
      </c>
      <c r="S59" s="6"/>
    </row>
    <row r="60" spans="1:19" ht="25.5" x14ac:dyDescent="0.25">
      <c r="A60" s="5" t="s">
        <v>3327</v>
      </c>
      <c r="B60" s="5">
        <v>59</v>
      </c>
      <c r="C60" s="6" t="s">
        <v>1943</v>
      </c>
      <c r="D60" s="6" t="s">
        <v>3328</v>
      </c>
      <c r="E60" s="6">
        <v>544</v>
      </c>
      <c r="F60" s="6" t="s">
        <v>65</v>
      </c>
      <c r="G60" s="6">
        <v>135</v>
      </c>
      <c r="H60" s="6" t="s">
        <v>66</v>
      </c>
      <c r="I60" s="6" t="s">
        <v>3456</v>
      </c>
      <c r="J60" s="6" t="s">
        <v>3457</v>
      </c>
      <c r="K60" s="6" t="s">
        <v>3331</v>
      </c>
      <c r="L60" s="6">
        <v>42871098</v>
      </c>
      <c r="M60" s="6" t="s">
        <v>3386</v>
      </c>
      <c r="N60" s="6" t="s">
        <v>61</v>
      </c>
      <c r="O60" s="6" t="s">
        <v>21</v>
      </c>
      <c r="P60" s="7">
        <v>29183</v>
      </c>
      <c r="Q60" s="6" t="s">
        <v>3332</v>
      </c>
      <c r="R60" s="8">
        <v>5</v>
      </c>
      <c r="S60" s="6"/>
    </row>
    <row r="61" spans="1:19" ht="25.5" x14ac:dyDescent="0.25">
      <c r="A61" s="5" t="s">
        <v>3327</v>
      </c>
      <c r="B61" s="5">
        <v>60</v>
      </c>
      <c r="C61" s="6" t="s">
        <v>2228</v>
      </c>
      <c r="D61" s="6" t="s">
        <v>3328</v>
      </c>
      <c r="E61" s="6">
        <v>719</v>
      </c>
      <c r="F61" s="6" t="s">
        <v>114</v>
      </c>
      <c r="G61" s="6">
        <v>1000</v>
      </c>
      <c r="H61" s="6" t="s">
        <v>115</v>
      </c>
      <c r="I61" s="6" t="s">
        <v>3458</v>
      </c>
      <c r="J61" s="6" t="s">
        <v>3459</v>
      </c>
      <c r="K61" s="6" t="s">
        <v>3331</v>
      </c>
      <c r="L61" s="6">
        <v>42870351</v>
      </c>
      <c r="M61" s="6" t="s">
        <v>328</v>
      </c>
      <c r="N61" s="6" t="s">
        <v>61</v>
      </c>
      <c r="O61" s="6">
        <v>72</v>
      </c>
      <c r="P61" s="7">
        <v>29917</v>
      </c>
      <c r="Q61" s="6" t="s">
        <v>3332</v>
      </c>
      <c r="R61" s="8">
        <v>6</v>
      </c>
      <c r="S61" s="6"/>
    </row>
    <row r="62" spans="1:19" ht="25.5" x14ac:dyDescent="0.25">
      <c r="A62" s="5" t="s">
        <v>3327</v>
      </c>
      <c r="B62" s="5">
        <v>61</v>
      </c>
      <c r="C62" s="6" t="s">
        <v>2060</v>
      </c>
      <c r="D62" s="6" t="s">
        <v>3328</v>
      </c>
      <c r="E62" s="6">
        <v>7</v>
      </c>
      <c r="F62" s="6" t="s">
        <v>435</v>
      </c>
      <c r="G62" s="6">
        <v>1887</v>
      </c>
      <c r="H62" s="6" t="s">
        <v>436</v>
      </c>
      <c r="I62" s="6" t="s">
        <v>3460</v>
      </c>
      <c r="J62" s="6" t="s">
        <v>3461</v>
      </c>
      <c r="K62" s="6" t="s">
        <v>3331</v>
      </c>
      <c r="L62" s="6">
        <v>71734145</v>
      </c>
      <c r="M62" s="6" t="s">
        <v>19</v>
      </c>
      <c r="N62" s="6" t="s">
        <v>446</v>
      </c>
      <c r="O62" s="6">
        <v>166</v>
      </c>
      <c r="P62" s="7">
        <v>35048</v>
      </c>
      <c r="Q62" s="6" t="s">
        <v>3332</v>
      </c>
      <c r="R62" s="8">
        <v>7</v>
      </c>
      <c r="S62" s="6"/>
    </row>
    <row r="63" spans="1:19" ht="25.5" x14ac:dyDescent="0.25">
      <c r="A63" s="5" t="s">
        <v>3327</v>
      </c>
      <c r="B63" s="5">
        <v>62</v>
      </c>
      <c r="C63" s="6" t="s">
        <v>2280</v>
      </c>
      <c r="D63" s="6" t="s">
        <v>3328</v>
      </c>
      <c r="E63" s="6">
        <v>569</v>
      </c>
      <c r="F63" s="6" t="s">
        <v>83</v>
      </c>
      <c r="G63" s="6">
        <v>324</v>
      </c>
      <c r="H63" s="6" t="s">
        <v>84</v>
      </c>
      <c r="I63" s="6" t="s">
        <v>3462</v>
      </c>
      <c r="J63" s="6" t="s">
        <v>3463</v>
      </c>
      <c r="K63" s="6" t="s">
        <v>3331</v>
      </c>
      <c r="L63" s="6">
        <v>43042412</v>
      </c>
      <c r="M63" s="6" t="s">
        <v>1807</v>
      </c>
      <c r="N63" s="6" t="s">
        <v>61</v>
      </c>
      <c r="O63" s="6">
        <v>125</v>
      </c>
      <c r="P63" s="7">
        <v>32848</v>
      </c>
      <c r="Q63" s="6" t="s">
        <v>3332</v>
      </c>
      <c r="R63" s="8">
        <v>6</v>
      </c>
      <c r="S63" s="6"/>
    </row>
    <row r="64" spans="1:19" ht="25.5" x14ac:dyDescent="0.25">
      <c r="A64" s="5" t="s">
        <v>3327</v>
      </c>
      <c r="B64" s="5">
        <v>63</v>
      </c>
      <c r="C64" s="6" t="s">
        <v>1850</v>
      </c>
      <c r="D64" s="6" t="s">
        <v>3328</v>
      </c>
      <c r="E64" s="6">
        <v>519</v>
      </c>
      <c r="F64" s="6" t="s">
        <v>39</v>
      </c>
      <c r="G64" s="6">
        <v>27</v>
      </c>
      <c r="H64" s="6" t="s">
        <v>40</v>
      </c>
      <c r="I64" s="6" t="s">
        <v>3464</v>
      </c>
      <c r="J64" s="6" t="s">
        <v>3465</v>
      </c>
      <c r="K64" s="6" t="s">
        <v>3331</v>
      </c>
      <c r="L64" s="6">
        <v>21332747</v>
      </c>
      <c r="M64" s="6" t="s">
        <v>3466</v>
      </c>
      <c r="N64" s="6" t="s">
        <v>20</v>
      </c>
      <c r="O64" s="6" t="s">
        <v>21</v>
      </c>
      <c r="P64" s="7">
        <v>22969</v>
      </c>
      <c r="Q64" s="6" t="s">
        <v>3332</v>
      </c>
      <c r="R64" s="8">
        <v>5</v>
      </c>
      <c r="S64" s="6"/>
    </row>
    <row r="65" spans="1:19" ht="25.5" x14ac:dyDescent="0.25">
      <c r="A65" s="5" t="s">
        <v>3327</v>
      </c>
      <c r="B65" s="5">
        <v>64</v>
      </c>
      <c r="C65" s="6" t="s">
        <v>2293</v>
      </c>
      <c r="D65" s="6" t="s">
        <v>3328</v>
      </c>
      <c r="E65" s="6">
        <v>695</v>
      </c>
      <c r="F65" s="6" t="s">
        <v>109</v>
      </c>
      <c r="G65" s="6">
        <v>835</v>
      </c>
      <c r="H65" s="6" t="s">
        <v>107</v>
      </c>
      <c r="I65" s="6" t="s">
        <v>3467</v>
      </c>
      <c r="J65" s="6" t="s">
        <v>3468</v>
      </c>
      <c r="K65" s="6" t="s">
        <v>3331</v>
      </c>
      <c r="L65" s="6">
        <v>42875281</v>
      </c>
      <c r="M65" s="6" t="s">
        <v>389</v>
      </c>
      <c r="N65" s="6" t="s">
        <v>61</v>
      </c>
      <c r="O65" s="6">
        <v>70</v>
      </c>
      <c r="P65" s="7">
        <v>29546</v>
      </c>
      <c r="Q65" s="6" t="s">
        <v>3332</v>
      </c>
      <c r="R65" s="8">
        <v>7</v>
      </c>
      <c r="S65" s="6"/>
    </row>
    <row r="66" spans="1:19" ht="25.5" x14ac:dyDescent="0.25">
      <c r="A66" s="5" t="s">
        <v>3327</v>
      </c>
      <c r="B66" s="5">
        <v>65</v>
      </c>
      <c r="C66" s="6" t="s">
        <v>2320</v>
      </c>
      <c r="D66" s="6" t="s">
        <v>3328</v>
      </c>
      <c r="E66" s="6">
        <v>10</v>
      </c>
      <c r="F66" s="6" t="s">
        <v>500</v>
      </c>
      <c r="G66" s="6">
        <v>1907</v>
      </c>
      <c r="H66" s="6" t="s">
        <v>501</v>
      </c>
      <c r="I66" s="6" t="s">
        <v>3469</v>
      </c>
      <c r="J66" s="6" t="s">
        <v>3470</v>
      </c>
      <c r="K66" s="6" t="s">
        <v>3331</v>
      </c>
      <c r="L66" s="6">
        <v>18008875</v>
      </c>
      <c r="M66" s="6" t="s">
        <v>79</v>
      </c>
      <c r="N66" s="6" t="s">
        <v>88</v>
      </c>
      <c r="O66" s="6">
        <v>175</v>
      </c>
      <c r="P66" s="7">
        <v>36504</v>
      </c>
      <c r="Q66" s="6" t="s">
        <v>3332</v>
      </c>
      <c r="R66" s="8">
        <v>6</v>
      </c>
      <c r="S66" s="6"/>
    </row>
    <row r="67" spans="1:19" ht="25.5" x14ac:dyDescent="0.25">
      <c r="A67" s="5" t="s">
        <v>3327</v>
      </c>
      <c r="B67" s="5">
        <v>66</v>
      </c>
      <c r="C67" s="6" t="s">
        <v>1947</v>
      </c>
      <c r="D67" s="6" t="s">
        <v>3328</v>
      </c>
      <c r="E67" s="6">
        <v>528</v>
      </c>
      <c r="F67" s="6" t="s">
        <v>51</v>
      </c>
      <c r="G67" s="6">
        <v>52</v>
      </c>
      <c r="H67" s="6" t="s">
        <v>44</v>
      </c>
      <c r="I67" s="6" t="s">
        <v>3471</v>
      </c>
      <c r="J67" s="6" t="s">
        <v>3472</v>
      </c>
      <c r="K67" s="6" t="s">
        <v>3331</v>
      </c>
      <c r="L67" s="6">
        <v>42877553</v>
      </c>
      <c r="M67" s="6" t="s">
        <v>3320</v>
      </c>
      <c r="N67" s="6" t="s">
        <v>61</v>
      </c>
      <c r="O67" s="6">
        <v>88</v>
      </c>
      <c r="P67" s="7">
        <v>31023</v>
      </c>
      <c r="Q67" s="6" t="s">
        <v>3332</v>
      </c>
      <c r="R67" s="8">
        <v>6</v>
      </c>
      <c r="S67" s="10" t="s">
        <v>3427</v>
      </c>
    </row>
    <row r="68" spans="1:19" ht="25.5" x14ac:dyDescent="0.25">
      <c r="A68" s="5" t="s">
        <v>3327</v>
      </c>
      <c r="B68" s="5">
        <v>67</v>
      </c>
      <c r="C68" s="6" t="s">
        <v>1895</v>
      </c>
      <c r="D68" s="6" t="s">
        <v>3328</v>
      </c>
      <c r="E68" s="6">
        <v>522</v>
      </c>
      <c r="F68" s="6" t="s">
        <v>43</v>
      </c>
      <c r="G68" s="6">
        <v>52</v>
      </c>
      <c r="H68" s="6" t="s">
        <v>44</v>
      </c>
      <c r="I68" s="6" t="s">
        <v>3473</v>
      </c>
      <c r="J68" s="6" t="s">
        <v>3474</v>
      </c>
      <c r="K68" s="6" t="s">
        <v>3331</v>
      </c>
      <c r="L68" s="6">
        <v>32493554</v>
      </c>
      <c r="M68" s="6" t="s">
        <v>3386</v>
      </c>
      <c r="N68" s="6" t="s">
        <v>3347</v>
      </c>
      <c r="O68" s="6" t="s">
        <v>21</v>
      </c>
      <c r="P68" s="7">
        <v>27725</v>
      </c>
      <c r="Q68" s="6" t="s">
        <v>3332</v>
      </c>
      <c r="R68" s="8">
        <v>5</v>
      </c>
      <c r="S68" s="6"/>
    </row>
    <row r="69" spans="1:19" ht="25.5" x14ac:dyDescent="0.25">
      <c r="A69" s="5" t="s">
        <v>3327</v>
      </c>
      <c r="B69" s="5">
        <v>68</v>
      </c>
      <c r="C69" s="6" t="s">
        <v>1887</v>
      </c>
      <c r="D69" s="6" t="s">
        <v>3328</v>
      </c>
      <c r="E69" s="6">
        <v>522</v>
      </c>
      <c r="F69" s="6" t="s">
        <v>43</v>
      </c>
      <c r="G69" s="6">
        <v>52</v>
      </c>
      <c r="H69" s="6" t="s">
        <v>44</v>
      </c>
      <c r="I69" s="6" t="s">
        <v>3475</v>
      </c>
      <c r="J69" s="6" t="s">
        <v>3476</v>
      </c>
      <c r="K69" s="6" t="s">
        <v>3331</v>
      </c>
      <c r="L69" s="6">
        <v>32400629</v>
      </c>
      <c r="M69" s="6" t="s">
        <v>186</v>
      </c>
      <c r="N69" s="6" t="s">
        <v>505</v>
      </c>
      <c r="O69" s="6">
        <v>47</v>
      </c>
      <c r="P69" s="7">
        <v>24432</v>
      </c>
      <c r="Q69" s="6" t="s">
        <v>3332</v>
      </c>
      <c r="R69" s="8">
        <v>5</v>
      </c>
      <c r="S69" s="6"/>
    </row>
    <row r="70" spans="1:19" ht="25.5" x14ac:dyDescent="0.25">
      <c r="A70" s="5" t="s">
        <v>3327</v>
      </c>
      <c r="B70" s="5">
        <v>69</v>
      </c>
      <c r="C70" s="6" t="s">
        <v>2204</v>
      </c>
      <c r="D70" s="6" t="s">
        <v>3328</v>
      </c>
      <c r="E70" s="6">
        <v>541</v>
      </c>
      <c r="F70" s="6" t="s">
        <v>63</v>
      </c>
      <c r="G70" s="6">
        <v>90</v>
      </c>
      <c r="H70" s="6" t="s">
        <v>64</v>
      </c>
      <c r="I70" s="6" t="s">
        <v>3477</v>
      </c>
      <c r="J70" s="6" t="s">
        <v>3478</v>
      </c>
      <c r="K70" s="6" t="s">
        <v>3331</v>
      </c>
      <c r="L70" s="6">
        <v>32489617</v>
      </c>
      <c r="M70" s="6" t="s">
        <v>186</v>
      </c>
      <c r="N70" s="6" t="s">
        <v>88</v>
      </c>
      <c r="O70" s="6">
        <v>152</v>
      </c>
      <c r="P70" s="7">
        <v>34313</v>
      </c>
      <c r="Q70" s="6" t="s">
        <v>3332</v>
      </c>
      <c r="R70" s="8">
        <v>5</v>
      </c>
      <c r="S70" s="6"/>
    </row>
    <row r="71" spans="1:19" ht="25.5" x14ac:dyDescent="0.25">
      <c r="A71" s="5" t="s">
        <v>3327</v>
      </c>
      <c r="B71" s="5">
        <v>70</v>
      </c>
      <c r="C71" s="6" t="s">
        <v>1901</v>
      </c>
      <c r="D71" s="6" t="s">
        <v>3328</v>
      </c>
      <c r="E71" s="6">
        <v>531</v>
      </c>
      <c r="F71" s="6" t="s">
        <v>56</v>
      </c>
      <c r="G71" s="6">
        <v>36</v>
      </c>
      <c r="H71" s="6" t="s">
        <v>57</v>
      </c>
      <c r="I71" s="6" t="s">
        <v>3479</v>
      </c>
      <c r="J71" s="6" t="s">
        <v>3480</v>
      </c>
      <c r="K71" s="6" t="s">
        <v>3331</v>
      </c>
      <c r="L71" s="6">
        <v>41488441</v>
      </c>
      <c r="M71" s="6" t="s">
        <v>3386</v>
      </c>
      <c r="N71" s="6" t="s">
        <v>3347</v>
      </c>
      <c r="O71" s="6" t="s">
        <v>21</v>
      </c>
      <c r="P71" s="7">
        <v>29182</v>
      </c>
      <c r="Q71" s="6" t="s">
        <v>3332</v>
      </c>
      <c r="R71" s="8">
        <v>7</v>
      </c>
      <c r="S71" s="6"/>
    </row>
    <row r="72" spans="1:19" ht="25.5" x14ac:dyDescent="0.25">
      <c r="A72" s="5" t="s">
        <v>3327</v>
      </c>
      <c r="B72" s="5">
        <v>71</v>
      </c>
      <c r="C72" s="6" t="s">
        <v>1859</v>
      </c>
      <c r="D72" s="6" t="s">
        <v>3328</v>
      </c>
      <c r="E72" s="6">
        <v>522</v>
      </c>
      <c r="F72" s="6" t="s">
        <v>43</v>
      </c>
      <c r="G72" s="6">
        <v>52</v>
      </c>
      <c r="H72" s="6" t="s">
        <v>44</v>
      </c>
      <c r="I72" s="6" t="s">
        <v>3481</v>
      </c>
      <c r="J72" s="6" t="s">
        <v>3359</v>
      </c>
      <c r="K72" s="6" t="s">
        <v>3331</v>
      </c>
      <c r="L72" s="6">
        <v>22068807</v>
      </c>
      <c r="M72" s="6" t="s">
        <v>328</v>
      </c>
      <c r="N72" s="6" t="s">
        <v>61</v>
      </c>
      <c r="O72" s="6">
        <v>70</v>
      </c>
      <c r="P72" s="7">
        <v>29546</v>
      </c>
      <c r="Q72" s="6" t="s">
        <v>3332</v>
      </c>
      <c r="R72" s="8">
        <v>5</v>
      </c>
      <c r="S72" s="10" t="s">
        <v>3427</v>
      </c>
    </row>
    <row r="73" spans="1:19" ht="25.5" x14ac:dyDescent="0.25">
      <c r="A73" s="5" t="s">
        <v>3327</v>
      </c>
      <c r="B73" s="5">
        <v>72</v>
      </c>
      <c r="C73" s="6" t="s">
        <v>2303</v>
      </c>
      <c r="D73" s="6" t="s">
        <v>3328</v>
      </c>
      <c r="E73" s="6">
        <v>36</v>
      </c>
      <c r="F73" s="6" t="s">
        <v>413</v>
      </c>
      <c r="G73" s="6">
        <v>2368</v>
      </c>
      <c r="H73" s="6" t="s">
        <v>414</v>
      </c>
      <c r="I73" s="6" t="s">
        <v>3482</v>
      </c>
      <c r="J73" s="6" t="s">
        <v>3483</v>
      </c>
      <c r="K73" s="6" t="s">
        <v>3331</v>
      </c>
      <c r="L73" s="6">
        <v>43677288</v>
      </c>
      <c r="M73" s="6" t="s">
        <v>79</v>
      </c>
      <c r="N73" s="6" t="s">
        <v>88</v>
      </c>
      <c r="O73" s="6">
        <v>151</v>
      </c>
      <c r="P73" s="6" t="s">
        <v>478</v>
      </c>
      <c r="Q73" s="6" t="s">
        <v>3332</v>
      </c>
      <c r="R73" s="8">
        <v>5</v>
      </c>
      <c r="S73" s="6"/>
    </row>
    <row r="74" spans="1:19" ht="25.5" x14ac:dyDescent="0.25">
      <c r="A74" s="5" t="s">
        <v>3327</v>
      </c>
      <c r="B74" s="5">
        <v>73</v>
      </c>
      <c r="C74" s="6" t="s">
        <v>2304</v>
      </c>
      <c r="D74" s="6" t="s">
        <v>3328</v>
      </c>
      <c r="E74" s="6">
        <v>36</v>
      </c>
      <c r="F74" s="6" t="s">
        <v>413</v>
      </c>
      <c r="G74" s="6">
        <v>2368</v>
      </c>
      <c r="H74" s="6" t="s">
        <v>414</v>
      </c>
      <c r="I74" s="6" t="s">
        <v>3484</v>
      </c>
      <c r="J74" s="6" t="s">
        <v>3341</v>
      </c>
      <c r="K74" s="6" t="s">
        <v>3331</v>
      </c>
      <c r="L74" s="6">
        <v>43810382</v>
      </c>
      <c r="M74" s="6" t="s">
        <v>79</v>
      </c>
      <c r="N74" s="6" t="s">
        <v>88</v>
      </c>
      <c r="O74" s="6">
        <v>155</v>
      </c>
      <c r="P74" s="6" t="s">
        <v>149</v>
      </c>
      <c r="Q74" s="6" t="s">
        <v>3332</v>
      </c>
      <c r="R74" s="8">
        <v>6</v>
      </c>
      <c r="S74" s="6"/>
    </row>
    <row r="75" spans="1:19" ht="25.5" x14ac:dyDescent="0.25">
      <c r="A75" s="5" t="s">
        <v>3327</v>
      </c>
      <c r="B75" s="5">
        <v>74</v>
      </c>
      <c r="C75" s="6" t="s">
        <v>1945</v>
      </c>
      <c r="D75" s="6" t="s">
        <v>3328</v>
      </c>
      <c r="E75" s="6">
        <v>36</v>
      </c>
      <c r="F75" s="6" t="s">
        <v>413</v>
      </c>
      <c r="G75" s="6">
        <v>2368</v>
      </c>
      <c r="H75" s="6" t="s">
        <v>414</v>
      </c>
      <c r="I75" s="6" t="s">
        <v>3485</v>
      </c>
      <c r="J75" s="6" t="s">
        <v>3486</v>
      </c>
      <c r="K75" s="6" t="s">
        <v>3331</v>
      </c>
      <c r="L75" s="6">
        <v>42875415</v>
      </c>
      <c r="M75" s="6" t="s">
        <v>30</v>
      </c>
      <c r="N75" s="6" t="s">
        <v>61</v>
      </c>
      <c r="O75" s="6">
        <v>99</v>
      </c>
      <c r="P75" s="6" t="s">
        <v>530</v>
      </c>
      <c r="Q75" s="6" t="s">
        <v>3332</v>
      </c>
      <c r="R75" s="8">
        <v>7</v>
      </c>
      <c r="S75" s="6"/>
    </row>
    <row r="76" spans="1:19" ht="25.5" x14ac:dyDescent="0.25">
      <c r="A76" s="5" t="s">
        <v>3327</v>
      </c>
      <c r="B76" s="5">
        <v>75</v>
      </c>
      <c r="C76" s="6" t="s">
        <v>1976</v>
      </c>
      <c r="D76" s="6" t="s">
        <v>3328</v>
      </c>
      <c r="E76" s="6">
        <v>36</v>
      </c>
      <c r="F76" s="6" t="s">
        <v>413</v>
      </c>
      <c r="G76" s="6">
        <v>2368</v>
      </c>
      <c r="H76" s="6" t="s">
        <v>414</v>
      </c>
      <c r="I76" s="6" t="s">
        <v>3487</v>
      </c>
      <c r="J76" s="6" t="s">
        <v>3488</v>
      </c>
      <c r="K76" s="6" t="s">
        <v>3331</v>
      </c>
      <c r="L76" s="6">
        <v>43040704</v>
      </c>
      <c r="M76" s="6" t="s">
        <v>19</v>
      </c>
      <c r="N76" s="6" t="s">
        <v>61</v>
      </c>
      <c r="O76" s="6">
        <v>134</v>
      </c>
      <c r="P76" s="6" t="s">
        <v>416</v>
      </c>
      <c r="Q76" s="6" t="s">
        <v>3332</v>
      </c>
      <c r="R76" s="8">
        <v>4</v>
      </c>
      <c r="S76" s="6"/>
    </row>
    <row r="77" spans="1:19" ht="25.5" x14ac:dyDescent="0.25">
      <c r="A77" s="5" t="s">
        <v>3327</v>
      </c>
      <c r="B77" s="5">
        <v>76</v>
      </c>
      <c r="C77" s="6" t="s">
        <v>2009</v>
      </c>
      <c r="D77" s="6" t="s">
        <v>3328</v>
      </c>
      <c r="E77" s="6">
        <v>36</v>
      </c>
      <c r="F77" s="6" t="s">
        <v>413</v>
      </c>
      <c r="G77" s="6">
        <v>2368</v>
      </c>
      <c r="H77" s="6" t="s">
        <v>414</v>
      </c>
      <c r="I77" s="6" t="s">
        <v>3487</v>
      </c>
      <c r="J77" s="6" t="s">
        <v>3417</v>
      </c>
      <c r="K77" s="6" t="s">
        <v>3331</v>
      </c>
      <c r="L77" s="6">
        <v>43612292</v>
      </c>
      <c r="M77" s="6" t="s">
        <v>19</v>
      </c>
      <c r="N77" s="6" t="s">
        <v>446</v>
      </c>
      <c r="O77" s="6">
        <v>166</v>
      </c>
      <c r="P77" s="6" t="s">
        <v>417</v>
      </c>
      <c r="Q77" s="6" t="s">
        <v>3332</v>
      </c>
      <c r="R77" s="8">
        <v>5</v>
      </c>
      <c r="S77" s="6"/>
    </row>
    <row r="78" spans="1:19" ht="25.5" x14ac:dyDescent="0.25">
      <c r="A78" s="5" t="s">
        <v>3327</v>
      </c>
      <c r="B78" s="5">
        <v>77</v>
      </c>
      <c r="C78" s="6" t="s">
        <v>2302</v>
      </c>
      <c r="D78" s="6" t="s">
        <v>3328</v>
      </c>
      <c r="E78" s="6">
        <v>36</v>
      </c>
      <c r="F78" s="6" t="s">
        <v>413</v>
      </c>
      <c r="G78" s="6">
        <v>2368</v>
      </c>
      <c r="H78" s="6" t="s">
        <v>414</v>
      </c>
      <c r="I78" s="6" t="s">
        <v>3489</v>
      </c>
      <c r="J78" s="6" t="s">
        <v>3359</v>
      </c>
      <c r="K78" s="6" t="s">
        <v>3331</v>
      </c>
      <c r="L78" s="6">
        <v>42973897</v>
      </c>
      <c r="M78" s="6" t="s">
        <v>79</v>
      </c>
      <c r="N78" s="6" t="s">
        <v>88</v>
      </c>
      <c r="O78" s="6">
        <v>119</v>
      </c>
      <c r="P78" s="6" t="s">
        <v>477</v>
      </c>
      <c r="Q78" s="6" t="s">
        <v>3332</v>
      </c>
      <c r="R78" s="8">
        <v>6</v>
      </c>
      <c r="S78" s="6"/>
    </row>
    <row r="79" spans="1:19" ht="25.5" x14ac:dyDescent="0.25">
      <c r="A79" s="5" t="s">
        <v>3327</v>
      </c>
      <c r="B79" s="5">
        <v>78</v>
      </c>
      <c r="C79" s="6" t="s">
        <v>2017</v>
      </c>
      <c r="D79" s="6" t="s">
        <v>3328</v>
      </c>
      <c r="E79" s="6">
        <v>36</v>
      </c>
      <c r="F79" s="6" t="s">
        <v>413</v>
      </c>
      <c r="G79" s="6">
        <v>2368</v>
      </c>
      <c r="H79" s="6" t="s">
        <v>414</v>
      </c>
      <c r="I79" s="6" t="s">
        <v>3490</v>
      </c>
      <c r="J79" s="6" t="s">
        <v>3491</v>
      </c>
      <c r="K79" s="6" t="s">
        <v>3331</v>
      </c>
      <c r="L79" s="6">
        <v>43809405</v>
      </c>
      <c r="M79" s="6" t="s">
        <v>19</v>
      </c>
      <c r="N79" s="6" t="s">
        <v>446</v>
      </c>
      <c r="O79" s="6">
        <v>147</v>
      </c>
      <c r="P79" s="6" t="s">
        <v>415</v>
      </c>
      <c r="Q79" s="6" t="s">
        <v>3332</v>
      </c>
      <c r="R79" s="8">
        <v>5</v>
      </c>
      <c r="S79" s="6"/>
    </row>
    <row r="80" spans="1:19" ht="25.5" x14ac:dyDescent="0.25">
      <c r="A80" s="5" t="s">
        <v>3327</v>
      </c>
      <c r="B80" s="5">
        <v>79</v>
      </c>
      <c r="C80" s="6" t="s">
        <v>1886</v>
      </c>
      <c r="D80" s="6" t="s">
        <v>3328</v>
      </c>
      <c r="E80" s="6">
        <v>42</v>
      </c>
      <c r="F80" s="6" t="s">
        <v>418</v>
      </c>
      <c r="G80" s="6">
        <v>2458</v>
      </c>
      <c r="H80" s="6" t="s">
        <v>419</v>
      </c>
      <c r="I80" s="6" t="s">
        <v>3492</v>
      </c>
      <c r="J80" s="6" t="s">
        <v>3493</v>
      </c>
      <c r="K80" s="6" t="s">
        <v>3331</v>
      </c>
      <c r="L80" s="6">
        <v>32349630</v>
      </c>
      <c r="M80" s="6" t="s">
        <v>30</v>
      </c>
      <c r="N80" s="6" t="s">
        <v>61</v>
      </c>
      <c r="O80" s="6">
        <v>97</v>
      </c>
      <c r="P80" s="6" t="s">
        <v>561</v>
      </c>
      <c r="Q80" s="6" t="s">
        <v>3332</v>
      </c>
      <c r="R80" s="8">
        <v>5</v>
      </c>
      <c r="S80" s="6"/>
    </row>
    <row r="81" spans="1:19" ht="25.5" x14ac:dyDescent="0.25">
      <c r="A81" s="5" t="s">
        <v>3327</v>
      </c>
      <c r="B81" s="5">
        <v>80</v>
      </c>
      <c r="C81" s="6" t="s">
        <v>1952</v>
      </c>
      <c r="D81" s="6" t="s">
        <v>3328</v>
      </c>
      <c r="E81" s="6">
        <v>42</v>
      </c>
      <c r="F81" s="6" t="s">
        <v>418</v>
      </c>
      <c r="G81" s="6">
        <v>2458</v>
      </c>
      <c r="H81" s="6" t="s">
        <v>419</v>
      </c>
      <c r="I81" s="6" t="s">
        <v>3494</v>
      </c>
      <c r="J81" s="6" t="s">
        <v>3359</v>
      </c>
      <c r="K81" s="6" t="s">
        <v>3331</v>
      </c>
      <c r="L81" s="6">
        <v>42882738</v>
      </c>
      <c r="M81" s="6" t="s">
        <v>30</v>
      </c>
      <c r="N81" s="6" t="s">
        <v>61</v>
      </c>
      <c r="O81" s="6">
        <v>96</v>
      </c>
      <c r="P81" s="6" t="s">
        <v>561</v>
      </c>
      <c r="Q81" s="6" t="s">
        <v>3332</v>
      </c>
      <c r="R81" s="8">
        <v>6</v>
      </c>
      <c r="S81" s="6"/>
    </row>
    <row r="82" spans="1:19" ht="25.5" x14ac:dyDescent="0.25">
      <c r="A82" s="5" t="s">
        <v>3327</v>
      </c>
      <c r="B82" s="5">
        <v>81</v>
      </c>
      <c r="C82" s="6" t="s">
        <v>1948</v>
      </c>
      <c r="D82" s="6" t="s">
        <v>3328</v>
      </c>
      <c r="E82" s="6">
        <v>42</v>
      </c>
      <c r="F82" s="6" t="s">
        <v>418</v>
      </c>
      <c r="G82" s="6">
        <v>2458</v>
      </c>
      <c r="H82" s="6" t="s">
        <v>419</v>
      </c>
      <c r="I82" s="6" t="s">
        <v>3495</v>
      </c>
      <c r="J82" s="6" t="s">
        <v>3496</v>
      </c>
      <c r="K82" s="6" t="s">
        <v>3331</v>
      </c>
      <c r="L82" s="6">
        <v>42879400</v>
      </c>
      <c r="M82" s="6" t="s">
        <v>19</v>
      </c>
      <c r="N82" s="6" t="s">
        <v>61</v>
      </c>
      <c r="O82" s="6">
        <v>115</v>
      </c>
      <c r="P82" s="6" t="s">
        <v>421</v>
      </c>
      <c r="Q82" s="6" t="s">
        <v>3332</v>
      </c>
      <c r="R82" s="8">
        <v>6</v>
      </c>
      <c r="S82" s="6"/>
    </row>
    <row r="83" spans="1:19" ht="25.5" x14ac:dyDescent="0.25">
      <c r="A83" s="5" t="s">
        <v>3327</v>
      </c>
      <c r="B83" s="5">
        <v>82</v>
      </c>
      <c r="C83" s="6" t="s">
        <v>1902</v>
      </c>
      <c r="D83" s="6" t="s">
        <v>3328</v>
      </c>
      <c r="E83" s="6">
        <v>42</v>
      </c>
      <c r="F83" s="6" t="s">
        <v>418</v>
      </c>
      <c r="G83" s="6">
        <v>2458</v>
      </c>
      <c r="H83" s="6" t="s">
        <v>419</v>
      </c>
      <c r="I83" s="6" t="s">
        <v>3497</v>
      </c>
      <c r="J83" s="6" t="s">
        <v>3498</v>
      </c>
      <c r="K83" s="6" t="s">
        <v>3331</v>
      </c>
      <c r="L83" s="6">
        <v>32518970</v>
      </c>
      <c r="M83" s="6" t="s">
        <v>19</v>
      </c>
      <c r="N83" s="6" t="s">
        <v>61</v>
      </c>
      <c r="O83" s="6">
        <v>134</v>
      </c>
      <c r="P83" s="6" t="s">
        <v>416</v>
      </c>
      <c r="Q83" s="6" t="s">
        <v>3332</v>
      </c>
      <c r="R83" s="8">
        <v>6</v>
      </c>
      <c r="S83" s="6"/>
    </row>
    <row r="84" spans="1:19" ht="25.5" x14ac:dyDescent="0.25">
      <c r="A84" s="5" t="s">
        <v>3327</v>
      </c>
      <c r="B84" s="5">
        <v>83</v>
      </c>
      <c r="C84" s="6" t="s">
        <v>2322</v>
      </c>
      <c r="D84" s="6" t="s">
        <v>3328</v>
      </c>
      <c r="E84" s="6">
        <v>45</v>
      </c>
      <c r="F84" s="6" t="s">
        <v>399</v>
      </c>
      <c r="G84" s="6">
        <v>2504</v>
      </c>
      <c r="H84" s="6" t="s">
        <v>400</v>
      </c>
      <c r="I84" s="6" t="s">
        <v>3499</v>
      </c>
      <c r="J84" s="6" t="s">
        <v>3359</v>
      </c>
      <c r="K84" s="6" t="s">
        <v>3331</v>
      </c>
      <c r="L84" s="6">
        <v>42994200</v>
      </c>
      <c r="M84" s="6" t="s">
        <v>502</v>
      </c>
      <c r="N84" s="6" t="s">
        <v>505</v>
      </c>
      <c r="O84" s="6">
        <v>115</v>
      </c>
      <c r="P84" s="6" t="s">
        <v>506</v>
      </c>
      <c r="Q84" s="6" t="s">
        <v>3332</v>
      </c>
      <c r="R84" s="8">
        <v>4</v>
      </c>
      <c r="S84" s="6"/>
    </row>
    <row r="85" spans="1:19" ht="25.5" x14ac:dyDescent="0.25">
      <c r="A85" s="5" t="s">
        <v>3327</v>
      </c>
      <c r="B85" s="5">
        <v>84</v>
      </c>
      <c r="C85" s="6" t="s">
        <v>2305</v>
      </c>
      <c r="D85" s="6" t="s">
        <v>3328</v>
      </c>
      <c r="E85" s="6">
        <v>45</v>
      </c>
      <c r="F85" s="6" t="s">
        <v>399</v>
      </c>
      <c r="G85" s="6">
        <v>2504</v>
      </c>
      <c r="H85" s="6" t="s">
        <v>400</v>
      </c>
      <c r="I85" s="6" t="s">
        <v>3500</v>
      </c>
      <c r="J85" s="6" t="s">
        <v>3501</v>
      </c>
      <c r="K85" s="6" t="s">
        <v>3331</v>
      </c>
      <c r="L85" s="6">
        <v>42890975</v>
      </c>
      <c r="M85" s="6" t="s">
        <v>79</v>
      </c>
      <c r="N85" s="6" t="s">
        <v>88</v>
      </c>
      <c r="O85" s="6">
        <v>133</v>
      </c>
      <c r="P85" s="6" t="s">
        <v>479</v>
      </c>
      <c r="Q85" s="6" t="s">
        <v>3332</v>
      </c>
      <c r="R85" s="8">
        <v>6</v>
      </c>
      <c r="S85" s="6"/>
    </row>
    <row r="86" spans="1:19" ht="25.5" x14ac:dyDescent="0.25">
      <c r="A86" s="5" t="s">
        <v>3327</v>
      </c>
      <c r="B86" s="5">
        <v>85</v>
      </c>
      <c r="C86" s="6" t="s">
        <v>2306</v>
      </c>
      <c r="D86" s="6" t="s">
        <v>3328</v>
      </c>
      <c r="E86" s="6">
        <v>45</v>
      </c>
      <c r="F86" s="6" t="s">
        <v>399</v>
      </c>
      <c r="G86" s="6">
        <v>2504</v>
      </c>
      <c r="H86" s="6" t="s">
        <v>400</v>
      </c>
      <c r="I86" s="6" t="s">
        <v>3502</v>
      </c>
      <c r="J86" s="6" t="s">
        <v>3503</v>
      </c>
      <c r="K86" s="6" t="s">
        <v>3331</v>
      </c>
      <c r="L86" s="6">
        <v>42881746</v>
      </c>
      <c r="M86" s="6" t="s">
        <v>79</v>
      </c>
      <c r="N86" s="6" t="s">
        <v>88</v>
      </c>
      <c r="O86" s="6">
        <v>128</v>
      </c>
      <c r="P86" s="6" t="s">
        <v>480</v>
      </c>
      <c r="Q86" s="6" t="s">
        <v>3332</v>
      </c>
      <c r="R86" s="8">
        <v>6</v>
      </c>
      <c r="S86" s="6"/>
    </row>
    <row r="87" spans="1:19" ht="25.5" x14ac:dyDescent="0.25">
      <c r="A87" s="5" t="s">
        <v>3327</v>
      </c>
      <c r="B87" s="5">
        <v>86</v>
      </c>
      <c r="C87" s="6" t="s">
        <v>2321</v>
      </c>
      <c r="D87" s="6" t="s">
        <v>3328</v>
      </c>
      <c r="E87" s="6">
        <v>45</v>
      </c>
      <c r="F87" s="6" t="s">
        <v>399</v>
      </c>
      <c r="G87" s="6">
        <v>2504</v>
      </c>
      <c r="H87" s="6" t="s">
        <v>400</v>
      </c>
      <c r="I87" s="6" t="s">
        <v>3504</v>
      </c>
      <c r="J87" s="6" t="s">
        <v>3505</v>
      </c>
      <c r="K87" s="6" t="s">
        <v>3331</v>
      </c>
      <c r="L87" s="6">
        <v>70121625</v>
      </c>
      <c r="M87" s="6" t="s">
        <v>502</v>
      </c>
      <c r="N87" s="6" t="s">
        <v>503</v>
      </c>
      <c r="O87" s="6">
        <v>4</v>
      </c>
      <c r="P87" s="6" t="s">
        <v>504</v>
      </c>
      <c r="Q87" s="6" t="s">
        <v>3332</v>
      </c>
      <c r="R87" s="8">
        <v>6</v>
      </c>
      <c r="S87" s="6"/>
    </row>
    <row r="88" spans="1:19" ht="25.5" x14ac:dyDescent="0.25">
      <c r="A88" s="5" t="s">
        <v>3327</v>
      </c>
      <c r="B88" s="5">
        <v>87</v>
      </c>
      <c r="C88" s="6" t="s">
        <v>1852</v>
      </c>
      <c r="D88" s="6" t="s">
        <v>3328</v>
      </c>
      <c r="E88" s="6">
        <v>45</v>
      </c>
      <c r="F88" s="6" t="s">
        <v>399</v>
      </c>
      <c r="G88" s="6">
        <v>2504</v>
      </c>
      <c r="H88" s="6" t="s">
        <v>400</v>
      </c>
      <c r="I88" s="6" t="s">
        <v>3506</v>
      </c>
      <c r="J88" s="6" t="s">
        <v>3507</v>
      </c>
      <c r="K88" s="6" t="s">
        <v>3331</v>
      </c>
      <c r="L88" s="6">
        <v>21394706</v>
      </c>
      <c r="M88" s="6" t="s">
        <v>50</v>
      </c>
      <c r="N88" s="6" t="s">
        <v>88</v>
      </c>
      <c r="O88" s="6">
        <v>121</v>
      </c>
      <c r="P88" s="6" t="s">
        <v>402</v>
      </c>
      <c r="Q88" s="6" t="s">
        <v>3332</v>
      </c>
      <c r="R88" s="8">
        <v>6</v>
      </c>
      <c r="S88" s="6"/>
    </row>
    <row r="89" spans="1:19" ht="25.5" x14ac:dyDescent="0.25">
      <c r="A89" s="5" t="s">
        <v>3327</v>
      </c>
      <c r="B89" s="5">
        <v>88</v>
      </c>
      <c r="C89" s="6" t="s">
        <v>1925</v>
      </c>
      <c r="D89" s="6" t="s">
        <v>3328</v>
      </c>
      <c r="E89" s="6">
        <v>45</v>
      </c>
      <c r="F89" s="6" t="s">
        <v>399</v>
      </c>
      <c r="G89" s="6">
        <v>2504</v>
      </c>
      <c r="H89" s="6" t="s">
        <v>400</v>
      </c>
      <c r="I89" s="6" t="s">
        <v>3508</v>
      </c>
      <c r="J89" s="6" t="s">
        <v>3509</v>
      </c>
      <c r="K89" s="6" t="s">
        <v>3331</v>
      </c>
      <c r="L89" s="6">
        <v>42675421</v>
      </c>
      <c r="M89" s="6" t="s">
        <v>19</v>
      </c>
      <c r="N89" s="6" t="s">
        <v>27</v>
      </c>
      <c r="O89" s="6">
        <v>37</v>
      </c>
      <c r="P89" s="6" t="s">
        <v>422</v>
      </c>
      <c r="Q89" s="6" t="s">
        <v>3332</v>
      </c>
      <c r="R89" s="8">
        <v>7</v>
      </c>
      <c r="S89" s="6"/>
    </row>
    <row r="90" spans="1:19" ht="25.5" x14ac:dyDescent="0.25">
      <c r="A90" s="5" t="s">
        <v>3327</v>
      </c>
      <c r="B90" s="5">
        <v>89</v>
      </c>
      <c r="C90" s="6" t="s">
        <v>1934</v>
      </c>
      <c r="D90" s="6" t="s">
        <v>3328</v>
      </c>
      <c r="E90" s="6">
        <v>45</v>
      </c>
      <c r="F90" s="6" t="s">
        <v>399</v>
      </c>
      <c r="G90" s="6">
        <v>2504</v>
      </c>
      <c r="H90" s="6" t="s">
        <v>400</v>
      </c>
      <c r="I90" s="6" t="s">
        <v>3510</v>
      </c>
      <c r="J90" s="6" t="s">
        <v>3511</v>
      </c>
      <c r="K90" s="6" t="s">
        <v>3331</v>
      </c>
      <c r="L90" s="6">
        <v>42772619</v>
      </c>
      <c r="M90" s="6" t="s">
        <v>19</v>
      </c>
      <c r="N90" s="6" t="s">
        <v>27</v>
      </c>
      <c r="O90" s="6">
        <v>52</v>
      </c>
      <c r="P90" s="6" t="s">
        <v>423</v>
      </c>
      <c r="Q90" s="6" t="s">
        <v>3332</v>
      </c>
      <c r="R90" s="8">
        <v>4</v>
      </c>
      <c r="S90" s="6"/>
    </row>
    <row r="91" spans="1:19" ht="25.5" x14ac:dyDescent="0.25">
      <c r="A91" s="5" t="s">
        <v>3327</v>
      </c>
      <c r="B91" s="5">
        <v>90</v>
      </c>
      <c r="C91" s="6" t="s">
        <v>1956</v>
      </c>
      <c r="D91" s="6" t="s">
        <v>3328</v>
      </c>
      <c r="E91" s="6">
        <v>48</v>
      </c>
      <c r="F91" s="6" t="s">
        <v>519</v>
      </c>
      <c r="G91" s="6">
        <v>2549</v>
      </c>
      <c r="H91" s="6" t="s">
        <v>520</v>
      </c>
      <c r="I91" s="6" t="s">
        <v>3512</v>
      </c>
      <c r="J91" s="6" t="s">
        <v>3450</v>
      </c>
      <c r="K91" s="6" t="s">
        <v>3331</v>
      </c>
      <c r="L91" s="6">
        <v>42893300</v>
      </c>
      <c r="M91" s="6" t="s">
        <v>19</v>
      </c>
      <c r="N91" s="6" t="s">
        <v>446</v>
      </c>
      <c r="O91" s="6">
        <v>174</v>
      </c>
      <c r="P91" s="6" t="s">
        <v>474</v>
      </c>
      <c r="Q91" s="6" t="s">
        <v>3332</v>
      </c>
      <c r="R91" s="8">
        <v>6</v>
      </c>
      <c r="S91" s="6"/>
    </row>
    <row r="92" spans="1:19" ht="25.5" x14ac:dyDescent="0.25">
      <c r="A92" s="5" t="s">
        <v>3327</v>
      </c>
      <c r="B92" s="5">
        <v>91</v>
      </c>
      <c r="C92" s="6" t="s">
        <v>2308</v>
      </c>
      <c r="D92" s="6" t="s">
        <v>3328</v>
      </c>
      <c r="E92" s="6">
        <v>54</v>
      </c>
      <c r="F92" s="6" t="s">
        <v>481</v>
      </c>
      <c r="G92" s="6">
        <v>2641</v>
      </c>
      <c r="H92" s="6" t="s">
        <v>482</v>
      </c>
      <c r="I92" s="6" t="s">
        <v>3513</v>
      </c>
      <c r="J92" s="6" t="s">
        <v>3514</v>
      </c>
      <c r="K92" s="6" t="s">
        <v>3331</v>
      </c>
      <c r="L92" s="6">
        <v>42996645</v>
      </c>
      <c r="M92" s="6" t="s">
        <v>79</v>
      </c>
      <c r="N92" s="6" t="s">
        <v>88</v>
      </c>
      <c r="O92" s="6">
        <v>126</v>
      </c>
      <c r="P92" s="6" t="s">
        <v>1537</v>
      </c>
      <c r="Q92" s="6" t="s">
        <v>3332</v>
      </c>
      <c r="R92" s="8">
        <v>5</v>
      </c>
      <c r="S92" s="6"/>
    </row>
    <row r="93" spans="1:19" ht="25.5" x14ac:dyDescent="0.25">
      <c r="A93" s="5" t="s">
        <v>3327</v>
      </c>
      <c r="B93" s="5">
        <v>92</v>
      </c>
      <c r="C93" s="6" t="s">
        <v>2307</v>
      </c>
      <c r="D93" s="6" t="s">
        <v>3328</v>
      </c>
      <c r="E93" s="6">
        <v>54</v>
      </c>
      <c r="F93" s="6" t="s">
        <v>481</v>
      </c>
      <c r="G93" s="6">
        <v>2641</v>
      </c>
      <c r="H93" s="6" t="s">
        <v>482</v>
      </c>
      <c r="I93" s="6" t="s">
        <v>3515</v>
      </c>
      <c r="J93" s="6" t="s">
        <v>3516</v>
      </c>
      <c r="K93" s="6" t="s">
        <v>3331</v>
      </c>
      <c r="L93" s="6">
        <v>71775589</v>
      </c>
      <c r="M93" s="6" t="s">
        <v>79</v>
      </c>
      <c r="N93" s="6" t="s">
        <v>88</v>
      </c>
      <c r="O93" s="6">
        <v>175</v>
      </c>
      <c r="P93" s="6" t="s">
        <v>483</v>
      </c>
      <c r="Q93" s="6" t="s">
        <v>3332</v>
      </c>
      <c r="R93" s="8">
        <v>6</v>
      </c>
      <c r="S93" s="6"/>
    </row>
    <row r="94" spans="1:19" ht="25.5" x14ac:dyDescent="0.25">
      <c r="A94" s="5" t="s">
        <v>3327</v>
      </c>
      <c r="B94" s="5">
        <v>93</v>
      </c>
      <c r="C94" s="6" t="s">
        <v>1954</v>
      </c>
      <c r="D94" s="6" t="s">
        <v>3328</v>
      </c>
      <c r="E94" s="6">
        <v>54</v>
      </c>
      <c r="F94" s="6" t="s">
        <v>481</v>
      </c>
      <c r="G94" s="6">
        <v>2641</v>
      </c>
      <c r="H94" s="6" t="s">
        <v>482</v>
      </c>
      <c r="I94" s="6" t="s">
        <v>3517</v>
      </c>
      <c r="J94" s="6" t="s">
        <v>3439</v>
      </c>
      <c r="K94" s="6" t="s">
        <v>3331</v>
      </c>
      <c r="L94" s="6">
        <v>42887784</v>
      </c>
      <c r="M94" s="6" t="s">
        <v>30</v>
      </c>
      <c r="N94" s="6" t="s">
        <v>61</v>
      </c>
      <c r="O94" s="6">
        <v>96</v>
      </c>
      <c r="P94" s="6" t="s">
        <v>561</v>
      </c>
      <c r="Q94" s="6" t="s">
        <v>3332</v>
      </c>
      <c r="R94" s="8">
        <v>5</v>
      </c>
      <c r="S94" s="6"/>
    </row>
    <row r="95" spans="1:19" ht="25.5" x14ac:dyDescent="0.25">
      <c r="A95" s="5" t="s">
        <v>3327</v>
      </c>
      <c r="B95" s="5">
        <v>94</v>
      </c>
      <c r="C95" s="6" t="s">
        <v>2309</v>
      </c>
      <c r="D95" s="6" t="s">
        <v>3328</v>
      </c>
      <c r="E95" s="6">
        <v>7</v>
      </c>
      <c r="F95" s="6" t="s">
        <v>484</v>
      </c>
      <c r="G95" s="6">
        <v>2871</v>
      </c>
      <c r="H95" s="6" t="s">
        <v>485</v>
      </c>
      <c r="I95" s="6" t="s">
        <v>3518</v>
      </c>
      <c r="J95" s="6" t="s">
        <v>3519</v>
      </c>
      <c r="K95" s="6" t="s">
        <v>3331</v>
      </c>
      <c r="L95" s="6">
        <v>32205031</v>
      </c>
      <c r="M95" s="6" t="s">
        <v>79</v>
      </c>
      <c r="N95" s="6" t="s">
        <v>88</v>
      </c>
      <c r="O95" s="6">
        <v>169</v>
      </c>
      <c r="P95" s="6" t="s">
        <v>103</v>
      </c>
      <c r="Q95" s="6" t="s">
        <v>3332</v>
      </c>
      <c r="R95" s="8">
        <v>5</v>
      </c>
      <c r="S95" s="6"/>
    </row>
    <row r="96" spans="1:19" ht="25.5" x14ac:dyDescent="0.25">
      <c r="A96" s="5" t="s">
        <v>3327</v>
      </c>
      <c r="B96" s="5">
        <v>95</v>
      </c>
      <c r="C96" s="6" t="s">
        <v>2310</v>
      </c>
      <c r="D96" s="6" t="s">
        <v>3328</v>
      </c>
      <c r="E96" s="6">
        <v>7</v>
      </c>
      <c r="F96" s="6" t="s">
        <v>484</v>
      </c>
      <c r="G96" s="6">
        <v>2871</v>
      </c>
      <c r="H96" s="6" t="s">
        <v>485</v>
      </c>
      <c r="I96" s="6" t="s">
        <v>3520</v>
      </c>
      <c r="J96" s="6" t="s">
        <v>3521</v>
      </c>
      <c r="K96" s="6" t="s">
        <v>3331</v>
      </c>
      <c r="L96" s="6">
        <v>43220546</v>
      </c>
      <c r="M96" s="6" t="s">
        <v>79</v>
      </c>
      <c r="N96" s="6" t="s">
        <v>88</v>
      </c>
      <c r="O96" s="6">
        <v>177</v>
      </c>
      <c r="P96" s="6" t="s">
        <v>486</v>
      </c>
      <c r="Q96" s="6" t="s">
        <v>3332</v>
      </c>
      <c r="R96" s="8">
        <v>5</v>
      </c>
      <c r="S96" s="10" t="s">
        <v>3522</v>
      </c>
    </row>
    <row r="97" spans="1:19" ht="25.5" x14ac:dyDescent="0.25">
      <c r="A97" s="5" t="s">
        <v>3327</v>
      </c>
      <c r="B97" s="5">
        <v>96</v>
      </c>
      <c r="C97" s="6" t="s">
        <v>2311</v>
      </c>
      <c r="D97" s="6" t="s">
        <v>3328</v>
      </c>
      <c r="E97" s="6">
        <v>15</v>
      </c>
      <c r="F97" s="6" t="s">
        <v>487</v>
      </c>
      <c r="G97" s="6">
        <v>247</v>
      </c>
      <c r="H97" s="6" t="s">
        <v>488</v>
      </c>
      <c r="I97" s="6" t="s">
        <v>3523</v>
      </c>
      <c r="J97" s="6" t="s">
        <v>3524</v>
      </c>
      <c r="K97" s="6" t="s">
        <v>3331</v>
      </c>
      <c r="L97" s="6">
        <v>98615420</v>
      </c>
      <c r="M97" s="6" t="s">
        <v>79</v>
      </c>
      <c r="N97" s="6" t="s">
        <v>88</v>
      </c>
      <c r="O97" s="6">
        <v>171</v>
      </c>
      <c r="P97" s="6" t="s">
        <v>489</v>
      </c>
      <c r="Q97" s="6" t="s">
        <v>3332</v>
      </c>
      <c r="R97" s="8">
        <v>4</v>
      </c>
      <c r="S97" s="6"/>
    </row>
    <row r="98" spans="1:19" ht="25.5" x14ac:dyDescent="0.25">
      <c r="A98" s="5" t="s">
        <v>3327</v>
      </c>
      <c r="B98" s="5">
        <v>97</v>
      </c>
      <c r="C98" s="6" t="s">
        <v>2312</v>
      </c>
      <c r="D98" s="6" t="s">
        <v>3328</v>
      </c>
      <c r="E98" s="6">
        <v>15</v>
      </c>
      <c r="F98" s="6" t="s">
        <v>487</v>
      </c>
      <c r="G98" s="6">
        <v>247</v>
      </c>
      <c r="H98" s="6" t="s">
        <v>488</v>
      </c>
      <c r="I98" s="6" t="s">
        <v>3525</v>
      </c>
      <c r="J98" s="6" t="s">
        <v>3526</v>
      </c>
      <c r="K98" s="6" t="s">
        <v>3331</v>
      </c>
      <c r="L98" s="6">
        <v>71673159</v>
      </c>
      <c r="M98" s="6" t="s">
        <v>79</v>
      </c>
      <c r="N98" s="6" t="s">
        <v>88</v>
      </c>
      <c r="O98" s="6">
        <v>158</v>
      </c>
      <c r="P98" s="6" t="s">
        <v>490</v>
      </c>
      <c r="Q98" s="6" t="s">
        <v>3332</v>
      </c>
      <c r="R98" s="8">
        <v>5</v>
      </c>
      <c r="S98" s="6"/>
    </row>
    <row r="99" spans="1:19" ht="25.5" x14ac:dyDescent="0.25">
      <c r="A99" s="5" t="s">
        <v>3327</v>
      </c>
      <c r="B99" s="5">
        <v>98</v>
      </c>
      <c r="C99" s="6" t="s">
        <v>2281</v>
      </c>
      <c r="D99" s="6" t="s">
        <v>3328</v>
      </c>
      <c r="E99" s="6">
        <v>7</v>
      </c>
      <c r="F99" s="6" t="s">
        <v>375</v>
      </c>
      <c r="G99" s="6">
        <v>85</v>
      </c>
      <c r="H99" s="6" t="s">
        <v>376</v>
      </c>
      <c r="I99" s="6" t="s">
        <v>3527</v>
      </c>
      <c r="J99" s="6" t="s">
        <v>3528</v>
      </c>
      <c r="K99" s="6" t="s">
        <v>3331</v>
      </c>
      <c r="L99" s="6">
        <v>43079687</v>
      </c>
      <c r="M99" s="6" t="s">
        <v>377</v>
      </c>
      <c r="N99" s="6" t="s">
        <v>27</v>
      </c>
      <c r="O99" s="6">
        <v>2</v>
      </c>
      <c r="P99" s="6" t="s">
        <v>378</v>
      </c>
      <c r="Q99" s="6" t="s">
        <v>3332</v>
      </c>
      <c r="R99" s="8">
        <v>11</v>
      </c>
      <c r="S99" s="6"/>
    </row>
    <row r="100" spans="1:19" ht="25.5" x14ac:dyDescent="0.25">
      <c r="A100" s="5" t="s">
        <v>3327</v>
      </c>
      <c r="B100" s="5">
        <v>99</v>
      </c>
      <c r="C100" s="6" t="s">
        <v>2313</v>
      </c>
      <c r="D100" s="6" t="s">
        <v>3328</v>
      </c>
      <c r="E100" s="6">
        <v>19</v>
      </c>
      <c r="F100" s="6" t="s">
        <v>491</v>
      </c>
      <c r="G100" s="6">
        <v>321</v>
      </c>
      <c r="H100" s="6" t="s">
        <v>492</v>
      </c>
      <c r="I100" s="6" t="s">
        <v>3529</v>
      </c>
      <c r="J100" s="6" t="s">
        <v>3530</v>
      </c>
      <c r="K100" s="6" t="s">
        <v>3331</v>
      </c>
      <c r="L100" s="6">
        <v>98625378</v>
      </c>
      <c r="M100" s="6" t="s">
        <v>79</v>
      </c>
      <c r="N100" s="6" t="s">
        <v>88</v>
      </c>
      <c r="O100" s="6">
        <v>168</v>
      </c>
      <c r="P100" s="6" t="s">
        <v>118</v>
      </c>
      <c r="Q100" s="6" t="s">
        <v>3332</v>
      </c>
      <c r="R100" s="8">
        <v>4</v>
      </c>
      <c r="S100" s="6"/>
    </row>
    <row r="101" spans="1:19" ht="25.5" x14ac:dyDescent="0.25">
      <c r="A101" s="5" t="s">
        <v>3327</v>
      </c>
      <c r="B101" s="5">
        <v>100</v>
      </c>
      <c r="C101" s="6" t="s">
        <v>2323</v>
      </c>
      <c r="D101" s="6" t="s">
        <v>3328</v>
      </c>
      <c r="E101" s="6">
        <v>7</v>
      </c>
      <c r="F101" s="6" t="s">
        <v>375</v>
      </c>
      <c r="G101" s="6">
        <v>85</v>
      </c>
      <c r="H101" s="6" t="s">
        <v>376</v>
      </c>
      <c r="I101" s="6" t="s">
        <v>3527</v>
      </c>
      <c r="J101" s="6" t="s">
        <v>3531</v>
      </c>
      <c r="K101" s="6" t="s">
        <v>3331</v>
      </c>
      <c r="L101" s="6">
        <v>42989585</v>
      </c>
      <c r="M101" s="6" t="s">
        <v>502</v>
      </c>
      <c r="N101" s="6" t="s">
        <v>503</v>
      </c>
      <c r="O101" s="6">
        <v>17</v>
      </c>
      <c r="P101" s="6" t="s">
        <v>507</v>
      </c>
      <c r="Q101" s="6" t="s">
        <v>3332</v>
      </c>
      <c r="R101" s="8">
        <v>6</v>
      </c>
      <c r="S101" s="6" t="s">
        <v>3532</v>
      </c>
    </row>
    <row r="102" spans="1:19" ht="25.5" x14ac:dyDescent="0.25">
      <c r="A102" s="5" t="s">
        <v>3327</v>
      </c>
      <c r="B102" s="5">
        <v>101</v>
      </c>
      <c r="C102" s="6" t="s">
        <v>2019</v>
      </c>
      <c r="D102" s="6" t="s">
        <v>3328</v>
      </c>
      <c r="E102" s="6">
        <v>21</v>
      </c>
      <c r="F102" s="6" t="s">
        <v>403</v>
      </c>
      <c r="G102" s="6">
        <v>232</v>
      </c>
      <c r="H102" s="6" t="s">
        <v>404</v>
      </c>
      <c r="I102" s="6" t="s">
        <v>3533</v>
      </c>
      <c r="J102" s="6" t="s">
        <v>3534</v>
      </c>
      <c r="K102" s="6" t="s">
        <v>3331</v>
      </c>
      <c r="L102" s="6">
        <v>43978539</v>
      </c>
      <c r="M102" s="6" t="s">
        <v>401</v>
      </c>
      <c r="N102" s="6" t="s">
        <v>34</v>
      </c>
      <c r="O102" s="6">
        <v>199</v>
      </c>
      <c r="P102" s="6" t="s">
        <v>405</v>
      </c>
      <c r="Q102" s="6" t="s">
        <v>3332</v>
      </c>
      <c r="R102" s="8">
        <v>5</v>
      </c>
      <c r="S102" s="6"/>
    </row>
    <row r="103" spans="1:19" ht="25.5" x14ac:dyDescent="0.25">
      <c r="A103" s="5" t="s">
        <v>3327</v>
      </c>
      <c r="B103" s="5">
        <v>102</v>
      </c>
      <c r="C103" s="6" t="s">
        <v>2012</v>
      </c>
      <c r="D103" s="6" t="s">
        <v>3328</v>
      </c>
      <c r="E103" s="6">
        <v>36</v>
      </c>
      <c r="F103" s="6" t="s">
        <v>406</v>
      </c>
      <c r="G103" s="6">
        <v>344</v>
      </c>
      <c r="H103" s="6" t="s">
        <v>407</v>
      </c>
      <c r="I103" s="6" t="s">
        <v>3535</v>
      </c>
      <c r="J103" s="6" t="s">
        <v>3536</v>
      </c>
      <c r="K103" s="6" t="s">
        <v>3331</v>
      </c>
      <c r="L103" s="6">
        <v>43704721</v>
      </c>
      <c r="M103" s="6" t="s">
        <v>401</v>
      </c>
      <c r="N103" s="6" t="s">
        <v>34</v>
      </c>
      <c r="O103" s="6">
        <v>199</v>
      </c>
      <c r="P103" s="6" t="s">
        <v>405</v>
      </c>
      <c r="Q103" s="6" t="s">
        <v>3332</v>
      </c>
      <c r="R103" s="8">
        <v>5</v>
      </c>
      <c r="S103" s="6"/>
    </row>
    <row r="104" spans="1:19" ht="25.5" x14ac:dyDescent="0.25">
      <c r="A104" s="5" t="s">
        <v>3327</v>
      </c>
      <c r="B104" s="5">
        <v>103</v>
      </c>
      <c r="C104" s="6" t="s">
        <v>2171</v>
      </c>
      <c r="D104" s="6" t="s">
        <v>3328</v>
      </c>
      <c r="E104" s="6">
        <v>25</v>
      </c>
      <c r="F104" s="6" t="s">
        <v>96</v>
      </c>
      <c r="G104" s="6">
        <v>417</v>
      </c>
      <c r="H104" s="6" t="s">
        <v>97</v>
      </c>
      <c r="I104" s="6" t="s">
        <v>3537</v>
      </c>
      <c r="J104" s="6" t="s">
        <v>3538</v>
      </c>
      <c r="K104" s="6" t="s">
        <v>3331</v>
      </c>
      <c r="L104" s="6">
        <v>71765791</v>
      </c>
      <c r="M104" s="6" t="s">
        <v>79</v>
      </c>
      <c r="N104" s="6" t="s">
        <v>88</v>
      </c>
      <c r="O104" s="6">
        <v>181</v>
      </c>
      <c r="P104" s="6" t="s">
        <v>98</v>
      </c>
      <c r="Q104" s="6" t="s">
        <v>3332</v>
      </c>
      <c r="R104" s="8">
        <v>4</v>
      </c>
      <c r="S104" s="6"/>
    </row>
    <row r="105" spans="1:19" ht="25.5" x14ac:dyDescent="0.25">
      <c r="A105" s="5" t="s">
        <v>3327</v>
      </c>
      <c r="B105" s="5">
        <v>104</v>
      </c>
      <c r="C105" s="6" t="s">
        <v>2052</v>
      </c>
      <c r="D105" s="6" t="s">
        <v>3328</v>
      </c>
      <c r="E105" s="6">
        <v>36</v>
      </c>
      <c r="F105" s="6" t="s">
        <v>406</v>
      </c>
      <c r="G105" s="6">
        <v>344</v>
      </c>
      <c r="H105" s="6" t="s">
        <v>407</v>
      </c>
      <c r="I105" s="6" t="s">
        <v>3539</v>
      </c>
      <c r="J105" s="6" t="s">
        <v>3540</v>
      </c>
      <c r="K105" s="6" t="s">
        <v>3331</v>
      </c>
      <c r="L105" s="6">
        <v>71643470</v>
      </c>
      <c r="M105" s="6" t="s">
        <v>30</v>
      </c>
      <c r="N105" s="6" t="s">
        <v>20</v>
      </c>
      <c r="O105" s="6">
        <v>100</v>
      </c>
      <c r="P105" s="6" t="s">
        <v>530</v>
      </c>
      <c r="Q105" s="6" t="s">
        <v>3332</v>
      </c>
      <c r="R105" s="8">
        <v>6</v>
      </c>
      <c r="S105" s="6"/>
    </row>
    <row r="106" spans="1:19" ht="25.5" x14ac:dyDescent="0.25">
      <c r="A106" s="5" t="s">
        <v>3327</v>
      </c>
      <c r="B106" s="5">
        <v>105</v>
      </c>
      <c r="C106" s="6" t="s">
        <v>2264</v>
      </c>
      <c r="D106" s="6" t="s">
        <v>3328</v>
      </c>
      <c r="E106" s="6">
        <v>40</v>
      </c>
      <c r="F106" s="6" t="s">
        <v>336</v>
      </c>
      <c r="G106" s="6">
        <v>681</v>
      </c>
      <c r="H106" s="6" t="s">
        <v>337</v>
      </c>
      <c r="I106" s="6" t="s">
        <v>3541</v>
      </c>
      <c r="J106" s="6" t="s">
        <v>3505</v>
      </c>
      <c r="K106" s="6" t="s">
        <v>3331</v>
      </c>
      <c r="L106" s="6">
        <v>71644073</v>
      </c>
      <c r="M106" s="6" t="s">
        <v>19</v>
      </c>
      <c r="N106" s="6" t="s">
        <v>61</v>
      </c>
      <c r="O106" s="6">
        <v>123</v>
      </c>
      <c r="P106" s="6" t="s">
        <v>338</v>
      </c>
      <c r="Q106" s="6" t="s">
        <v>3332</v>
      </c>
      <c r="R106" s="8">
        <v>5</v>
      </c>
      <c r="S106" s="6"/>
    </row>
    <row r="107" spans="1:19" ht="25.5" x14ac:dyDescent="0.25">
      <c r="A107" s="5" t="s">
        <v>3327</v>
      </c>
      <c r="B107" s="5">
        <v>106</v>
      </c>
      <c r="C107" s="6" t="s">
        <v>2265</v>
      </c>
      <c r="D107" s="6" t="s">
        <v>3328</v>
      </c>
      <c r="E107" s="6">
        <v>46</v>
      </c>
      <c r="F107" s="6" t="s">
        <v>101</v>
      </c>
      <c r="G107" s="6">
        <v>778</v>
      </c>
      <c r="H107" s="6" t="s">
        <v>102</v>
      </c>
      <c r="I107" s="6" t="s">
        <v>3542</v>
      </c>
      <c r="J107" s="6" t="s">
        <v>3543</v>
      </c>
      <c r="K107" s="6" t="s">
        <v>3331</v>
      </c>
      <c r="L107" s="6">
        <v>71615395</v>
      </c>
      <c r="M107" s="6" t="s">
        <v>19</v>
      </c>
      <c r="N107" s="6" t="s">
        <v>27</v>
      </c>
      <c r="O107" s="6">
        <v>2</v>
      </c>
      <c r="P107" s="6" t="s">
        <v>339</v>
      </c>
      <c r="Q107" s="6" t="s">
        <v>3332</v>
      </c>
      <c r="R107" s="8">
        <v>7</v>
      </c>
      <c r="S107" s="6"/>
    </row>
    <row r="108" spans="1:19" ht="25.5" x14ac:dyDescent="0.25">
      <c r="A108" s="5" t="s">
        <v>3327</v>
      </c>
      <c r="B108" s="5">
        <v>107</v>
      </c>
      <c r="C108" s="6" t="s">
        <v>2284</v>
      </c>
      <c r="D108" s="6" t="s">
        <v>3328</v>
      </c>
      <c r="E108" s="6">
        <v>46</v>
      </c>
      <c r="F108" s="6" t="s">
        <v>101</v>
      </c>
      <c r="G108" s="6">
        <v>778</v>
      </c>
      <c r="H108" s="6" t="s">
        <v>102</v>
      </c>
      <c r="I108" s="6" t="s">
        <v>3544</v>
      </c>
      <c r="J108" s="6" t="s">
        <v>3545</v>
      </c>
      <c r="K108" s="6" t="s">
        <v>3331</v>
      </c>
      <c r="L108" s="6">
        <v>43089922</v>
      </c>
      <c r="M108" s="6" t="s">
        <v>30</v>
      </c>
      <c r="N108" s="6" t="s">
        <v>61</v>
      </c>
      <c r="O108" s="6">
        <v>100</v>
      </c>
      <c r="P108" s="6" t="s">
        <v>380</v>
      </c>
      <c r="Q108" s="6" t="s">
        <v>3332</v>
      </c>
      <c r="R108" s="8">
        <v>5</v>
      </c>
      <c r="S108" s="6"/>
    </row>
    <row r="109" spans="1:19" ht="25.5" x14ac:dyDescent="0.25">
      <c r="A109" s="5" t="s">
        <v>3327</v>
      </c>
      <c r="B109" s="5">
        <v>108</v>
      </c>
      <c r="C109" s="6" t="s">
        <v>2173</v>
      </c>
      <c r="D109" s="6" t="s">
        <v>3328</v>
      </c>
      <c r="E109" s="6">
        <v>46</v>
      </c>
      <c r="F109" s="6" t="s">
        <v>101</v>
      </c>
      <c r="G109" s="6">
        <v>778</v>
      </c>
      <c r="H109" s="6" t="s">
        <v>102</v>
      </c>
      <c r="I109" s="6" t="s">
        <v>3546</v>
      </c>
      <c r="J109" s="6" t="s">
        <v>3547</v>
      </c>
      <c r="K109" s="6" t="s">
        <v>3331</v>
      </c>
      <c r="L109" s="6">
        <v>71790304</v>
      </c>
      <c r="M109" s="6" t="s">
        <v>79</v>
      </c>
      <c r="N109" s="6" t="s">
        <v>88</v>
      </c>
      <c r="O109" s="6">
        <v>169</v>
      </c>
      <c r="P109" s="6" t="s">
        <v>103</v>
      </c>
      <c r="Q109" s="6" t="s">
        <v>3332</v>
      </c>
      <c r="R109" s="8">
        <v>5</v>
      </c>
      <c r="S109" s="6"/>
    </row>
    <row r="110" spans="1:19" ht="25.5" x14ac:dyDescent="0.25">
      <c r="A110" s="5" t="s">
        <v>3327</v>
      </c>
      <c r="B110" s="5">
        <v>109</v>
      </c>
      <c r="C110" s="6" t="s">
        <v>2268</v>
      </c>
      <c r="D110" s="6" t="s">
        <v>3328</v>
      </c>
      <c r="E110" s="6">
        <v>50</v>
      </c>
      <c r="F110" s="6" t="s">
        <v>342</v>
      </c>
      <c r="G110" s="6">
        <v>830</v>
      </c>
      <c r="H110" s="6" t="s">
        <v>343</v>
      </c>
      <c r="I110" s="6" t="s">
        <v>3548</v>
      </c>
      <c r="J110" s="6" t="s">
        <v>3549</v>
      </c>
      <c r="K110" s="6" t="s">
        <v>3331</v>
      </c>
      <c r="L110" s="6">
        <v>43104971</v>
      </c>
      <c r="M110" s="6" t="s">
        <v>19</v>
      </c>
      <c r="N110" s="6" t="s">
        <v>446</v>
      </c>
      <c r="O110" s="6">
        <v>191</v>
      </c>
      <c r="P110" s="6" t="s">
        <v>344</v>
      </c>
      <c r="Q110" s="6" t="s">
        <v>3332</v>
      </c>
      <c r="R110" s="8">
        <v>6</v>
      </c>
      <c r="S110" s="6"/>
    </row>
    <row r="111" spans="1:19" ht="25.5" x14ac:dyDescent="0.25">
      <c r="A111" s="5" t="s">
        <v>3327</v>
      </c>
      <c r="B111" s="5">
        <v>110</v>
      </c>
      <c r="C111" s="6" t="s">
        <v>2003</v>
      </c>
      <c r="D111" s="6" t="s">
        <v>3328</v>
      </c>
      <c r="E111" s="6">
        <v>50</v>
      </c>
      <c r="F111" s="6" t="s">
        <v>342</v>
      </c>
      <c r="G111" s="6">
        <v>830</v>
      </c>
      <c r="H111" s="6" t="s">
        <v>343</v>
      </c>
      <c r="I111" s="6" t="s">
        <v>3550</v>
      </c>
      <c r="J111" s="6" t="s">
        <v>3385</v>
      </c>
      <c r="K111" s="6" t="s">
        <v>3331</v>
      </c>
      <c r="L111" s="6">
        <v>43523176</v>
      </c>
      <c r="M111" s="6" t="s">
        <v>19</v>
      </c>
      <c r="N111" s="6" t="s">
        <v>61</v>
      </c>
      <c r="O111" s="6">
        <v>130</v>
      </c>
      <c r="P111" s="6" t="s">
        <v>424</v>
      </c>
      <c r="Q111" s="6" t="s">
        <v>3332</v>
      </c>
      <c r="R111" s="8">
        <v>6</v>
      </c>
      <c r="S111" s="6"/>
    </row>
    <row r="112" spans="1:19" ht="25.5" x14ac:dyDescent="0.25">
      <c r="A112" s="5" t="s">
        <v>3327</v>
      </c>
      <c r="B112" s="5">
        <v>111</v>
      </c>
      <c r="C112" s="6" t="s">
        <v>2099</v>
      </c>
      <c r="D112" s="6" t="s">
        <v>3328</v>
      </c>
      <c r="E112" s="6">
        <v>456</v>
      </c>
      <c r="F112" s="6" t="s">
        <v>16</v>
      </c>
      <c r="G112" s="6">
        <v>8</v>
      </c>
      <c r="H112" s="6" t="s">
        <v>17</v>
      </c>
      <c r="I112" s="6" t="s">
        <v>3551</v>
      </c>
      <c r="J112" s="6" t="s">
        <v>3552</v>
      </c>
      <c r="K112" s="6" t="s">
        <v>3331</v>
      </c>
      <c r="L112" s="6">
        <v>98571633</v>
      </c>
      <c r="M112" s="6" t="s">
        <v>19</v>
      </c>
      <c r="N112" s="6" t="s">
        <v>61</v>
      </c>
      <c r="O112" s="6">
        <v>140</v>
      </c>
      <c r="P112" s="7">
        <v>33583</v>
      </c>
      <c r="Q112" s="6" t="s">
        <v>3332</v>
      </c>
      <c r="R112" s="8">
        <v>6</v>
      </c>
      <c r="S112" s="6"/>
    </row>
    <row r="113" spans="1:19" ht="25.5" x14ac:dyDescent="0.25">
      <c r="A113" s="5" t="s">
        <v>3327</v>
      </c>
      <c r="B113" s="5">
        <v>112</v>
      </c>
      <c r="C113" s="6" t="s">
        <v>2129</v>
      </c>
      <c r="D113" s="6" t="s">
        <v>3328</v>
      </c>
      <c r="E113" s="6">
        <v>456</v>
      </c>
      <c r="F113" s="6" t="s">
        <v>16</v>
      </c>
      <c r="G113" s="6">
        <v>13</v>
      </c>
      <c r="H113" s="6" t="s">
        <v>37</v>
      </c>
      <c r="I113" s="6" t="s">
        <v>3553</v>
      </c>
      <c r="J113" s="6" t="s">
        <v>3334</v>
      </c>
      <c r="K113" s="6" t="s">
        <v>3331</v>
      </c>
      <c r="L113" s="6">
        <v>32522580</v>
      </c>
      <c r="M113" s="6" t="s">
        <v>502</v>
      </c>
      <c r="N113" s="6" t="s">
        <v>503</v>
      </c>
      <c r="O113" s="6" t="s">
        <v>21</v>
      </c>
      <c r="P113" s="7">
        <v>28186</v>
      </c>
      <c r="Q113" s="6" t="s">
        <v>3332</v>
      </c>
      <c r="R113" s="8">
        <v>7</v>
      </c>
      <c r="S113" s="6" t="s">
        <v>3532</v>
      </c>
    </row>
    <row r="114" spans="1:19" ht="25.5" x14ac:dyDescent="0.25">
      <c r="A114" s="5" t="s">
        <v>3327</v>
      </c>
      <c r="B114" s="5">
        <v>113</v>
      </c>
      <c r="C114" s="6" t="s">
        <v>1962</v>
      </c>
      <c r="D114" s="6" t="s">
        <v>3328</v>
      </c>
      <c r="E114" s="6">
        <v>473</v>
      </c>
      <c r="F114" s="6" t="s">
        <v>23</v>
      </c>
      <c r="G114" s="6">
        <v>15</v>
      </c>
      <c r="H114" s="6" t="s">
        <v>24</v>
      </c>
      <c r="I114" s="6" t="s">
        <v>3554</v>
      </c>
      <c r="J114" s="6" t="s">
        <v>3334</v>
      </c>
      <c r="K114" s="6" t="s">
        <v>3331</v>
      </c>
      <c r="L114" s="6">
        <v>42989818</v>
      </c>
      <c r="M114" s="6" t="s">
        <v>502</v>
      </c>
      <c r="N114" s="6" t="s">
        <v>503</v>
      </c>
      <c r="O114" s="6">
        <v>5</v>
      </c>
      <c r="P114" s="7">
        <v>29502</v>
      </c>
      <c r="Q114" s="6" t="s">
        <v>3332</v>
      </c>
      <c r="R114" s="8">
        <v>5</v>
      </c>
      <c r="S114" s="6" t="s">
        <v>3532</v>
      </c>
    </row>
    <row r="115" spans="1:19" ht="25.5" x14ac:dyDescent="0.25">
      <c r="A115" s="5" t="s">
        <v>3327</v>
      </c>
      <c r="B115" s="5">
        <v>114</v>
      </c>
      <c r="C115" s="6" t="s">
        <v>1974</v>
      </c>
      <c r="D115" s="6" t="s">
        <v>3328</v>
      </c>
      <c r="E115" s="6">
        <v>480</v>
      </c>
      <c r="F115" s="6" t="s">
        <v>28</v>
      </c>
      <c r="G115" s="6">
        <v>19</v>
      </c>
      <c r="H115" s="6" t="s">
        <v>29</v>
      </c>
      <c r="I115" s="6" t="s">
        <v>3555</v>
      </c>
      <c r="J115" s="6" t="s">
        <v>3556</v>
      </c>
      <c r="K115" s="6" t="s">
        <v>3331</v>
      </c>
      <c r="L115" s="6">
        <v>43034614</v>
      </c>
      <c r="M115" s="6" t="s">
        <v>30</v>
      </c>
      <c r="N115" s="6" t="s">
        <v>61</v>
      </c>
      <c r="O115" s="6">
        <v>87</v>
      </c>
      <c r="P115" s="7">
        <v>31023</v>
      </c>
      <c r="Q115" s="6" t="s">
        <v>3332</v>
      </c>
      <c r="R115" s="8">
        <v>7</v>
      </c>
      <c r="S115" s="6"/>
    </row>
    <row r="116" spans="1:19" ht="25.5" x14ac:dyDescent="0.25">
      <c r="A116" s="5" t="s">
        <v>3327</v>
      </c>
      <c r="B116" s="5">
        <v>115</v>
      </c>
      <c r="C116" s="6" t="s">
        <v>1983</v>
      </c>
      <c r="D116" s="6" t="s">
        <v>3328</v>
      </c>
      <c r="E116" s="6">
        <v>480</v>
      </c>
      <c r="F116" s="6" t="s">
        <v>28</v>
      </c>
      <c r="G116" s="6">
        <v>19</v>
      </c>
      <c r="H116" s="6" t="s">
        <v>29</v>
      </c>
      <c r="I116" s="6" t="s">
        <v>3557</v>
      </c>
      <c r="J116" s="6" t="s">
        <v>3558</v>
      </c>
      <c r="K116" s="6" t="s">
        <v>3331</v>
      </c>
      <c r="L116" s="6">
        <v>43064206</v>
      </c>
      <c r="M116" s="6" t="s">
        <v>19</v>
      </c>
      <c r="N116" s="6" t="s">
        <v>61</v>
      </c>
      <c r="O116" s="6">
        <v>111</v>
      </c>
      <c r="P116" s="7">
        <v>32115</v>
      </c>
      <c r="Q116" s="6" t="s">
        <v>3332</v>
      </c>
      <c r="R116" s="8">
        <v>5</v>
      </c>
      <c r="S116" s="6"/>
    </row>
    <row r="117" spans="1:19" ht="25.5" x14ac:dyDescent="0.25">
      <c r="A117" s="5" t="s">
        <v>3327</v>
      </c>
      <c r="B117" s="5">
        <v>116</v>
      </c>
      <c r="C117" s="6" t="s">
        <v>2001</v>
      </c>
      <c r="D117" s="6" t="s">
        <v>3328</v>
      </c>
      <c r="E117" s="6">
        <v>489</v>
      </c>
      <c r="F117" s="6" t="s">
        <v>31</v>
      </c>
      <c r="G117" s="6">
        <v>26</v>
      </c>
      <c r="H117" s="6" t="s">
        <v>29</v>
      </c>
      <c r="I117" s="6" t="s">
        <v>3559</v>
      </c>
      <c r="J117" s="6" t="s">
        <v>3560</v>
      </c>
      <c r="K117" s="6" t="s">
        <v>3331</v>
      </c>
      <c r="L117" s="6">
        <v>43504867</v>
      </c>
      <c r="M117" s="6" t="s">
        <v>19</v>
      </c>
      <c r="N117" s="6" t="s">
        <v>61</v>
      </c>
      <c r="O117" s="6">
        <v>118</v>
      </c>
      <c r="P117" s="7">
        <v>32484</v>
      </c>
      <c r="Q117" s="6" t="s">
        <v>3332</v>
      </c>
      <c r="R117" s="8">
        <v>5</v>
      </c>
      <c r="S117" s="6"/>
    </row>
    <row r="118" spans="1:19" ht="25.5" x14ac:dyDescent="0.25">
      <c r="A118" s="5" t="s">
        <v>3327</v>
      </c>
      <c r="B118" s="5">
        <v>117</v>
      </c>
      <c r="C118" s="6" t="s">
        <v>1963</v>
      </c>
      <c r="D118" s="6" t="s">
        <v>3328</v>
      </c>
      <c r="E118" s="6">
        <v>516</v>
      </c>
      <c r="F118" s="6" t="s">
        <v>36</v>
      </c>
      <c r="G118" s="6">
        <v>13</v>
      </c>
      <c r="H118" s="6" t="s">
        <v>37</v>
      </c>
      <c r="I118" s="6" t="s">
        <v>3561</v>
      </c>
      <c r="J118" s="6" t="s">
        <v>3562</v>
      </c>
      <c r="K118" s="6" t="s">
        <v>3331</v>
      </c>
      <c r="L118" s="6">
        <v>43001912</v>
      </c>
      <c r="M118" s="6" t="s">
        <v>19</v>
      </c>
      <c r="N118" s="6" t="s">
        <v>61</v>
      </c>
      <c r="O118" s="6">
        <v>143</v>
      </c>
      <c r="P118" s="7">
        <v>33788</v>
      </c>
      <c r="Q118" s="6" t="s">
        <v>3332</v>
      </c>
      <c r="R118" s="8">
        <v>4</v>
      </c>
      <c r="S118" s="6"/>
    </row>
    <row r="119" spans="1:19" ht="25.5" x14ac:dyDescent="0.25">
      <c r="A119" s="5" t="s">
        <v>3327</v>
      </c>
      <c r="B119" s="5">
        <v>118</v>
      </c>
      <c r="C119" s="6" t="s">
        <v>2051</v>
      </c>
      <c r="D119" s="6" t="s">
        <v>3328</v>
      </c>
      <c r="E119" s="6">
        <v>516</v>
      </c>
      <c r="F119" s="6" t="s">
        <v>36</v>
      </c>
      <c r="G119" s="6">
        <v>13</v>
      </c>
      <c r="H119" s="6" t="s">
        <v>37</v>
      </c>
      <c r="I119" s="6" t="s">
        <v>3563</v>
      </c>
      <c r="J119" s="6" t="s">
        <v>3564</v>
      </c>
      <c r="K119" s="6" t="s">
        <v>3331</v>
      </c>
      <c r="L119" s="6">
        <v>71642912</v>
      </c>
      <c r="M119" s="6" t="s">
        <v>19</v>
      </c>
      <c r="N119" s="6" t="s">
        <v>61</v>
      </c>
      <c r="O119" s="6">
        <v>134</v>
      </c>
      <c r="P119" s="7">
        <v>33213</v>
      </c>
      <c r="Q119" s="6" t="s">
        <v>3332</v>
      </c>
      <c r="R119" s="8">
        <v>4</v>
      </c>
      <c r="S119" s="6"/>
    </row>
    <row r="120" spans="1:19" ht="25.5" x14ac:dyDescent="0.25">
      <c r="A120" s="5" t="s">
        <v>3327</v>
      </c>
      <c r="B120" s="5">
        <v>119</v>
      </c>
      <c r="C120" s="6" t="s">
        <v>1980</v>
      </c>
      <c r="D120" s="6" t="s">
        <v>3328</v>
      </c>
      <c r="E120" s="6">
        <v>516</v>
      </c>
      <c r="F120" s="6" t="s">
        <v>36</v>
      </c>
      <c r="G120" s="6">
        <v>13</v>
      </c>
      <c r="H120" s="6" t="s">
        <v>37</v>
      </c>
      <c r="I120" s="6" t="s">
        <v>3565</v>
      </c>
      <c r="J120" s="6" t="s">
        <v>3566</v>
      </c>
      <c r="K120" s="6" t="s">
        <v>3331</v>
      </c>
      <c r="L120" s="6">
        <v>43054637</v>
      </c>
      <c r="M120" s="6" t="s">
        <v>30</v>
      </c>
      <c r="N120" s="6" t="s">
        <v>61</v>
      </c>
      <c r="O120" s="6">
        <v>96</v>
      </c>
      <c r="P120" s="7">
        <v>31387</v>
      </c>
      <c r="Q120" s="6" t="s">
        <v>3332</v>
      </c>
      <c r="R120" s="8">
        <v>5</v>
      </c>
      <c r="S120" s="10" t="s">
        <v>3427</v>
      </c>
    </row>
    <row r="121" spans="1:19" ht="25.5" x14ac:dyDescent="0.25">
      <c r="A121" s="5" t="s">
        <v>3327</v>
      </c>
      <c r="B121" s="5">
        <v>120</v>
      </c>
      <c r="C121" s="6" t="s">
        <v>2130</v>
      </c>
      <c r="D121" s="6" t="s">
        <v>3328</v>
      </c>
      <c r="E121" s="6">
        <v>519</v>
      </c>
      <c r="F121" s="6" t="s">
        <v>39</v>
      </c>
      <c r="G121" s="6">
        <v>27</v>
      </c>
      <c r="H121" s="6" t="s">
        <v>40</v>
      </c>
      <c r="I121" s="6" t="s">
        <v>3567</v>
      </c>
      <c r="J121" s="6" t="s">
        <v>3568</v>
      </c>
      <c r="K121" s="6" t="s">
        <v>3331</v>
      </c>
      <c r="L121" s="6">
        <v>43045755</v>
      </c>
      <c r="M121" s="6" t="s">
        <v>79</v>
      </c>
      <c r="N121" s="6" t="s">
        <v>88</v>
      </c>
      <c r="O121" s="6">
        <v>130</v>
      </c>
      <c r="P121" s="7">
        <v>31023</v>
      </c>
      <c r="Q121" s="6" t="s">
        <v>3332</v>
      </c>
      <c r="R121" s="8">
        <v>5</v>
      </c>
      <c r="S121" s="6"/>
    </row>
    <row r="122" spans="1:19" ht="25.5" x14ac:dyDescent="0.25">
      <c r="A122" s="5" t="s">
        <v>3327</v>
      </c>
      <c r="B122" s="5">
        <v>121</v>
      </c>
      <c r="C122" s="6" t="s">
        <v>1853</v>
      </c>
      <c r="D122" s="6" t="s">
        <v>3328</v>
      </c>
      <c r="E122" s="6">
        <v>519</v>
      </c>
      <c r="F122" s="6" t="s">
        <v>39</v>
      </c>
      <c r="G122" s="6">
        <v>27</v>
      </c>
      <c r="H122" s="6" t="s">
        <v>40</v>
      </c>
      <c r="I122" s="6" t="s">
        <v>3569</v>
      </c>
      <c r="J122" s="6" t="s">
        <v>3570</v>
      </c>
      <c r="K122" s="6" t="s">
        <v>3331</v>
      </c>
      <c r="L122" s="6">
        <v>21399257</v>
      </c>
      <c r="M122" s="6" t="s">
        <v>30</v>
      </c>
      <c r="N122" s="6" t="s">
        <v>61</v>
      </c>
      <c r="O122" s="6">
        <v>100</v>
      </c>
      <c r="P122" s="7">
        <v>31597</v>
      </c>
      <c r="Q122" s="6" t="s">
        <v>3332</v>
      </c>
      <c r="R122" s="8">
        <v>5</v>
      </c>
      <c r="S122" s="6"/>
    </row>
    <row r="123" spans="1:19" ht="25.5" x14ac:dyDescent="0.25">
      <c r="A123" s="5" t="s">
        <v>3327</v>
      </c>
      <c r="B123" s="5">
        <v>122</v>
      </c>
      <c r="C123" s="6" t="s">
        <v>1991</v>
      </c>
      <c r="D123" s="6" t="s">
        <v>3328</v>
      </c>
      <c r="E123" s="6">
        <v>519</v>
      </c>
      <c r="F123" s="6" t="s">
        <v>39</v>
      </c>
      <c r="G123" s="6">
        <v>27</v>
      </c>
      <c r="H123" s="6" t="s">
        <v>40</v>
      </c>
      <c r="I123" s="6" t="s">
        <v>3571</v>
      </c>
      <c r="J123" s="6" t="s">
        <v>3572</v>
      </c>
      <c r="K123" s="6" t="s">
        <v>3331</v>
      </c>
      <c r="L123" s="6">
        <v>43078637</v>
      </c>
      <c r="M123" s="6" t="s">
        <v>19</v>
      </c>
      <c r="N123" s="6" t="s">
        <v>61</v>
      </c>
      <c r="O123" s="6">
        <v>140</v>
      </c>
      <c r="P123" s="7">
        <v>33583</v>
      </c>
      <c r="Q123" s="6" t="s">
        <v>3332</v>
      </c>
      <c r="R123" s="8">
        <v>4</v>
      </c>
      <c r="S123" s="6"/>
    </row>
    <row r="124" spans="1:19" ht="25.5" x14ac:dyDescent="0.25">
      <c r="A124" s="5" t="s">
        <v>3327</v>
      </c>
      <c r="B124" s="5">
        <v>123</v>
      </c>
      <c r="C124" s="6" t="s">
        <v>1893</v>
      </c>
      <c r="D124" s="6" t="s">
        <v>3328</v>
      </c>
      <c r="E124" s="6">
        <v>522</v>
      </c>
      <c r="F124" s="6" t="s">
        <v>43</v>
      </c>
      <c r="G124" s="6">
        <v>52</v>
      </c>
      <c r="H124" s="6" t="s">
        <v>44</v>
      </c>
      <c r="I124" s="6" t="s">
        <v>3573</v>
      </c>
      <c r="J124" s="6" t="s">
        <v>3574</v>
      </c>
      <c r="K124" s="6" t="s">
        <v>3331</v>
      </c>
      <c r="L124" s="6">
        <v>32461002</v>
      </c>
      <c r="M124" s="6" t="s">
        <v>502</v>
      </c>
      <c r="N124" s="6" t="s">
        <v>505</v>
      </c>
      <c r="O124" s="6">
        <v>107</v>
      </c>
      <c r="P124" s="7">
        <v>28816</v>
      </c>
      <c r="Q124" s="6" t="s">
        <v>3332</v>
      </c>
      <c r="R124" s="8">
        <v>6</v>
      </c>
      <c r="S124" s="6" t="s">
        <v>3532</v>
      </c>
    </row>
    <row r="125" spans="1:19" ht="25.5" x14ac:dyDescent="0.25">
      <c r="A125" s="5" t="s">
        <v>3327</v>
      </c>
      <c r="B125" s="5">
        <v>124</v>
      </c>
      <c r="C125" s="6" t="s">
        <v>1846</v>
      </c>
      <c r="D125" s="6" t="s">
        <v>3328</v>
      </c>
      <c r="E125" s="6">
        <v>522</v>
      </c>
      <c r="F125" s="6" t="s">
        <v>43</v>
      </c>
      <c r="G125" s="6">
        <v>52</v>
      </c>
      <c r="H125" s="6" t="s">
        <v>44</v>
      </c>
      <c r="I125" s="6" t="s">
        <v>3575</v>
      </c>
      <c r="J125" s="6" t="s">
        <v>3576</v>
      </c>
      <c r="K125" s="6" t="s">
        <v>3331</v>
      </c>
      <c r="L125" s="6">
        <v>15376178</v>
      </c>
      <c r="M125" s="6" t="s">
        <v>502</v>
      </c>
      <c r="N125" s="6" t="s">
        <v>503</v>
      </c>
      <c r="O125" s="6">
        <v>2</v>
      </c>
      <c r="P125" s="7">
        <v>29809</v>
      </c>
      <c r="Q125" s="6" t="s">
        <v>3332</v>
      </c>
      <c r="R125" s="8">
        <v>5</v>
      </c>
      <c r="S125" s="6" t="s">
        <v>3532</v>
      </c>
    </row>
    <row r="126" spans="1:19" ht="25.5" x14ac:dyDescent="0.25">
      <c r="A126" s="5" t="s">
        <v>3327</v>
      </c>
      <c r="B126" s="5">
        <v>125</v>
      </c>
      <c r="C126" s="6" t="s">
        <v>1981</v>
      </c>
      <c r="D126" s="6" t="s">
        <v>3328</v>
      </c>
      <c r="E126" s="6">
        <v>522</v>
      </c>
      <c r="F126" s="6" t="s">
        <v>43</v>
      </c>
      <c r="G126" s="6">
        <v>52</v>
      </c>
      <c r="H126" s="6" t="s">
        <v>44</v>
      </c>
      <c r="I126" s="6" t="s">
        <v>3577</v>
      </c>
      <c r="J126" s="6" t="s">
        <v>3578</v>
      </c>
      <c r="K126" s="6" t="s">
        <v>3331</v>
      </c>
      <c r="L126" s="6">
        <v>43055314</v>
      </c>
      <c r="M126" s="6" t="s">
        <v>19</v>
      </c>
      <c r="N126" s="6" t="s">
        <v>61</v>
      </c>
      <c r="O126" s="6">
        <v>107</v>
      </c>
      <c r="P126" s="7">
        <v>31994</v>
      </c>
      <c r="Q126" s="6" t="s">
        <v>3332</v>
      </c>
      <c r="R126" s="8">
        <v>5</v>
      </c>
      <c r="S126" s="6"/>
    </row>
    <row r="127" spans="1:19" ht="25.5" x14ac:dyDescent="0.25">
      <c r="A127" s="5" t="s">
        <v>3327</v>
      </c>
      <c r="B127" s="5">
        <v>126</v>
      </c>
      <c r="C127" s="6" t="s">
        <v>2095</v>
      </c>
      <c r="D127" s="6" t="s">
        <v>3328</v>
      </c>
      <c r="E127" s="6">
        <v>522</v>
      </c>
      <c r="F127" s="6" t="s">
        <v>43</v>
      </c>
      <c r="G127" s="6">
        <v>52</v>
      </c>
      <c r="H127" s="6" t="s">
        <v>44</v>
      </c>
      <c r="I127" s="6" t="s">
        <v>3579</v>
      </c>
      <c r="J127" s="6" t="s">
        <v>3580</v>
      </c>
      <c r="K127" s="6" t="s">
        <v>3331</v>
      </c>
      <c r="L127" s="6">
        <v>98543465</v>
      </c>
      <c r="M127" s="6" t="s">
        <v>19</v>
      </c>
      <c r="N127" s="6" t="s">
        <v>61</v>
      </c>
      <c r="O127" s="6">
        <v>126</v>
      </c>
      <c r="P127" s="7">
        <v>32848</v>
      </c>
      <c r="Q127" s="6" t="s">
        <v>3332</v>
      </c>
      <c r="R127" s="8">
        <v>4</v>
      </c>
      <c r="S127" s="6"/>
    </row>
    <row r="128" spans="1:19" ht="25.5" x14ac:dyDescent="0.25">
      <c r="A128" s="5" t="s">
        <v>3327</v>
      </c>
      <c r="B128" s="5">
        <v>127</v>
      </c>
      <c r="C128" s="6" t="s">
        <v>1946</v>
      </c>
      <c r="D128" s="6" t="s">
        <v>3328</v>
      </c>
      <c r="E128" s="6">
        <v>522</v>
      </c>
      <c r="F128" s="6" t="s">
        <v>43</v>
      </c>
      <c r="G128" s="6">
        <v>52</v>
      </c>
      <c r="H128" s="6" t="s">
        <v>44</v>
      </c>
      <c r="I128" s="6" t="s">
        <v>3581</v>
      </c>
      <c r="J128" s="6" t="s">
        <v>3534</v>
      </c>
      <c r="K128" s="6" t="s">
        <v>3331</v>
      </c>
      <c r="L128" s="6">
        <v>42876178</v>
      </c>
      <c r="M128" s="6" t="s">
        <v>377</v>
      </c>
      <c r="N128" s="6" t="s">
        <v>27</v>
      </c>
      <c r="O128" s="6">
        <v>3</v>
      </c>
      <c r="P128" s="7">
        <v>31674</v>
      </c>
      <c r="Q128" s="6" t="s">
        <v>3332</v>
      </c>
      <c r="R128" s="8">
        <v>4</v>
      </c>
      <c r="S128" s="6"/>
    </row>
    <row r="129" spans="1:19" ht="25.5" x14ac:dyDescent="0.25">
      <c r="A129" s="5" t="s">
        <v>3327</v>
      </c>
      <c r="B129" s="5">
        <v>128</v>
      </c>
      <c r="C129" s="6" t="s">
        <v>1932</v>
      </c>
      <c r="D129" s="6" t="s">
        <v>3328</v>
      </c>
      <c r="E129" s="6">
        <v>522</v>
      </c>
      <c r="F129" s="6" t="s">
        <v>43</v>
      </c>
      <c r="G129" s="6">
        <v>52</v>
      </c>
      <c r="H129" s="6" t="s">
        <v>44</v>
      </c>
      <c r="I129" s="6" t="s">
        <v>3582</v>
      </c>
      <c r="J129" s="6" t="s">
        <v>3341</v>
      </c>
      <c r="K129" s="6" t="s">
        <v>3331</v>
      </c>
      <c r="L129" s="6">
        <v>42770973</v>
      </c>
      <c r="M129" s="6" t="s">
        <v>19</v>
      </c>
      <c r="N129" s="6" t="s">
        <v>61</v>
      </c>
      <c r="O129" s="6">
        <v>130</v>
      </c>
      <c r="P129" s="7">
        <v>33060</v>
      </c>
      <c r="Q129" s="6" t="s">
        <v>3332</v>
      </c>
      <c r="R129" s="8">
        <v>5</v>
      </c>
      <c r="S129" s="6"/>
    </row>
    <row r="130" spans="1:19" ht="25.5" x14ac:dyDescent="0.25">
      <c r="A130" s="5" t="s">
        <v>3327</v>
      </c>
      <c r="B130" s="5">
        <v>129</v>
      </c>
      <c r="C130" s="6" t="s">
        <v>1994</v>
      </c>
      <c r="D130" s="6" t="s">
        <v>3328</v>
      </c>
      <c r="E130" s="6">
        <v>522</v>
      </c>
      <c r="F130" s="6" t="s">
        <v>43</v>
      </c>
      <c r="G130" s="6">
        <v>52</v>
      </c>
      <c r="H130" s="6" t="s">
        <v>44</v>
      </c>
      <c r="I130" s="6" t="s">
        <v>3583</v>
      </c>
      <c r="J130" s="6" t="s">
        <v>3584</v>
      </c>
      <c r="K130" s="6" t="s">
        <v>3331</v>
      </c>
      <c r="L130" s="6">
        <v>43083603</v>
      </c>
      <c r="M130" s="6" t="s">
        <v>19</v>
      </c>
      <c r="N130" s="6" t="s">
        <v>61</v>
      </c>
      <c r="O130" s="6">
        <v>111</v>
      </c>
      <c r="P130" s="7">
        <v>32115</v>
      </c>
      <c r="Q130" s="6" t="s">
        <v>3332</v>
      </c>
      <c r="R130" s="8">
        <v>6</v>
      </c>
      <c r="S130" s="6"/>
    </row>
    <row r="131" spans="1:19" ht="25.5" x14ac:dyDescent="0.25">
      <c r="A131" s="5" t="s">
        <v>3327</v>
      </c>
      <c r="B131" s="5">
        <v>130</v>
      </c>
      <c r="C131" s="6" t="s">
        <v>1857</v>
      </c>
      <c r="D131" s="6" t="s">
        <v>3328</v>
      </c>
      <c r="E131" s="6">
        <v>522</v>
      </c>
      <c r="F131" s="6" t="s">
        <v>43</v>
      </c>
      <c r="G131" s="6">
        <v>52</v>
      </c>
      <c r="H131" s="6" t="s">
        <v>44</v>
      </c>
      <c r="I131" s="6" t="s">
        <v>3585</v>
      </c>
      <c r="J131" s="6" t="s">
        <v>3586</v>
      </c>
      <c r="K131" s="6" t="s">
        <v>3331</v>
      </c>
      <c r="L131" s="6">
        <v>21686424</v>
      </c>
      <c r="M131" s="6" t="s">
        <v>30</v>
      </c>
      <c r="N131" s="6" t="s">
        <v>61</v>
      </c>
      <c r="O131" s="6">
        <v>104</v>
      </c>
      <c r="P131" s="7">
        <v>31751</v>
      </c>
      <c r="Q131" s="6" t="s">
        <v>3332</v>
      </c>
      <c r="R131" s="8">
        <v>5</v>
      </c>
      <c r="S131" s="6"/>
    </row>
    <row r="132" spans="1:19" ht="25.5" x14ac:dyDescent="0.25">
      <c r="A132" s="5" t="s">
        <v>3327</v>
      </c>
      <c r="B132" s="5">
        <v>131</v>
      </c>
      <c r="C132" s="6" t="s">
        <v>1989</v>
      </c>
      <c r="D132" s="6" t="s">
        <v>3328</v>
      </c>
      <c r="E132" s="6">
        <v>522</v>
      </c>
      <c r="F132" s="6" t="s">
        <v>43</v>
      </c>
      <c r="G132" s="6">
        <v>52</v>
      </c>
      <c r="H132" s="6" t="s">
        <v>44</v>
      </c>
      <c r="I132" s="6" t="s">
        <v>3587</v>
      </c>
      <c r="J132" s="6" t="s">
        <v>3588</v>
      </c>
      <c r="K132" s="6" t="s">
        <v>3331</v>
      </c>
      <c r="L132" s="6">
        <v>43078263</v>
      </c>
      <c r="M132" s="6" t="s">
        <v>19</v>
      </c>
      <c r="N132" s="6" t="s">
        <v>61</v>
      </c>
      <c r="O132" s="6">
        <v>111</v>
      </c>
      <c r="P132" s="7">
        <v>32115</v>
      </c>
      <c r="Q132" s="6" t="s">
        <v>3332</v>
      </c>
      <c r="R132" s="8">
        <v>5</v>
      </c>
      <c r="S132" s="6"/>
    </row>
    <row r="133" spans="1:19" ht="25.5" x14ac:dyDescent="0.25">
      <c r="A133" s="5" t="s">
        <v>3327</v>
      </c>
      <c r="B133" s="5">
        <v>132</v>
      </c>
      <c r="C133" s="6" t="s">
        <v>1929</v>
      </c>
      <c r="D133" s="6" t="s">
        <v>3328</v>
      </c>
      <c r="E133" s="6">
        <v>522</v>
      </c>
      <c r="F133" s="6" t="s">
        <v>43</v>
      </c>
      <c r="G133" s="6">
        <v>52</v>
      </c>
      <c r="H133" s="6" t="s">
        <v>44</v>
      </c>
      <c r="I133" s="6" t="s">
        <v>3589</v>
      </c>
      <c r="J133" s="6" t="s">
        <v>3590</v>
      </c>
      <c r="K133" s="6" t="s">
        <v>3331</v>
      </c>
      <c r="L133" s="6">
        <v>42758040</v>
      </c>
      <c r="M133" s="6" t="s">
        <v>30</v>
      </c>
      <c r="N133" s="6" t="s">
        <v>61</v>
      </c>
      <c r="O133" s="6">
        <v>104</v>
      </c>
      <c r="P133" s="7">
        <v>31751</v>
      </c>
      <c r="Q133" s="6" t="s">
        <v>3332</v>
      </c>
      <c r="R133" s="8">
        <v>6</v>
      </c>
      <c r="S133" s="6"/>
    </row>
    <row r="134" spans="1:19" ht="25.5" x14ac:dyDescent="0.25">
      <c r="A134" s="5" t="s">
        <v>3327</v>
      </c>
      <c r="B134" s="5">
        <v>133</v>
      </c>
      <c r="C134" s="6" t="s">
        <v>2000</v>
      </c>
      <c r="D134" s="6" t="s">
        <v>3328</v>
      </c>
      <c r="E134" s="6">
        <v>522</v>
      </c>
      <c r="F134" s="6" t="s">
        <v>43</v>
      </c>
      <c r="G134" s="6">
        <v>52</v>
      </c>
      <c r="H134" s="6" t="s">
        <v>44</v>
      </c>
      <c r="I134" s="6" t="s">
        <v>3591</v>
      </c>
      <c r="J134" s="6" t="s">
        <v>3592</v>
      </c>
      <c r="K134" s="6" t="s">
        <v>3331</v>
      </c>
      <c r="L134" s="6">
        <v>43435604</v>
      </c>
      <c r="M134" s="6" t="s">
        <v>19</v>
      </c>
      <c r="N134" s="6" t="s">
        <v>27</v>
      </c>
      <c r="O134" s="6">
        <v>2</v>
      </c>
      <c r="P134" s="7">
        <v>32773</v>
      </c>
      <c r="Q134" s="6" t="s">
        <v>3332</v>
      </c>
      <c r="R134" s="8">
        <v>5</v>
      </c>
      <c r="S134" s="6"/>
    </row>
    <row r="135" spans="1:19" ht="25.5" x14ac:dyDescent="0.25">
      <c r="A135" s="5" t="s">
        <v>3327</v>
      </c>
      <c r="B135" s="5">
        <v>134</v>
      </c>
      <c r="C135" s="6" t="s">
        <v>2135</v>
      </c>
      <c r="D135" s="6" t="s">
        <v>3328</v>
      </c>
      <c r="E135" s="6">
        <v>528</v>
      </c>
      <c r="F135" s="6" t="s">
        <v>51</v>
      </c>
      <c r="G135" s="6">
        <v>52</v>
      </c>
      <c r="H135" s="6" t="s">
        <v>44</v>
      </c>
      <c r="I135" s="6" t="s">
        <v>3593</v>
      </c>
      <c r="J135" s="6" t="s">
        <v>3353</v>
      </c>
      <c r="K135" s="6" t="s">
        <v>3331</v>
      </c>
      <c r="L135" s="6">
        <v>42897080</v>
      </c>
      <c r="M135" s="6" t="s">
        <v>79</v>
      </c>
      <c r="N135" s="6" t="s">
        <v>88</v>
      </c>
      <c r="O135" s="6">
        <v>148</v>
      </c>
      <c r="P135" s="7">
        <v>33942</v>
      </c>
      <c r="Q135" s="6" t="s">
        <v>3332</v>
      </c>
      <c r="R135" s="8">
        <v>5</v>
      </c>
      <c r="S135" s="10" t="s">
        <v>3594</v>
      </c>
    </row>
    <row r="136" spans="1:19" ht="25.5" x14ac:dyDescent="0.25">
      <c r="A136" s="5" t="s">
        <v>3327</v>
      </c>
      <c r="B136" s="5">
        <v>135</v>
      </c>
      <c r="C136" s="6" t="s">
        <v>2136</v>
      </c>
      <c r="D136" s="6" t="s">
        <v>3328</v>
      </c>
      <c r="E136" s="6">
        <v>528</v>
      </c>
      <c r="F136" s="6" t="s">
        <v>51</v>
      </c>
      <c r="G136" s="6">
        <v>52</v>
      </c>
      <c r="H136" s="6" t="s">
        <v>44</v>
      </c>
      <c r="I136" s="6" t="s">
        <v>3595</v>
      </c>
      <c r="J136" s="6" t="s">
        <v>3596</v>
      </c>
      <c r="K136" s="6" t="s">
        <v>3331</v>
      </c>
      <c r="L136" s="6">
        <v>42788614</v>
      </c>
      <c r="M136" s="6" t="s">
        <v>79</v>
      </c>
      <c r="N136" s="6" t="s">
        <v>88</v>
      </c>
      <c r="O136" s="6">
        <v>148</v>
      </c>
      <c r="P136" s="7">
        <v>33942</v>
      </c>
      <c r="Q136" s="6" t="s">
        <v>3332</v>
      </c>
      <c r="R136" s="8">
        <v>5</v>
      </c>
      <c r="S136" s="10" t="s">
        <v>3594</v>
      </c>
    </row>
    <row r="137" spans="1:19" ht="25.5" x14ac:dyDescent="0.25">
      <c r="A137" s="5" t="s">
        <v>3327</v>
      </c>
      <c r="B137" s="5">
        <v>136</v>
      </c>
      <c r="C137" s="6" t="s">
        <v>2132</v>
      </c>
      <c r="D137" s="6" t="s">
        <v>3328</v>
      </c>
      <c r="E137" s="6">
        <v>528</v>
      </c>
      <c r="F137" s="6" t="s">
        <v>51</v>
      </c>
      <c r="G137" s="6">
        <v>52</v>
      </c>
      <c r="H137" s="6" t="s">
        <v>44</v>
      </c>
      <c r="I137" s="6" t="s">
        <v>3597</v>
      </c>
      <c r="J137" s="6" t="s">
        <v>3598</v>
      </c>
      <c r="K137" s="6" t="s">
        <v>3331</v>
      </c>
      <c r="L137" s="6">
        <v>43529732</v>
      </c>
      <c r="M137" s="6" t="s">
        <v>79</v>
      </c>
      <c r="N137" s="6" t="s">
        <v>88</v>
      </c>
      <c r="O137" s="6">
        <v>146</v>
      </c>
      <c r="P137" s="7">
        <v>33578</v>
      </c>
      <c r="Q137" s="6" t="s">
        <v>3332</v>
      </c>
      <c r="R137" s="8">
        <v>5</v>
      </c>
      <c r="S137" s="6"/>
    </row>
    <row r="138" spans="1:19" ht="25.5" x14ac:dyDescent="0.25">
      <c r="A138" s="5" t="s">
        <v>3327</v>
      </c>
      <c r="B138" s="5">
        <v>137</v>
      </c>
      <c r="C138" s="6" t="s">
        <v>2133</v>
      </c>
      <c r="D138" s="6" t="s">
        <v>3328</v>
      </c>
      <c r="E138" s="6">
        <v>528</v>
      </c>
      <c r="F138" s="6" t="s">
        <v>51</v>
      </c>
      <c r="G138" s="6">
        <v>52</v>
      </c>
      <c r="H138" s="6" t="s">
        <v>44</v>
      </c>
      <c r="I138" s="6" t="s">
        <v>3599</v>
      </c>
      <c r="J138" s="6" t="s">
        <v>3600</v>
      </c>
      <c r="K138" s="6" t="s">
        <v>3331</v>
      </c>
      <c r="L138" s="6">
        <v>43550521</v>
      </c>
      <c r="M138" s="6" t="s">
        <v>79</v>
      </c>
      <c r="N138" s="6" t="s">
        <v>88</v>
      </c>
      <c r="O138" s="6">
        <v>146</v>
      </c>
      <c r="P138" s="7">
        <v>33578</v>
      </c>
      <c r="Q138" s="6" t="s">
        <v>3332</v>
      </c>
      <c r="R138" s="8">
        <v>5</v>
      </c>
      <c r="S138" s="6"/>
    </row>
    <row r="139" spans="1:19" ht="25.5" x14ac:dyDescent="0.25">
      <c r="A139" s="5" t="s">
        <v>3327</v>
      </c>
      <c r="B139" s="5">
        <v>138</v>
      </c>
      <c r="C139" s="6" t="s">
        <v>2134</v>
      </c>
      <c r="D139" s="6" t="s">
        <v>3328</v>
      </c>
      <c r="E139" s="6">
        <v>528</v>
      </c>
      <c r="F139" s="6" t="s">
        <v>51</v>
      </c>
      <c r="G139" s="6">
        <v>52</v>
      </c>
      <c r="H139" s="6" t="s">
        <v>44</v>
      </c>
      <c r="I139" s="6" t="s">
        <v>3601</v>
      </c>
      <c r="J139" s="6" t="s">
        <v>3602</v>
      </c>
      <c r="K139" s="6" t="s">
        <v>3331</v>
      </c>
      <c r="L139" s="6">
        <v>32543705</v>
      </c>
      <c r="M139" s="6" t="s">
        <v>79</v>
      </c>
      <c r="N139" s="6" t="s">
        <v>88</v>
      </c>
      <c r="O139" s="6">
        <v>119</v>
      </c>
      <c r="P139" s="7">
        <v>29557</v>
      </c>
      <c r="Q139" s="6" t="s">
        <v>3332</v>
      </c>
      <c r="R139" s="8">
        <v>5</v>
      </c>
      <c r="S139" s="6"/>
    </row>
    <row r="140" spans="1:19" ht="25.5" x14ac:dyDescent="0.25">
      <c r="A140" s="5" t="s">
        <v>3327</v>
      </c>
      <c r="B140" s="5">
        <v>139</v>
      </c>
      <c r="C140" s="6" t="s">
        <v>1971</v>
      </c>
      <c r="D140" s="6" t="s">
        <v>3328</v>
      </c>
      <c r="E140" s="6">
        <v>528</v>
      </c>
      <c r="F140" s="6" t="s">
        <v>51</v>
      </c>
      <c r="G140" s="6">
        <v>52</v>
      </c>
      <c r="H140" s="6" t="s">
        <v>44</v>
      </c>
      <c r="I140" s="6" t="s">
        <v>3603</v>
      </c>
      <c r="J140" s="6" t="s">
        <v>3382</v>
      </c>
      <c r="K140" s="6" t="s">
        <v>3331</v>
      </c>
      <c r="L140" s="6">
        <v>43023238</v>
      </c>
      <c r="M140" s="6" t="s">
        <v>377</v>
      </c>
      <c r="N140" s="6" t="s">
        <v>27</v>
      </c>
      <c r="O140" s="6">
        <v>22</v>
      </c>
      <c r="P140" s="7">
        <v>31674</v>
      </c>
      <c r="Q140" s="6" t="s">
        <v>3332</v>
      </c>
      <c r="R140" s="8">
        <v>5</v>
      </c>
      <c r="S140" s="6"/>
    </row>
    <row r="141" spans="1:19" ht="25.5" x14ac:dyDescent="0.25">
      <c r="A141" s="5" t="s">
        <v>3327</v>
      </c>
      <c r="B141" s="5">
        <v>140</v>
      </c>
      <c r="C141" s="6" t="s">
        <v>2013</v>
      </c>
      <c r="D141" s="6" t="s">
        <v>3328</v>
      </c>
      <c r="E141" s="6">
        <v>528</v>
      </c>
      <c r="F141" s="6" t="s">
        <v>51</v>
      </c>
      <c r="G141" s="6">
        <v>52</v>
      </c>
      <c r="H141" s="6" t="s">
        <v>44</v>
      </c>
      <c r="I141" s="6" t="s">
        <v>3604</v>
      </c>
      <c r="J141" s="6" t="s">
        <v>3605</v>
      </c>
      <c r="K141" s="6" t="s">
        <v>3331</v>
      </c>
      <c r="L141" s="6">
        <v>43728370</v>
      </c>
      <c r="M141" s="6" t="s">
        <v>19</v>
      </c>
      <c r="N141" s="6" t="s">
        <v>27</v>
      </c>
      <c r="O141" s="6">
        <v>8</v>
      </c>
      <c r="P141" s="7">
        <v>33358</v>
      </c>
      <c r="Q141" s="6" t="s">
        <v>3332</v>
      </c>
      <c r="R141" s="8">
        <v>6</v>
      </c>
      <c r="S141" s="6"/>
    </row>
    <row r="142" spans="1:19" ht="25.5" x14ac:dyDescent="0.25">
      <c r="A142" s="5" t="s">
        <v>3327</v>
      </c>
      <c r="B142" s="5">
        <v>141</v>
      </c>
      <c r="C142" s="6" t="s">
        <v>2131</v>
      </c>
      <c r="D142" s="6" t="s">
        <v>3328</v>
      </c>
      <c r="E142" s="6">
        <v>528</v>
      </c>
      <c r="F142" s="6" t="s">
        <v>51</v>
      </c>
      <c r="G142" s="6">
        <v>52</v>
      </c>
      <c r="H142" s="6" t="s">
        <v>44</v>
      </c>
      <c r="I142" s="6" t="s">
        <v>3606</v>
      </c>
      <c r="J142" s="6" t="s">
        <v>3598</v>
      </c>
      <c r="K142" s="6" t="s">
        <v>3331</v>
      </c>
      <c r="L142" s="6">
        <v>21396603</v>
      </c>
      <c r="M142" s="6" t="s">
        <v>79</v>
      </c>
      <c r="N142" s="6" t="s">
        <v>88</v>
      </c>
      <c r="O142" s="6">
        <v>121</v>
      </c>
      <c r="P142" s="7">
        <v>29924</v>
      </c>
      <c r="Q142" s="6" t="s">
        <v>3332</v>
      </c>
      <c r="R142" s="8">
        <v>5</v>
      </c>
      <c r="S142" s="6"/>
    </row>
    <row r="143" spans="1:19" ht="25.5" x14ac:dyDescent="0.25">
      <c r="A143" s="5" t="s">
        <v>3327</v>
      </c>
      <c r="B143" s="5">
        <v>142</v>
      </c>
      <c r="C143" s="6" t="s">
        <v>1957</v>
      </c>
      <c r="D143" s="6" t="s">
        <v>3328</v>
      </c>
      <c r="E143" s="6">
        <v>528</v>
      </c>
      <c r="F143" s="6" t="s">
        <v>51</v>
      </c>
      <c r="G143" s="6">
        <v>52</v>
      </c>
      <c r="H143" s="6" t="s">
        <v>44</v>
      </c>
      <c r="I143" s="6" t="s">
        <v>3607</v>
      </c>
      <c r="J143" s="6" t="s">
        <v>3608</v>
      </c>
      <c r="K143" s="6" t="s">
        <v>3331</v>
      </c>
      <c r="L143" s="6">
        <v>42895818</v>
      </c>
      <c r="M143" s="6" t="s">
        <v>19</v>
      </c>
      <c r="N143" s="6" t="s">
        <v>61</v>
      </c>
      <c r="O143" s="6">
        <v>126</v>
      </c>
      <c r="P143" s="7">
        <v>32848</v>
      </c>
      <c r="Q143" s="6" t="s">
        <v>3332</v>
      </c>
      <c r="R143" s="8">
        <v>6</v>
      </c>
      <c r="S143" s="6"/>
    </row>
    <row r="144" spans="1:19" ht="25.5" x14ac:dyDescent="0.25">
      <c r="A144" s="5" t="s">
        <v>3327</v>
      </c>
      <c r="B144" s="5">
        <v>143</v>
      </c>
      <c r="C144" s="6" t="s">
        <v>1969</v>
      </c>
      <c r="D144" s="6" t="s">
        <v>3328</v>
      </c>
      <c r="E144" s="6">
        <v>528</v>
      </c>
      <c r="F144" s="6" t="s">
        <v>51</v>
      </c>
      <c r="G144" s="6">
        <v>52</v>
      </c>
      <c r="H144" s="6" t="s">
        <v>44</v>
      </c>
      <c r="I144" s="6" t="s">
        <v>3609</v>
      </c>
      <c r="J144" s="6" t="s">
        <v>3610</v>
      </c>
      <c r="K144" s="6" t="s">
        <v>3331</v>
      </c>
      <c r="L144" s="6">
        <v>43017095</v>
      </c>
      <c r="M144" s="6" t="s">
        <v>19</v>
      </c>
      <c r="N144" s="6" t="s">
        <v>27</v>
      </c>
      <c r="O144" s="6">
        <v>2</v>
      </c>
      <c r="P144" s="7">
        <v>32773</v>
      </c>
      <c r="Q144" s="6" t="s">
        <v>3332</v>
      </c>
      <c r="R144" s="8">
        <v>6</v>
      </c>
      <c r="S144" s="6"/>
    </row>
    <row r="145" spans="1:19" ht="25.5" x14ac:dyDescent="0.25">
      <c r="A145" s="5" t="s">
        <v>3327</v>
      </c>
      <c r="B145" s="5">
        <v>144</v>
      </c>
      <c r="C145" s="6" t="s">
        <v>2043</v>
      </c>
      <c r="D145" s="6" t="s">
        <v>3328</v>
      </c>
      <c r="E145" s="6">
        <v>528</v>
      </c>
      <c r="F145" s="6" t="s">
        <v>51</v>
      </c>
      <c r="G145" s="6">
        <v>52</v>
      </c>
      <c r="H145" s="6" t="s">
        <v>44</v>
      </c>
      <c r="I145" s="6" t="s">
        <v>3611</v>
      </c>
      <c r="J145" s="6" t="s">
        <v>3470</v>
      </c>
      <c r="K145" s="6" t="s">
        <v>3331</v>
      </c>
      <c r="L145" s="6">
        <v>70561718</v>
      </c>
      <c r="M145" s="6" t="s">
        <v>30</v>
      </c>
      <c r="N145" s="6" t="s">
        <v>27</v>
      </c>
      <c r="O145" s="6">
        <v>24</v>
      </c>
      <c r="P145" s="7">
        <v>31303</v>
      </c>
      <c r="Q145" s="6" t="s">
        <v>3332</v>
      </c>
      <c r="R145" s="8">
        <v>5</v>
      </c>
      <c r="S145" s="6"/>
    </row>
    <row r="146" spans="1:19" ht="25.5" x14ac:dyDescent="0.25">
      <c r="A146" s="5" t="s">
        <v>3327</v>
      </c>
      <c r="B146" s="5">
        <v>145</v>
      </c>
      <c r="C146" s="6" t="s">
        <v>1904</v>
      </c>
      <c r="D146" s="6" t="s">
        <v>3328</v>
      </c>
      <c r="E146" s="6">
        <v>528</v>
      </c>
      <c r="F146" s="6" t="s">
        <v>51</v>
      </c>
      <c r="G146" s="6">
        <v>52</v>
      </c>
      <c r="H146" s="6" t="s">
        <v>44</v>
      </c>
      <c r="I146" s="6" t="s">
        <v>3609</v>
      </c>
      <c r="J146" s="6" t="s">
        <v>3612</v>
      </c>
      <c r="K146" s="6" t="s">
        <v>3331</v>
      </c>
      <c r="L146" s="6">
        <v>32528416</v>
      </c>
      <c r="M146" s="6" t="s">
        <v>30</v>
      </c>
      <c r="N146" s="6" t="s">
        <v>61</v>
      </c>
      <c r="O146" s="6">
        <v>87</v>
      </c>
      <c r="P146" s="7">
        <v>31023</v>
      </c>
      <c r="Q146" s="6" t="s">
        <v>3332</v>
      </c>
      <c r="R146" s="8">
        <v>5</v>
      </c>
      <c r="S146" s="6"/>
    </row>
    <row r="147" spans="1:19" ht="25.5" x14ac:dyDescent="0.25">
      <c r="A147" s="5" t="s">
        <v>3327</v>
      </c>
      <c r="B147" s="5">
        <v>146</v>
      </c>
      <c r="C147" s="6" t="s">
        <v>1926</v>
      </c>
      <c r="D147" s="6" t="s">
        <v>3328</v>
      </c>
      <c r="E147" s="6">
        <v>528</v>
      </c>
      <c r="F147" s="6" t="s">
        <v>51</v>
      </c>
      <c r="G147" s="6">
        <v>52</v>
      </c>
      <c r="H147" s="6" t="s">
        <v>44</v>
      </c>
      <c r="I147" s="6" t="s">
        <v>3613</v>
      </c>
      <c r="J147" s="6" t="s">
        <v>3334</v>
      </c>
      <c r="K147" s="6" t="s">
        <v>3331</v>
      </c>
      <c r="L147" s="6">
        <v>42682910</v>
      </c>
      <c r="M147" s="6" t="s">
        <v>19</v>
      </c>
      <c r="N147" s="6" t="s">
        <v>61</v>
      </c>
      <c r="O147" s="6">
        <v>134</v>
      </c>
      <c r="P147" s="7">
        <v>33213</v>
      </c>
      <c r="Q147" s="6" t="s">
        <v>3332</v>
      </c>
      <c r="R147" s="8">
        <v>5</v>
      </c>
      <c r="S147" s="6"/>
    </row>
    <row r="148" spans="1:19" ht="25.5" x14ac:dyDescent="0.25">
      <c r="A148" s="5" t="s">
        <v>3327</v>
      </c>
      <c r="B148" s="5">
        <v>147</v>
      </c>
      <c r="C148" s="6" t="s">
        <v>1953</v>
      </c>
      <c r="D148" s="6" t="s">
        <v>3328</v>
      </c>
      <c r="E148" s="6">
        <v>528</v>
      </c>
      <c r="F148" s="6" t="s">
        <v>51</v>
      </c>
      <c r="G148" s="6">
        <v>52</v>
      </c>
      <c r="H148" s="6" t="s">
        <v>44</v>
      </c>
      <c r="I148" s="6" t="s">
        <v>3614</v>
      </c>
      <c r="J148" s="6" t="s">
        <v>3514</v>
      </c>
      <c r="K148" s="6" t="s">
        <v>3331</v>
      </c>
      <c r="L148" s="6">
        <v>42885169</v>
      </c>
      <c r="M148" s="6" t="s">
        <v>30</v>
      </c>
      <c r="N148" s="6" t="s">
        <v>61</v>
      </c>
      <c r="O148" s="6">
        <v>103</v>
      </c>
      <c r="P148" s="7">
        <v>31751</v>
      </c>
      <c r="Q148" s="6" t="s">
        <v>3332</v>
      </c>
      <c r="R148" s="8">
        <v>6</v>
      </c>
      <c r="S148" s="6"/>
    </row>
    <row r="149" spans="1:19" ht="25.5" x14ac:dyDescent="0.25">
      <c r="A149" s="5" t="s">
        <v>3327</v>
      </c>
      <c r="B149" s="5">
        <v>148</v>
      </c>
      <c r="C149" s="6" t="s">
        <v>1811</v>
      </c>
      <c r="D149" s="6" t="s">
        <v>3328</v>
      </c>
      <c r="E149" s="6">
        <v>528</v>
      </c>
      <c r="F149" s="6" t="s">
        <v>51</v>
      </c>
      <c r="G149" s="6">
        <v>52</v>
      </c>
      <c r="H149" s="6" t="s">
        <v>44</v>
      </c>
      <c r="I149" s="6" t="s">
        <v>3615</v>
      </c>
      <c r="J149" s="6" t="s">
        <v>3616</v>
      </c>
      <c r="K149" s="6" t="s">
        <v>3331</v>
      </c>
      <c r="L149" s="6">
        <v>3354091</v>
      </c>
      <c r="M149" s="6" t="s">
        <v>30</v>
      </c>
      <c r="N149" s="6" t="s">
        <v>61</v>
      </c>
      <c r="O149" s="6">
        <v>104</v>
      </c>
      <c r="P149" s="7">
        <v>31751</v>
      </c>
      <c r="Q149" s="6" t="s">
        <v>3332</v>
      </c>
      <c r="R149" s="8">
        <v>5</v>
      </c>
      <c r="S149" s="6"/>
    </row>
    <row r="150" spans="1:19" ht="25.5" x14ac:dyDescent="0.25">
      <c r="A150" s="5" t="s">
        <v>3327</v>
      </c>
      <c r="B150" s="5">
        <v>149</v>
      </c>
      <c r="C150" s="6" t="s">
        <v>1920</v>
      </c>
      <c r="D150" s="6" t="s">
        <v>3328</v>
      </c>
      <c r="E150" s="6">
        <v>528</v>
      </c>
      <c r="F150" s="6" t="s">
        <v>51</v>
      </c>
      <c r="G150" s="6">
        <v>52</v>
      </c>
      <c r="H150" s="6" t="s">
        <v>44</v>
      </c>
      <c r="I150" s="6" t="s">
        <v>3617</v>
      </c>
      <c r="J150" s="6" t="s">
        <v>3385</v>
      </c>
      <c r="K150" s="6" t="s">
        <v>3331</v>
      </c>
      <c r="L150" s="6">
        <v>39169117</v>
      </c>
      <c r="M150" s="6" t="s">
        <v>19</v>
      </c>
      <c r="N150" s="6" t="s">
        <v>61</v>
      </c>
      <c r="O150" s="6">
        <v>114</v>
      </c>
      <c r="P150" s="7">
        <v>32332</v>
      </c>
      <c r="Q150" s="6" t="s">
        <v>3332</v>
      </c>
      <c r="R150" s="8">
        <v>6</v>
      </c>
      <c r="S150" s="6"/>
    </row>
    <row r="151" spans="1:19" ht="25.5" x14ac:dyDescent="0.25">
      <c r="A151" s="5" t="s">
        <v>3327</v>
      </c>
      <c r="B151" s="5">
        <v>150</v>
      </c>
      <c r="C151" s="6" t="s">
        <v>1984</v>
      </c>
      <c r="D151" s="6" t="s">
        <v>3328</v>
      </c>
      <c r="E151" s="6">
        <v>528</v>
      </c>
      <c r="F151" s="6" t="s">
        <v>51</v>
      </c>
      <c r="G151" s="6">
        <v>52</v>
      </c>
      <c r="H151" s="6" t="s">
        <v>44</v>
      </c>
      <c r="I151" s="6" t="s">
        <v>3618</v>
      </c>
      <c r="J151" s="6" t="s">
        <v>3619</v>
      </c>
      <c r="K151" s="6" t="s">
        <v>3331</v>
      </c>
      <c r="L151" s="6">
        <v>43064785</v>
      </c>
      <c r="M151" s="6" t="s">
        <v>30</v>
      </c>
      <c r="N151" s="6" t="s">
        <v>61</v>
      </c>
      <c r="O151" s="6">
        <v>104</v>
      </c>
      <c r="P151" s="7">
        <v>31751</v>
      </c>
      <c r="Q151" s="6" t="s">
        <v>3332</v>
      </c>
      <c r="R151" s="8">
        <v>5</v>
      </c>
      <c r="S151" s="6"/>
    </row>
    <row r="152" spans="1:19" ht="25.5" x14ac:dyDescent="0.25">
      <c r="A152" s="5" t="s">
        <v>3327</v>
      </c>
      <c r="B152" s="5">
        <v>151</v>
      </c>
      <c r="C152" s="6" t="s">
        <v>1914</v>
      </c>
      <c r="D152" s="6" t="s">
        <v>3328</v>
      </c>
      <c r="E152" s="6">
        <v>531</v>
      </c>
      <c r="F152" s="6" t="s">
        <v>56</v>
      </c>
      <c r="G152" s="6">
        <v>36</v>
      </c>
      <c r="H152" s="6" t="s">
        <v>57</v>
      </c>
      <c r="I152" s="6" t="s">
        <v>3620</v>
      </c>
      <c r="J152" s="6" t="s">
        <v>3621</v>
      </c>
      <c r="K152" s="6" t="s">
        <v>3331</v>
      </c>
      <c r="L152" s="6">
        <v>34976154</v>
      </c>
      <c r="M152" s="6" t="s">
        <v>30</v>
      </c>
      <c r="N152" s="6" t="s">
        <v>27</v>
      </c>
      <c r="O152" s="6">
        <v>2</v>
      </c>
      <c r="P152" s="7">
        <v>31121</v>
      </c>
      <c r="Q152" s="6" t="s">
        <v>3332</v>
      </c>
      <c r="R152" s="8">
        <v>5</v>
      </c>
      <c r="S152" s="6"/>
    </row>
    <row r="153" spans="1:19" ht="25.5" x14ac:dyDescent="0.25">
      <c r="A153" s="5" t="s">
        <v>3327</v>
      </c>
      <c r="B153" s="5">
        <v>152</v>
      </c>
      <c r="C153" s="6" t="s">
        <v>2040</v>
      </c>
      <c r="D153" s="6" t="s">
        <v>3328</v>
      </c>
      <c r="E153" s="6">
        <v>534</v>
      </c>
      <c r="F153" s="6" t="s">
        <v>58</v>
      </c>
      <c r="G153" s="6">
        <v>36</v>
      </c>
      <c r="H153" s="6" t="s">
        <v>57</v>
      </c>
      <c r="I153" s="6" t="s">
        <v>3622</v>
      </c>
      <c r="J153" s="6" t="s">
        <v>3623</v>
      </c>
      <c r="K153" s="6" t="s">
        <v>3331</v>
      </c>
      <c r="L153" s="6">
        <v>70128535</v>
      </c>
      <c r="M153" s="6" t="s">
        <v>19</v>
      </c>
      <c r="N153" s="6" t="s">
        <v>27</v>
      </c>
      <c r="O153" s="6">
        <v>36</v>
      </c>
      <c r="P153" s="7">
        <v>34310</v>
      </c>
      <c r="Q153" s="6" t="s">
        <v>3332</v>
      </c>
      <c r="R153" s="8">
        <v>5</v>
      </c>
      <c r="S153" s="6"/>
    </row>
    <row r="154" spans="1:19" ht="25.5" x14ac:dyDescent="0.25">
      <c r="A154" s="5" t="s">
        <v>3327</v>
      </c>
      <c r="B154" s="5">
        <v>153</v>
      </c>
      <c r="C154" s="6" t="s">
        <v>1977</v>
      </c>
      <c r="D154" s="6" t="s">
        <v>3328</v>
      </c>
      <c r="E154" s="6">
        <v>534</v>
      </c>
      <c r="F154" s="6" t="s">
        <v>58</v>
      </c>
      <c r="G154" s="6">
        <v>36</v>
      </c>
      <c r="H154" s="6" t="s">
        <v>57</v>
      </c>
      <c r="I154" s="6" t="s">
        <v>3624</v>
      </c>
      <c r="J154" s="6" t="s">
        <v>3625</v>
      </c>
      <c r="K154" s="6" t="s">
        <v>3331</v>
      </c>
      <c r="L154" s="6">
        <v>43042039</v>
      </c>
      <c r="M154" s="6" t="s">
        <v>19</v>
      </c>
      <c r="N154" s="6" t="s">
        <v>27</v>
      </c>
      <c r="O154" s="6">
        <v>25</v>
      </c>
      <c r="P154" s="7">
        <v>34310</v>
      </c>
      <c r="Q154" s="6" t="s">
        <v>3332</v>
      </c>
      <c r="R154" s="8">
        <v>7</v>
      </c>
      <c r="S154" s="6"/>
    </row>
    <row r="155" spans="1:19" ht="25.5" x14ac:dyDescent="0.25">
      <c r="A155" s="5" t="s">
        <v>3327</v>
      </c>
      <c r="B155" s="5">
        <v>154</v>
      </c>
      <c r="C155" s="6" t="s">
        <v>1944</v>
      </c>
      <c r="D155" s="6" t="s">
        <v>3328</v>
      </c>
      <c r="E155" s="6">
        <v>534</v>
      </c>
      <c r="F155" s="6" t="s">
        <v>58</v>
      </c>
      <c r="G155" s="6">
        <v>36</v>
      </c>
      <c r="H155" s="6" t="s">
        <v>57</v>
      </c>
      <c r="I155" s="6" t="s">
        <v>3626</v>
      </c>
      <c r="J155" s="6" t="s">
        <v>3627</v>
      </c>
      <c r="K155" s="6" t="s">
        <v>3331</v>
      </c>
      <c r="L155" s="6">
        <v>42875152</v>
      </c>
      <c r="M155" s="6" t="s">
        <v>19</v>
      </c>
      <c r="N155" s="6" t="s">
        <v>27</v>
      </c>
      <c r="O155" s="6">
        <v>30</v>
      </c>
      <c r="P155" s="7">
        <v>34310</v>
      </c>
      <c r="Q155" s="6" t="s">
        <v>3332</v>
      </c>
      <c r="R155" s="8">
        <v>5</v>
      </c>
      <c r="S155" s="6"/>
    </row>
    <row r="156" spans="1:19" ht="25.5" x14ac:dyDescent="0.25">
      <c r="A156" s="5" t="s">
        <v>3327</v>
      </c>
      <c r="B156" s="5">
        <v>155</v>
      </c>
      <c r="C156" s="6" t="s">
        <v>1884</v>
      </c>
      <c r="D156" s="6" t="s">
        <v>3328</v>
      </c>
      <c r="E156" s="6">
        <v>538</v>
      </c>
      <c r="F156" s="6" t="s">
        <v>59</v>
      </c>
      <c r="G156" s="6">
        <v>64</v>
      </c>
      <c r="H156" s="6" t="s">
        <v>60</v>
      </c>
      <c r="I156" s="6" t="s">
        <v>3628</v>
      </c>
      <c r="J156" s="6" t="s">
        <v>3629</v>
      </c>
      <c r="K156" s="6" t="s">
        <v>3331</v>
      </c>
      <c r="L156" s="6">
        <v>32323454</v>
      </c>
      <c r="M156" s="6" t="s">
        <v>19</v>
      </c>
      <c r="N156" s="6" t="s">
        <v>27</v>
      </c>
      <c r="O156" s="6">
        <v>39</v>
      </c>
      <c r="P156" s="7">
        <v>34310</v>
      </c>
      <c r="Q156" s="6" t="s">
        <v>3332</v>
      </c>
      <c r="R156" s="8">
        <v>6</v>
      </c>
      <c r="S156" s="6"/>
    </row>
    <row r="157" spans="1:19" ht="25.5" x14ac:dyDescent="0.25">
      <c r="A157" s="5" t="s">
        <v>3327</v>
      </c>
      <c r="B157" s="5">
        <v>156</v>
      </c>
      <c r="C157" s="6" t="s">
        <v>1979</v>
      </c>
      <c r="D157" s="6" t="s">
        <v>3328</v>
      </c>
      <c r="E157" s="6">
        <v>538</v>
      </c>
      <c r="F157" s="6" t="s">
        <v>59</v>
      </c>
      <c r="G157" s="6">
        <v>64</v>
      </c>
      <c r="H157" s="6" t="s">
        <v>60</v>
      </c>
      <c r="I157" s="6" t="s">
        <v>3630</v>
      </c>
      <c r="J157" s="6" t="s">
        <v>3631</v>
      </c>
      <c r="K157" s="6" t="s">
        <v>3331</v>
      </c>
      <c r="L157" s="6">
        <v>43052195</v>
      </c>
      <c r="M157" s="6" t="s">
        <v>19</v>
      </c>
      <c r="N157" s="6" t="s">
        <v>27</v>
      </c>
      <c r="O157" s="6">
        <v>29</v>
      </c>
      <c r="P157" s="7">
        <v>34310</v>
      </c>
      <c r="Q157" s="6" t="s">
        <v>3332</v>
      </c>
      <c r="R157" s="8">
        <v>5</v>
      </c>
      <c r="S157" s="6"/>
    </row>
    <row r="158" spans="1:19" ht="25.5" x14ac:dyDescent="0.25">
      <c r="A158" s="5" t="s">
        <v>3327</v>
      </c>
      <c r="B158" s="5">
        <v>157</v>
      </c>
      <c r="C158" s="6" t="s">
        <v>2055</v>
      </c>
      <c r="D158" s="6" t="s">
        <v>3328</v>
      </c>
      <c r="E158" s="6">
        <v>538</v>
      </c>
      <c r="F158" s="6" t="s">
        <v>59</v>
      </c>
      <c r="G158" s="6">
        <v>64</v>
      </c>
      <c r="H158" s="6" t="s">
        <v>60</v>
      </c>
      <c r="I158" s="6" t="s">
        <v>3632</v>
      </c>
      <c r="J158" s="6" t="s">
        <v>3633</v>
      </c>
      <c r="K158" s="6" t="s">
        <v>3331</v>
      </c>
      <c r="L158" s="6">
        <v>71691636</v>
      </c>
      <c r="M158" s="6" t="s">
        <v>19</v>
      </c>
      <c r="N158" s="6" t="s">
        <v>61</v>
      </c>
      <c r="O158" s="6">
        <v>134</v>
      </c>
      <c r="P158" s="7">
        <v>33213</v>
      </c>
      <c r="Q158" s="6" t="s">
        <v>3332</v>
      </c>
      <c r="R158" s="8">
        <v>6</v>
      </c>
      <c r="S158" s="6"/>
    </row>
    <row r="159" spans="1:19" ht="25.5" x14ac:dyDescent="0.25">
      <c r="A159" s="5" t="s">
        <v>3327</v>
      </c>
      <c r="B159" s="5">
        <v>158</v>
      </c>
      <c r="C159" s="6" t="s">
        <v>1959</v>
      </c>
      <c r="D159" s="6" t="s">
        <v>3328</v>
      </c>
      <c r="E159" s="6">
        <v>538</v>
      </c>
      <c r="F159" s="6" t="s">
        <v>59</v>
      </c>
      <c r="G159" s="6">
        <v>64</v>
      </c>
      <c r="H159" s="6" t="s">
        <v>60</v>
      </c>
      <c r="I159" s="6" t="s">
        <v>3634</v>
      </c>
      <c r="J159" s="6" t="s">
        <v>3334</v>
      </c>
      <c r="K159" s="6" t="s">
        <v>3331</v>
      </c>
      <c r="L159" s="6">
        <v>42968369</v>
      </c>
      <c r="M159" s="6" t="s">
        <v>19</v>
      </c>
      <c r="N159" s="6" t="s">
        <v>61</v>
      </c>
      <c r="O159" s="6">
        <v>131</v>
      </c>
      <c r="P159" s="7">
        <v>33060</v>
      </c>
      <c r="Q159" s="6" t="s">
        <v>3332</v>
      </c>
      <c r="R159" s="8">
        <v>4</v>
      </c>
      <c r="S159" s="6"/>
    </row>
    <row r="160" spans="1:19" ht="25.5" x14ac:dyDescent="0.25">
      <c r="A160" s="5" t="s">
        <v>3327</v>
      </c>
      <c r="B160" s="5">
        <v>159</v>
      </c>
      <c r="C160" s="6" t="s">
        <v>1988</v>
      </c>
      <c r="D160" s="6" t="s">
        <v>3328</v>
      </c>
      <c r="E160" s="6">
        <v>538</v>
      </c>
      <c r="F160" s="6" t="s">
        <v>59</v>
      </c>
      <c r="G160" s="6">
        <v>64</v>
      </c>
      <c r="H160" s="6" t="s">
        <v>60</v>
      </c>
      <c r="I160" s="6" t="s">
        <v>3635</v>
      </c>
      <c r="J160" s="6" t="s">
        <v>3636</v>
      </c>
      <c r="K160" s="6" t="s">
        <v>3331</v>
      </c>
      <c r="L160" s="6">
        <v>43074677</v>
      </c>
      <c r="M160" s="6" t="s">
        <v>19</v>
      </c>
      <c r="N160" s="6" t="s">
        <v>27</v>
      </c>
      <c r="O160" s="6">
        <v>24</v>
      </c>
      <c r="P160" s="7">
        <v>34310</v>
      </c>
      <c r="Q160" s="6" t="s">
        <v>3332</v>
      </c>
      <c r="R160" s="8">
        <v>5</v>
      </c>
      <c r="S160" s="6"/>
    </row>
    <row r="161" spans="1:19" ht="25.5" x14ac:dyDescent="0.25">
      <c r="A161" s="5" t="s">
        <v>3327</v>
      </c>
      <c r="B161" s="5">
        <v>160</v>
      </c>
      <c r="C161" s="6" t="s">
        <v>2056</v>
      </c>
      <c r="D161" s="6" t="s">
        <v>3328</v>
      </c>
      <c r="E161" s="6">
        <v>538</v>
      </c>
      <c r="F161" s="6" t="s">
        <v>59</v>
      </c>
      <c r="G161" s="6">
        <v>64</v>
      </c>
      <c r="H161" s="6" t="s">
        <v>60</v>
      </c>
      <c r="I161" s="6" t="s">
        <v>3637</v>
      </c>
      <c r="J161" s="6" t="s">
        <v>3638</v>
      </c>
      <c r="K161" s="6" t="s">
        <v>3331</v>
      </c>
      <c r="L161" s="6">
        <v>71692977</v>
      </c>
      <c r="M161" s="6" t="s">
        <v>19</v>
      </c>
      <c r="N161" s="6" t="s">
        <v>61</v>
      </c>
      <c r="O161" s="6">
        <v>137</v>
      </c>
      <c r="P161" s="7">
        <v>33424</v>
      </c>
      <c r="Q161" s="6" t="s">
        <v>3332</v>
      </c>
      <c r="R161" s="8">
        <v>5</v>
      </c>
      <c r="S161" s="6"/>
    </row>
    <row r="162" spans="1:19" ht="25.5" x14ac:dyDescent="0.25">
      <c r="A162" s="5" t="s">
        <v>3327</v>
      </c>
      <c r="B162" s="5">
        <v>161</v>
      </c>
      <c r="C162" s="6" t="s">
        <v>1982</v>
      </c>
      <c r="D162" s="6" t="s">
        <v>3328</v>
      </c>
      <c r="E162" s="6">
        <v>538</v>
      </c>
      <c r="F162" s="6" t="s">
        <v>59</v>
      </c>
      <c r="G162" s="6">
        <v>64</v>
      </c>
      <c r="H162" s="6" t="s">
        <v>60</v>
      </c>
      <c r="I162" s="6" t="s">
        <v>3639</v>
      </c>
      <c r="J162" s="6" t="s">
        <v>3556</v>
      </c>
      <c r="K162" s="6" t="s">
        <v>3331</v>
      </c>
      <c r="L162" s="11">
        <v>43061125</v>
      </c>
      <c r="M162" s="6" t="s">
        <v>30</v>
      </c>
      <c r="N162" s="6" t="s">
        <v>61</v>
      </c>
      <c r="O162" s="6">
        <v>96</v>
      </c>
      <c r="P162" s="7">
        <v>31388</v>
      </c>
      <c r="Q162" s="6" t="s">
        <v>3332</v>
      </c>
      <c r="R162" s="8">
        <v>6</v>
      </c>
      <c r="S162" s="6"/>
    </row>
    <row r="163" spans="1:19" ht="25.5" x14ac:dyDescent="0.25">
      <c r="A163" s="5" t="s">
        <v>3327</v>
      </c>
      <c r="B163" s="5">
        <v>162</v>
      </c>
      <c r="C163" s="6" t="s">
        <v>2137</v>
      </c>
      <c r="D163" s="6" t="s">
        <v>3328</v>
      </c>
      <c r="E163" s="6">
        <v>541</v>
      </c>
      <c r="F163" s="6" t="s">
        <v>63</v>
      </c>
      <c r="G163" s="6">
        <v>90</v>
      </c>
      <c r="H163" s="6" t="s">
        <v>64</v>
      </c>
      <c r="I163" s="6" t="s">
        <v>3640</v>
      </c>
      <c r="J163" s="6" t="s">
        <v>3641</v>
      </c>
      <c r="K163" s="6" t="s">
        <v>3331</v>
      </c>
      <c r="L163" s="6">
        <v>43074031</v>
      </c>
      <c r="M163" s="6" t="s">
        <v>79</v>
      </c>
      <c r="N163" s="6" t="s">
        <v>88</v>
      </c>
      <c r="O163" s="6">
        <v>137</v>
      </c>
      <c r="P163" s="7">
        <v>32122</v>
      </c>
      <c r="Q163" s="6" t="s">
        <v>3332</v>
      </c>
      <c r="R163" s="8">
        <v>5</v>
      </c>
      <c r="S163" s="6"/>
    </row>
    <row r="164" spans="1:19" ht="25.5" x14ac:dyDescent="0.25">
      <c r="A164" s="5" t="s">
        <v>3327</v>
      </c>
      <c r="B164" s="5">
        <v>163</v>
      </c>
      <c r="C164" s="6" t="s">
        <v>2006</v>
      </c>
      <c r="D164" s="6" t="s">
        <v>3328</v>
      </c>
      <c r="E164" s="6">
        <v>541</v>
      </c>
      <c r="F164" s="6" t="s">
        <v>63</v>
      </c>
      <c r="G164" s="6">
        <v>90</v>
      </c>
      <c r="H164" s="6" t="s">
        <v>64</v>
      </c>
      <c r="I164" s="6" t="s">
        <v>3642</v>
      </c>
      <c r="J164" s="6" t="s">
        <v>3631</v>
      </c>
      <c r="K164" s="6" t="s">
        <v>3331</v>
      </c>
      <c r="L164" s="6">
        <v>43563214</v>
      </c>
      <c r="M164" s="6" t="s">
        <v>19</v>
      </c>
      <c r="N164" s="6" t="s">
        <v>61</v>
      </c>
      <c r="O164" s="6">
        <v>145</v>
      </c>
      <c r="P164" s="7">
        <v>33942</v>
      </c>
      <c r="Q164" s="6" t="s">
        <v>3332</v>
      </c>
      <c r="R164" s="8">
        <v>5</v>
      </c>
      <c r="S164" s="6"/>
    </row>
    <row r="165" spans="1:19" ht="25.5" x14ac:dyDescent="0.25">
      <c r="A165" s="5" t="s">
        <v>3327</v>
      </c>
      <c r="B165" s="5">
        <v>164</v>
      </c>
      <c r="C165" s="6" t="s">
        <v>2053</v>
      </c>
      <c r="D165" s="6" t="s">
        <v>3328</v>
      </c>
      <c r="E165" s="6">
        <v>541</v>
      </c>
      <c r="F165" s="6" t="s">
        <v>63</v>
      </c>
      <c r="G165" s="6">
        <v>90</v>
      </c>
      <c r="H165" s="6" t="s">
        <v>64</v>
      </c>
      <c r="I165" s="6" t="s">
        <v>3643</v>
      </c>
      <c r="J165" s="6" t="s">
        <v>3644</v>
      </c>
      <c r="K165" s="6" t="s">
        <v>3331</v>
      </c>
      <c r="L165" s="6">
        <v>71653627</v>
      </c>
      <c r="M165" s="6" t="s">
        <v>19</v>
      </c>
      <c r="N165" s="6" t="s">
        <v>61</v>
      </c>
      <c r="O165" s="6">
        <v>122</v>
      </c>
      <c r="P165" s="7">
        <v>32696</v>
      </c>
      <c r="Q165" s="6" t="s">
        <v>3332</v>
      </c>
      <c r="R165" s="8">
        <v>6</v>
      </c>
      <c r="S165" s="6"/>
    </row>
    <row r="166" spans="1:19" ht="25.5" x14ac:dyDescent="0.25">
      <c r="A166" s="5" t="s">
        <v>3327</v>
      </c>
      <c r="B166" s="5">
        <v>165</v>
      </c>
      <c r="C166" s="6" t="s">
        <v>1896</v>
      </c>
      <c r="D166" s="6" t="s">
        <v>3328</v>
      </c>
      <c r="E166" s="6">
        <v>541</v>
      </c>
      <c r="F166" s="6" t="s">
        <v>63</v>
      </c>
      <c r="G166" s="6">
        <v>90</v>
      </c>
      <c r="H166" s="6" t="s">
        <v>64</v>
      </c>
      <c r="I166" s="6" t="s">
        <v>3645</v>
      </c>
      <c r="J166" s="6" t="s">
        <v>3646</v>
      </c>
      <c r="K166" s="6" t="s">
        <v>3331</v>
      </c>
      <c r="L166" s="6">
        <v>32472493</v>
      </c>
      <c r="M166" s="6" t="s">
        <v>502</v>
      </c>
      <c r="N166" s="6" t="s">
        <v>503</v>
      </c>
      <c r="O166" s="6" t="s">
        <v>21</v>
      </c>
      <c r="P166" s="7">
        <v>27382</v>
      </c>
      <c r="Q166" s="6" t="s">
        <v>3332</v>
      </c>
      <c r="R166" s="8">
        <v>4</v>
      </c>
      <c r="S166" s="10" t="s">
        <v>3532</v>
      </c>
    </row>
    <row r="167" spans="1:19" ht="25.5" x14ac:dyDescent="0.25">
      <c r="A167" s="5" t="s">
        <v>3327</v>
      </c>
      <c r="B167" s="5">
        <v>166</v>
      </c>
      <c r="C167" s="6" t="s">
        <v>1939</v>
      </c>
      <c r="D167" s="6" t="s">
        <v>3328</v>
      </c>
      <c r="E167" s="6">
        <v>541</v>
      </c>
      <c r="F167" s="6" t="s">
        <v>63</v>
      </c>
      <c r="G167" s="6">
        <v>90</v>
      </c>
      <c r="H167" s="6" t="s">
        <v>64</v>
      </c>
      <c r="I167" s="6" t="s">
        <v>3634</v>
      </c>
      <c r="J167" s="6" t="s">
        <v>3647</v>
      </c>
      <c r="K167" s="6" t="s">
        <v>3331</v>
      </c>
      <c r="L167" s="6">
        <v>42821441</v>
      </c>
      <c r="M167" s="6" t="s">
        <v>30</v>
      </c>
      <c r="N167" s="6" t="s">
        <v>61</v>
      </c>
      <c r="O167" s="6">
        <v>93</v>
      </c>
      <c r="P167" s="7">
        <v>31233</v>
      </c>
      <c r="Q167" s="6" t="s">
        <v>3332</v>
      </c>
      <c r="R167" s="8">
        <v>5</v>
      </c>
      <c r="S167" s="6"/>
    </row>
    <row r="168" spans="1:19" ht="25.5" x14ac:dyDescent="0.25">
      <c r="A168" s="5" t="s">
        <v>3327</v>
      </c>
      <c r="B168" s="5">
        <v>167</v>
      </c>
      <c r="C168" s="6" t="s">
        <v>2143</v>
      </c>
      <c r="D168" s="6" t="s">
        <v>3328</v>
      </c>
      <c r="E168" s="6">
        <v>544</v>
      </c>
      <c r="F168" s="6" t="s">
        <v>65</v>
      </c>
      <c r="G168" s="6">
        <v>135</v>
      </c>
      <c r="H168" s="6" t="s">
        <v>66</v>
      </c>
      <c r="I168" s="6" t="s">
        <v>3648</v>
      </c>
      <c r="J168" s="6" t="s">
        <v>3409</v>
      </c>
      <c r="K168" s="6" t="s">
        <v>3331</v>
      </c>
      <c r="L168" s="6">
        <v>42788776</v>
      </c>
      <c r="M168" s="6" t="s">
        <v>79</v>
      </c>
      <c r="N168" s="6" t="s">
        <v>88</v>
      </c>
      <c r="O168" s="6">
        <v>147</v>
      </c>
      <c r="P168" s="7">
        <v>33816</v>
      </c>
      <c r="Q168" s="6" t="s">
        <v>3332</v>
      </c>
      <c r="R168" s="8">
        <v>5</v>
      </c>
      <c r="S168" s="6"/>
    </row>
    <row r="169" spans="1:19" ht="25.5" x14ac:dyDescent="0.25">
      <c r="A169" s="5" t="s">
        <v>3327</v>
      </c>
      <c r="B169" s="5">
        <v>168</v>
      </c>
      <c r="C169" s="6" t="s">
        <v>2144</v>
      </c>
      <c r="D169" s="6" t="s">
        <v>3328</v>
      </c>
      <c r="E169" s="6">
        <v>544</v>
      </c>
      <c r="F169" s="6" t="s">
        <v>65</v>
      </c>
      <c r="G169" s="6">
        <v>135</v>
      </c>
      <c r="H169" s="6" t="s">
        <v>66</v>
      </c>
      <c r="I169" s="6" t="s">
        <v>3649</v>
      </c>
      <c r="J169" s="6" t="s">
        <v>3650</v>
      </c>
      <c r="K169" s="6" t="s">
        <v>3331</v>
      </c>
      <c r="L169" s="6">
        <v>43498061</v>
      </c>
      <c r="M169" s="6" t="s">
        <v>79</v>
      </c>
      <c r="N169" s="6" t="s">
        <v>88</v>
      </c>
      <c r="O169" s="6">
        <v>138</v>
      </c>
      <c r="P169" s="7">
        <v>32318</v>
      </c>
      <c r="Q169" s="6" t="s">
        <v>3332</v>
      </c>
      <c r="R169" s="8">
        <v>5</v>
      </c>
      <c r="S169" s="6"/>
    </row>
    <row r="170" spans="1:19" ht="25.5" x14ac:dyDescent="0.25">
      <c r="A170" s="5" t="s">
        <v>3327</v>
      </c>
      <c r="B170" s="5">
        <v>169</v>
      </c>
      <c r="C170" s="6" t="s">
        <v>2140</v>
      </c>
      <c r="D170" s="6" t="s">
        <v>3328</v>
      </c>
      <c r="E170" s="6">
        <v>544</v>
      </c>
      <c r="F170" s="6" t="s">
        <v>65</v>
      </c>
      <c r="G170" s="6">
        <v>135</v>
      </c>
      <c r="H170" s="6" t="s">
        <v>66</v>
      </c>
      <c r="I170" s="6" t="s">
        <v>3651</v>
      </c>
      <c r="J170" s="6" t="s">
        <v>3652</v>
      </c>
      <c r="K170" s="6" t="s">
        <v>3331</v>
      </c>
      <c r="L170" s="6">
        <v>43072912</v>
      </c>
      <c r="M170" s="6" t="s">
        <v>79</v>
      </c>
      <c r="N170" s="6" t="s">
        <v>88</v>
      </c>
      <c r="O170" s="6">
        <v>140</v>
      </c>
      <c r="P170" s="7">
        <v>32717</v>
      </c>
      <c r="Q170" s="6" t="s">
        <v>3332</v>
      </c>
      <c r="R170" s="8">
        <v>5</v>
      </c>
      <c r="S170" s="6"/>
    </row>
    <row r="171" spans="1:19" ht="25.5" x14ac:dyDescent="0.25">
      <c r="A171" s="5" t="s">
        <v>3327</v>
      </c>
      <c r="B171" s="5">
        <v>170</v>
      </c>
      <c r="C171" s="6" t="s">
        <v>2141</v>
      </c>
      <c r="D171" s="6" t="s">
        <v>3328</v>
      </c>
      <c r="E171" s="6">
        <v>544</v>
      </c>
      <c r="F171" s="6" t="s">
        <v>65</v>
      </c>
      <c r="G171" s="6">
        <v>135</v>
      </c>
      <c r="H171" s="6" t="s">
        <v>66</v>
      </c>
      <c r="I171" s="6" t="s">
        <v>3653</v>
      </c>
      <c r="J171" s="6" t="s">
        <v>3474</v>
      </c>
      <c r="K171" s="6" t="s">
        <v>3331</v>
      </c>
      <c r="L171" s="6">
        <v>42983405</v>
      </c>
      <c r="M171" s="6" t="s">
        <v>79</v>
      </c>
      <c r="N171" s="6" t="s">
        <v>88</v>
      </c>
      <c r="O171" s="6">
        <v>121</v>
      </c>
      <c r="P171" s="7">
        <v>29924</v>
      </c>
      <c r="Q171" s="6" t="s">
        <v>3332</v>
      </c>
      <c r="R171" s="8">
        <v>5</v>
      </c>
      <c r="S171" s="6"/>
    </row>
    <row r="172" spans="1:19" ht="25.5" x14ac:dyDescent="0.25">
      <c r="A172" s="5" t="s">
        <v>3327</v>
      </c>
      <c r="B172" s="5">
        <v>171</v>
      </c>
      <c r="C172" s="6" t="s">
        <v>2142</v>
      </c>
      <c r="D172" s="6" t="s">
        <v>3328</v>
      </c>
      <c r="E172" s="6">
        <v>544</v>
      </c>
      <c r="F172" s="6" t="s">
        <v>65</v>
      </c>
      <c r="G172" s="6">
        <v>135</v>
      </c>
      <c r="H172" s="6" t="s">
        <v>66</v>
      </c>
      <c r="I172" s="6" t="s">
        <v>3654</v>
      </c>
      <c r="J172" s="6" t="s">
        <v>3655</v>
      </c>
      <c r="K172" s="6" t="s">
        <v>3331</v>
      </c>
      <c r="L172" s="6">
        <v>43083062</v>
      </c>
      <c r="M172" s="6" t="s">
        <v>79</v>
      </c>
      <c r="N172" s="6" t="s">
        <v>88</v>
      </c>
      <c r="O172" s="6">
        <v>138</v>
      </c>
      <c r="P172" s="7">
        <v>32318</v>
      </c>
      <c r="Q172" s="6" t="s">
        <v>3332</v>
      </c>
      <c r="R172" s="8">
        <v>5</v>
      </c>
      <c r="S172" s="6"/>
    </row>
    <row r="173" spans="1:19" ht="25.5" x14ac:dyDescent="0.25">
      <c r="A173" s="5" t="s">
        <v>3327</v>
      </c>
      <c r="B173" s="5">
        <v>172</v>
      </c>
      <c r="C173" s="6" t="s">
        <v>1810</v>
      </c>
      <c r="D173" s="6" t="s">
        <v>3328</v>
      </c>
      <c r="E173" s="6">
        <v>544</v>
      </c>
      <c r="F173" s="6" t="s">
        <v>65</v>
      </c>
      <c r="G173" s="6">
        <v>135</v>
      </c>
      <c r="H173" s="6" t="s">
        <v>66</v>
      </c>
      <c r="I173" s="6" t="s">
        <v>3656</v>
      </c>
      <c r="J173" s="6" t="s">
        <v>3516</v>
      </c>
      <c r="K173" s="6" t="s">
        <v>3331</v>
      </c>
      <c r="L173" s="6">
        <v>3348711</v>
      </c>
      <c r="M173" s="6" t="s">
        <v>502</v>
      </c>
      <c r="N173" s="6" t="s">
        <v>503</v>
      </c>
      <c r="O173" s="6" t="s">
        <v>21</v>
      </c>
      <c r="P173" s="7">
        <v>29502</v>
      </c>
      <c r="Q173" s="6" t="s">
        <v>3332</v>
      </c>
      <c r="R173" s="8">
        <v>5</v>
      </c>
      <c r="S173" s="6" t="s">
        <v>3532</v>
      </c>
    </row>
    <row r="174" spans="1:19" ht="25.5" x14ac:dyDescent="0.25">
      <c r="A174" s="5" t="s">
        <v>3327</v>
      </c>
      <c r="B174" s="5">
        <v>173</v>
      </c>
      <c r="C174" s="6" t="s">
        <v>2138</v>
      </c>
      <c r="D174" s="6" t="s">
        <v>3328</v>
      </c>
      <c r="E174" s="6">
        <v>544</v>
      </c>
      <c r="F174" s="6" t="s">
        <v>65</v>
      </c>
      <c r="G174" s="6">
        <v>135</v>
      </c>
      <c r="H174" s="6" t="s">
        <v>66</v>
      </c>
      <c r="I174" s="6" t="s">
        <v>3657</v>
      </c>
      <c r="J174" s="6" t="s">
        <v>3439</v>
      </c>
      <c r="K174" s="6" t="s">
        <v>3331</v>
      </c>
      <c r="L174" s="6">
        <v>43007670</v>
      </c>
      <c r="M174" s="6" t="s">
        <v>79</v>
      </c>
      <c r="N174" s="6" t="s">
        <v>88</v>
      </c>
      <c r="O174" s="6">
        <v>124</v>
      </c>
      <c r="P174" s="7">
        <v>30288</v>
      </c>
      <c r="Q174" s="6" t="s">
        <v>3332</v>
      </c>
      <c r="R174" s="8">
        <v>5</v>
      </c>
      <c r="S174" s="6"/>
    </row>
    <row r="175" spans="1:19" ht="25.5" x14ac:dyDescent="0.25">
      <c r="A175" s="5" t="s">
        <v>3327</v>
      </c>
      <c r="B175" s="5">
        <v>174</v>
      </c>
      <c r="C175" s="6" t="s">
        <v>2139</v>
      </c>
      <c r="D175" s="6" t="s">
        <v>3328</v>
      </c>
      <c r="E175" s="6">
        <v>544</v>
      </c>
      <c r="F175" s="6" t="s">
        <v>65</v>
      </c>
      <c r="G175" s="6">
        <v>135</v>
      </c>
      <c r="H175" s="6" t="s">
        <v>66</v>
      </c>
      <c r="I175" s="6" t="s">
        <v>3658</v>
      </c>
      <c r="J175" s="6" t="s">
        <v>3659</v>
      </c>
      <c r="K175" s="6" t="s">
        <v>3331</v>
      </c>
      <c r="L175" s="6">
        <v>43063138</v>
      </c>
      <c r="M175" s="6" t="s">
        <v>79</v>
      </c>
      <c r="N175" s="6" t="s">
        <v>88</v>
      </c>
      <c r="O175" s="6">
        <v>140</v>
      </c>
      <c r="P175" s="7">
        <v>32717</v>
      </c>
      <c r="Q175" s="6" t="s">
        <v>3332</v>
      </c>
      <c r="R175" s="8">
        <v>5</v>
      </c>
      <c r="S175" s="6"/>
    </row>
    <row r="176" spans="1:19" ht="25.5" x14ac:dyDescent="0.25">
      <c r="A176" s="5" t="s">
        <v>3327</v>
      </c>
      <c r="B176" s="5">
        <v>175</v>
      </c>
      <c r="C176" s="6" t="s">
        <v>1906</v>
      </c>
      <c r="D176" s="6" t="s">
        <v>3328</v>
      </c>
      <c r="E176" s="6">
        <v>544</v>
      </c>
      <c r="F176" s="6" t="s">
        <v>65</v>
      </c>
      <c r="G176" s="6">
        <v>135</v>
      </c>
      <c r="H176" s="6" t="s">
        <v>66</v>
      </c>
      <c r="I176" s="6" t="s">
        <v>3660</v>
      </c>
      <c r="J176" s="6" t="s">
        <v>3661</v>
      </c>
      <c r="K176" s="6" t="s">
        <v>3331</v>
      </c>
      <c r="L176" s="6">
        <v>32543842</v>
      </c>
      <c r="M176" s="6" t="s">
        <v>502</v>
      </c>
      <c r="N176" s="6" t="s">
        <v>503</v>
      </c>
      <c r="O176" s="6" t="s">
        <v>21</v>
      </c>
      <c r="P176" s="7">
        <v>29543</v>
      </c>
      <c r="Q176" s="6" t="s">
        <v>3332</v>
      </c>
      <c r="R176" s="8">
        <v>4</v>
      </c>
      <c r="S176" s="6" t="s">
        <v>3532</v>
      </c>
    </row>
    <row r="177" spans="1:19" ht="25.5" x14ac:dyDescent="0.25">
      <c r="A177" s="5" t="s">
        <v>3327</v>
      </c>
      <c r="B177" s="5">
        <v>176</v>
      </c>
      <c r="C177" s="6" t="s">
        <v>2042</v>
      </c>
      <c r="D177" s="6" t="s">
        <v>3328</v>
      </c>
      <c r="E177" s="6">
        <v>544</v>
      </c>
      <c r="F177" s="6" t="s">
        <v>65</v>
      </c>
      <c r="G177" s="6">
        <v>135</v>
      </c>
      <c r="H177" s="6" t="s">
        <v>66</v>
      </c>
      <c r="I177" s="6" t="s">
        <v>3662</v>
      </c>
      <c r="J177" s="6" t="s">
        <v>3663</v>
      </c>
      <c r="K177" s="6" t="s">
        <v>3331</v>
      </c>
      <c r="L177" s="6">
        <v>70513485</v>
      </c>
      <c r="M177" s="6" t="s">
        <v>30</v>
      </c>
      <c r="N177" s="6" t="s">
        <v>27</v>
      </c>
      <c r="O177" s="6">
        <v>1</v>
      </c>
      <c r="P177" s="7">
        <v>31303</v>
      </c>
      <c r="Q177" s="6" t="s">
        <v>3332</v>
      </c>
      <c r="R177" s="8">
        <v>5</v>
      </c>
      <c r="S177" s="6"/>
    </row>
    <row r="178" spans="1:19" ht="25.5" x14ac:dyDescent="0.25">
      <c r="A178" s="5" t="s">
        <v>3327</v>
      </c>
      <c r="B178" s="5">
        <v>177</v>
      </c>
      <c r="C178" s="6" t="s">
        <v>1942</v>
      </c>
      <c r="D178" s="6" t="s">
        <v>3328</v>
      </c>
      <c r="E178" s="6">
        <v>544</v>
      </c>
      <c r="F178" s="6" t="s">
        <v>65</v>
      </c>
      <c r="G178" s="6">
        <v>135</v>
      </c>
      <c r="H178" s="6" t="s">
        <v>66</v>
      </c>
      <c r="I178" s="6" t="s">
        <v>3664</v>
      </c>
      <c r="J178" s="6" t="s">
        <v>3385</v>
      </c>
      <c r="K178" s="6" t="s">
        <v>3331</v>
      </c>
      <c r="L178" s="6">
        <v>42869594</v>
      </c>
      <c r="M178" s="6" t="s">
        <v>19</v>
      </c>
      <c r="N178" s="6" t="s">
        <v>27</v>
      </c>
      <c r="O178" s="6">
        <v>4</v>
      </c>
      <c r="P178" s="7">
        <v>34310</v>
      </c>
      <c r="Q178" s="6" t="s">
        <v>3332</v>
      </c>
      <c r="R178" s="8">
        <v>5</v>
      </c>
      <c r="S178" s="6"/>
    </row>
    <row r="179" spans="1:19" ht="25.5" x14ac:dyDescent="0.25">
      <c r="A179" s="5" t="s">
        <v>3327</v>
      </c>
      <c r="B179" s="5">
        <v>178</v>
      </c>
      <c r="C179" s="6" t="s">
        <v>1990</v>
      </c>
      <c r="D179" s="6" t="s">
        <v>3328</v>
      </c>
      <c r="E179" s="6">
        <v>544</v>
      </c>
      <c r="F179" s="6" t="s">
        <v>65</v>
      </c>
      <c r="G179" s="6">
        <v>135</v>
      </c>
      <c r="H179" s="6" t="s">
        <v>66</v>
      </c>
      <c r="I179" s="6" t="s">
        <v>3665</v>
      </c>
      <c r="J179" s="6" t="s">
        <v>3666</v>
      </c>
      <c r="K179" s="6" t="s">
        <v>3331</v>
      </c>
      <c r="L179" s="6">
        <v>43078466</v>
      </c>
      <c r="M179" s="6" t="s">
        <v>19</v>
      </c>
      <c r="N179" s="6" t="s">
        <v>61</v>
      </c>
      <c r="O179" s="6">
        <v>111</v>
      </c>
      <c r="P179" s="7">
        <v>32115</v>
      </c>
      <c r="Q179" s="6" t="s">
        <v>3332</v>
      </c>
      <c r="R179" s="8">
        <v>5</v>
      </c>
      <c r="S179" s="6"/>
    </row>
    <row r="180" spans="1:19" ht="25.5" x14ac:dyDescent="0.25">
      <c r="A180" s="5" t="s">
        <v>3327</v>
      </c>
      <c r="B180" s="5">
        <v>179</v>
      </c>
      <c r="C180" s="6" t="s">
        <v>1978</v>
      </c>
      <c r="D180" s="6" t="s">
        <v>3328</v>
      </c>
      <c r="E180" s="6">
        <v>544</v>
      </c>
      <c r="F180" s="6" t="s">
        <v>65</v>
      </c>
      <c r="G180" s="6">
        <v>135</v>
      </c>
      <c r="H180" s="6" t="s">
        <v>66</v>
      </c>
      <c r="I180" s="6" t="s">
        <v>3667</v>
      </c>
      <c r="J180" s="6" t="s">
        <v>3668</v>
      </c>
      <c r="K180" s="6" t="s">
        <v>3331</v>
      </c>
      <c r="L180" s="6">
        <v>43043835</v>
      </c>
      <c r="M180" s="6" t="s">
        <v>30</v>
      </c>
      <c r="N180" s="6" t="s">
        <v>61</v>
      </c>
      <c r="O180" s="6">
        <v>99</v>
      </c>
      <c r="P180" s="7">
        <v>31597</v>
      </c>
      <c r="Q180" s="6" t="s">
        <v>3332</v>
      </c>
      <c r="R180" s="8">
        <v>5</v>
      </c>
      <c r="S180" s="6"/>
    </row>
    <row r="181" spans="1:19" ht="25.5" x14ac:dyDescent="0.25">
      <c r="A181" s="5" t="s">
        <v>3327</v>
      </c>
      <c r="B181" s="5">
        <v>180</v>
      </c>
      <c r="C181" s="6" t="s">
        <v>1931</v>
      </c>
      <c r="D181" s="6" t="s">
        <v>3328</v>
      </c>
      <c r="E181" s="6">
        <v>544</v>
      </c>
      <c r="F181" s="6" t="s">
        <v>65</v>
      </c>
      <c r="G181" s="6">
        <v>135</v>
      </c>
      <c r="H181" s="6" t="s">
        <v>66</v>
      </c>
      <c r="I181" s="6" t="s">
        <v>3669</v>
      </c>
      <c r="J181" s="6" t="s">
        <v>3403</v>
      </c>
      <c r="K181" s="6" t="s">
        <v>3331</v>
      </c>
      <c r="L181" s="6">
        <v>42760050</v>
      </c>
      <c r="M181" s="6" t="s">
        <v>30</v>
      </c>
      <c r="N181" s="6" t="s">
        <v>61</v>
      </c>
      <c r="O181" s="6">
        <v>96</v>
      </c>
      <c r="P181" s="7">
        <v>31387</v>
      </c>
      <c r="Q181" s="6" t="s">
        <v>3332</v>
      </c>
      <c r="R181" s="8">
        <v>5</v>
      </c>
      <c r="S181" s="6"/>
    </row>
    <row r="182" spans="1:19" ht="25.5" x14ac:dyDescent="0.25">
      <c r="A182" s="5" t="s">
        <v>3327</v>
      </c>
      <c r="B182" s="5">
        <v>181</v>
      </c>
      <c r="C182" s="6" t="s">
        <v>1941</v>
      </c>
      <c r="D182" s="6" t="s">
        <v>3328</v>
      </c>
      <c r="E182" s="6">
        <v>553</v>
      </c>
      <c r="F182" s="6" t="s">
        <v>69</v>
      </c>
      <c r="G182" s="6">
        <v>182</v>
      </c>
      <c r="H182" s="6" t="s">
        <v>70</v>
      </c>
      <c r="I182" s="6" t="s">
        <v>3670</v>
      </c>
      <c r="J182" s="6" t="s">
        <v>3452</v>
      </c>
      <c r="K182" s="6" t="s">
        <v>3331</v>
      </c>
      <c r="L182" s="6">
        <v>42869438</v>
      </c>
      <c r="M182" s="6" t="s">
        <v>19</v>
      </c>
      <c r="N182" s="6" t="s">
        <v>27</v>
      </c>
      <c r="O182" s="6">
        <v>37</v>
      </c>
      <c r="P182" s="7">
        <v>34310</v>
      </c>
      <c r="Q182" s="6" t="s">
        <v>3332</v>
      </c>
      <c r="R182" s="8">
        <v>6</v>
      </c>
      <c r="S182" s="6"/>
    </row>
    <row r="183" spans="1:19" ht="25.5" x14ac:dyDescent="0.25">
      <c r="A183" s="5" t="s">
        <v>3327</v>
      </c>
      <c r="B183" s="5">
        <v>182</v>
      </c>
      <c r="C183" s="6" t="s">
        <v>1855</v>
      </c>
      <c r="D183" s="6" t="s">
        <v>3328</v>
      </c>
      <c r="E183" s="6">
        <v>553</v>
      </c>
      <c r="F183" s="6" t="s">
        <v>69</v>
      </c>
      <c r="G183" s="6">
        <v>182</v>
      </c>
      <c r="H183" s="6" t="s">
        <v>70</v>
      </c>
      <c r="I183" s="6" t="s">
        <v>3671</v>
      </c>
      <c r="J183" s="6" t="s">
        <v>3672</v>
      </c>
      <c r="K183" s="6" t="s">
        <v>3331</v>
      </c>
      <c r="L183" s="6">
        <v>21500158</v>
      </c>
      <c r="M183" s="6" t="s">
        <v>30</v>
      </c>
      <c r="N183" s="6" t="s">
        <v>27</v>
      </c>
      <c r="O183" s="6">
        <v>3</v>
      </c>
      <c r="P183" s="7">
        <v>31121</v>
      </c>
      <c r="Q183" s="6" t="s">
        <v>3332</v>
      </c>
      <c r="R183" s="8">
        <v>6</v>
      </c>
      <c r="S183" s="6"/>
    </row>
    <row r="184" spans="1:19" ht="25.5" x14ac:dyDescent="0.25">
      <c r="A184" s="5" t="s">
        <v>3327</v>
      </c>
      <c r="B184" s="5">
        <v>183</v>
      </c>
      <c r="C184" s="6" t="s">
        <v>1992</v>
      </c>
      <c r="D184" s="6" t="s">
        <v>3328</v>
      </c>
      <c r="E184" s="6">
        <v>553</v>
      </c>
      <c r="F184" s="6" t="s">
        <v>69</v>
      </c>
      <c r="G184" s="6">
        <v>182</v>
      </c>
      <c r="H184" s="6" t="s">
        <v>70</v>
      </c>
      <c r="I184" s="6" t="s">
        <v>3673</v>
      </c>
      <c r="J184" s="6" t="s">
        <v>3359</v>
      </c>
      <c r="K184" s="6" t="s">
        <v>3331</v>
      </c>
      <c r="L184" s="6">
        <v>43081712</v>
      </c>
      <c r="M184" s="6" t="s">
        <v>331</v>
      </c>
      <c r="N184" s="6" t="s">
        <v>27</v>
      </c>
      <c r="O184" s="6">
        <v>18</v>
      </c>
      <c r="P184" s="7">
        <v>32129</v>
      </c>
      <c r="Q184" s="6" t="s">
        <v>3332</v>
      </c>
      <c r="R184" s="8">
        <v>6</v>
      </c>
      <c r="S184" s="6"/>
    </row>
    <row r="185" spans="1:19" ht="25.5" x14ac:dyDescent="0.25">
      <c r="A185" s="5" t="s">
        <v>3327</v>
      </c>
      <c r="B185" s="5">
        <v>184</v>
      </c>
      <c r="C185" s="6" t="s">
        <v>1968</v>
      </c>
      <c r="D185" s="6" t="s">
        <v>3328</v>
      </c>
      <c r="E185" s="6">
        <v>553</v>
      </c>
      <c r="F185" s="6" t="s">
        <v>69</v>
      </c>
      <c r="G185" s="6">
        <v>374</v>
      </c>
      <c r="H185" s="6" t="s">
        <v>76</v>
      </c>
      <c r="I185" s="6" t="s">
        <v>3674</v>
      </c>
      <c r="J185" s="6" t="s">
        <v>3675</v>
      </c>
      <c r="K185" s="6" t="s">
        <v>3331</v>
      </c>
      <c r="L185" s="6">
        <v>43015715</v>
      </c>
      <c r="M185" s="6" t="s">
        <v>19</v>
      </c>
      <c r="N185" s="6" t="s">
        <v>27</v>
      </c>
      <c r="O185" s="6">
        <v>28</v>
      </c>
      <c r="P185" s="7">
        <v>34310</v>
      </c>
      <c r="Q185" s="6" t="s">
        <v>3332</v>
      </c>
      <c r="R185" s="8">
        <v>7</v>
      </c>
      <c r="S185" s="6"/>
    </row>
    <row r="186" spans="1:19" ht="25.5" x14ac:dyDescent="0.25">
      <c r="A186" s="5" t="s">
        <v>3327</v>
      </c>
      <c r="B186" s="5">
        <v>185</v>
      </c>
      <c r="C186" s="6" t="s">
        <v>2147</v>
      </c>
      <c r="D186" s="6" t="s">
        <v>3328</v>
      </c>
      <c r="E186" s="6">
        <v>557</v>
      </c>
      <c r="F186" s="6" t="s">
        <v>72</v>
      </c>
      <c r="G186" s="6">
        <v>248</v>
      </c>
      <c r="H186" s="6" t="s">
        <v>73</v>
      </c>
      <c r="I186" s="6" t="s">
        <v>3676</v>
      </c>
      <c r="J186" s="6" t="s">
        <v>3677</v>
      </c>
      <c r="K186" s="6" t="s">
        <v>3331</v>
      </c>
      <c r="L186" s="6">
        <v>98588537</v>
      </c>
      <c r="M186" s="6" t="s">
        <v>79</v>
      </c>
      <c r="N186" s="6" t="s">
        <v>88</v>
      </c>
      <c r="O186" s="6">
        <v>155</v>
      </c>
      <c r="P186" s="7">
        <v>34537</v>
      </c>
      <c r="Q186" s="6" t="s">
        <v>3332</v>
      </c>
      <c r="R186" s="8">
        <v>6</v>
      </c>
      <c r="S186" s="6"/>
    </row>
    <row r="187" spans="1:19" ht="25.5" x14ac:dyDescent="0.25">
      <c r="A187" s="5" t="s">
        <v>3327</v>
      </c>
      <c r="B187" s="5">
        <v>186</v>
      </c>
      <c r="C187" s="6" t="s">
        <v>1860</v>
      </c>
      <c r="D187" s="6" t="s">
        <v>3328</v>
      </c>
      <c r="E187" s="6">
        <v>557</v>
      </c>
      <c r="F187" s="6" t="s">
        <v>72</v>
      </c>
      <c r="G187" s="6">
        <v>248</v>
      </c>
      <c r="H187" s="6" t="s">
        <v>73</v>
      </c>
      <c r="I187" s="6" t="s">
        <v>3678</v>
      </c>
      <c r="J187" s="6" t="s">
        <v>3679</v>
      </c>
      <c r="K187" s="6" t="s">
        <v>3331</v>
      </c>
      <c r="L187" s="6">
        <v>22129928</v>
      </c>
      <c r="M187" s="6" t="s">
        <v>19</v>
      </c>
      <c r="N187" s="6" t="s">
        <v>446</v>
      </c>
      <c r="O187" s="6">
        <v>147</v>
      </c>
      <c r="P187" s="7">
        <v>34152</v>
      </c>
      <c r="Q187" s="6" t="s">
        <v>3332</v>
      </c>
      <c r="R187" s="8">
        <v>8</v>
      </c>
      <c r="S187" s="6"/>
    </row>
    <row r="188" spans="1:19" ht="25.5" x14ac:dyDescent="0.25">
      <c r="A188" s="5" t="s">
        <v>3327</v>
      </c>
      <c r="B188" s="5">
        <v>187</v>
      </c>
      <c r="C188" s="6" t="s">
        <v>2145</v>
      </c>
      <c r="D188" s="6" t="s">
        <v>3328</v>
      </c>
      <c r="E188" s="6">
        <v>557</v>
      </c>
      <c r="F188" s="6" t="s">
        <v>72</v>
      </c>
      <c r="G188" s="6">
        <v>248</v>
      </c>
      <c r="H188" s="6" t="s">
        <v>73</v>
      </c>
      <c r="I188" s="6" t="s">
        <v>3680</v>
      </c>
      <c r="J188" s="6" t="s">
        <v>3681</v>
      </c>
      <c r="K188" s="6" t="s">
        <v>3331</v>
      </c>
      <c r="L188" s="6">
        <v>43568128</v>
      </c>
      <c r="M188" s="6" t="s">
        <v>79</v>
      </c>
      <c r="N188" s="6" t="s">
        <v>88</v>
      </c>
      <c r="O188" s="6">
        <v>155</v>
      </c>
      <c r="P188" s="7">
        <v>34537</v>
      </c>
      <c r="Q188" s="6" t="s">
        <v>3332</v>
      </c>
      <c r="R188" s="8">
        <v>5</v>
      </c>
      <c r="S188" s="6"/>
    </row>
    <row r="189" spans="1:19" ht="25.5" x14ac:dyDescent="0.25">
      <c r="A189" s="5" t="s">
        <v>3327</v>
      </c>
      <c r="B189" s="5">
        <v>188</v>
      </c>
      <c r="C189" s="6" t="s">
        <v>2146</v>
      </c>
      <c r="D189" s="6" t="s">
        <v>3328</v>
      </c>
      <c r="E189" s="6">
        <v>557</v>
      </c>
      <c r="F189" s="6" t="s">
        <v>72</v>
      </c>
      <c r="G189" s="6">
        <v>248</v>
      </c>
      <c r="H189" s="6" t="s">
        <v>73</v>
      </c>
      <c r="I189" s="6" t="s">
        <v>3682</v>
      </c>
      <c r="J189" s="6" t="s">
        <v>3683</v>
      </c>
      <c r="K189" s="6" t="s">
        <v>3331</v>
      </c>
      <c r="L189" s="6">
        <v>43518148</v>
      </c>
      <c r="M189" s="6" t="s">
        <v>79</v>
      </c>
      <c r="N189" s="6" t="s">
        <v>88</v>
      </c>
      <c r="O189" s="6">
        <v>151</v>
      </c>
      <c r="P189" s="7">
        <v>34180</v>
      </c>
      <c r="Q189" s="6" t="s">
        <v>3332</v>
      </c>
      <c r="R189" s="8">
        <v>5</v>
      </c>
      <c r="S189" s="6"/>
    </row>
    <row r="190" spans="1:19" ht="25.5" x14ac:dyDescent="0.25">
      <c r="A190" s="5" t="s">
        <v>3327</v>
      </c>
      <c r="B190" s="5">
        <v>189</v>
      </c>
      <c r="C190" s="6" t="s">
        <v>2058</v>
      </c>
      <c r="D190" s="6" t="s">
        <v>3328</v>
      </c>
      <c r="E190" s="6">
        <v>562</v>
      </c>
      <c r="F190" s="6" t="s">
        <v>74</v>
      </c>
      <c r="G190" s="6">
        <v>276</v>
      </c>
      <c r="H190" s="6" t="s">
        <v>75</v>
      </c>
      <c r="I190" s="6" t="s">
        <v>3684</v>
      </c>
      <c r="J190" s="6" t="s">
        <v>3576</v>
      </c>
      <c r="K190" s="6" t="s">
        <v>3331</v>
      </c>
      <c r="L190" s="6">
        <v>71715735</v>
      </c>
      <c r="M190" s="6" t="s">
        <v>19</v>
      </c>
      <c r="N190" s="6" t="s">
        <v>27</v>
      </c>
      <c r="O190" s="6">
        <v>56</v>
      </c>
      <c r="P190" s="7">
        <v>33904</v>
      </c>
      <c r="Q190" s="6" t="s">
        <v>3332</v>
      </c>
      <c r="R190" s="8">
        <v>6</v>
      </c>
      <c r="S190" s="6"/>
    </row>
    <row r="191" spans="1:19" ht="25.5" x14ac:dyDescent="0.25">
      <c r="A191" s="5" t="s">
        <v>3327</v>
      </c>
      <c r="B191" s="5">
        <v>190</v>
      </c>
      <c r="C191" s="6" t="s">
        <v>1935</v>
      </c>
      <c r="D191" s="6" t="s">
        <v>3328</v>
      </c>
      <c r="E191" s="6">
        <v>562</v>
      </c>
      <c r="F191" s="6" t="s">
        <v>74</v>
      </c>
      <c r="G191" s="6">
        <v>276</v>
      </c>
      <c r="H191" s="6" t="s">
        <v>75</v>
      </c>
      <c r="I191" s="6" t="s">
        <v>3685</v>
      </c>
      <c r="J191" s="6" t="s">
        <v>3556</v>
      </c>
      <c r="K191" s="6" t="s">
        <v>3331</v>
      </c>
      <c r="L191" s="6">
        <v>42774145</v>
      </c>
      <c r="M191" s="6" t="s">
        <v>19</v>
      </c>
      <c r="N191" s="6" t="s">
        <v>61</v>
      </c>
      <c r="O191" s="6">
        <v>137</v>
      </c>
      <c r="P191" s="7">
        <v>33424</v>
      </c>
      <c r="Q191" s="6" t="s">
        <v>3332</v>
      </c>
      <c r="R191" s="8">
        <v>6</v>
      </c>
      <c r="S191" s="6"/>
    </row>
    <row r="192" spans="1:19" ht="25.5" x14ac:dyDescent="0.25">
      <c r="A192" s="5" t="s">
        <v>3327</v>
      </c>
      <c r="B192" s="5">
        <v>191</v>
      </c>
      <c r="C192" s="6" t="s">
        <v>1964</v>
      </c>
      <c r="D192" s="6" t="s">
        <v>3328</v>
      </c>
      <c r="E192" s="6">
        <v>569</v>
      </c>
      <c r="F192" s="6" t="s">
        <v>83</v>
      </c>
      <c r="G192" s="6">
        <v>324</v>
      </c>
      <c r="H192" s="6" t="s">
        <v>84</v>
      </c>
      <c r="I192" s="6" t="s">
        <v>3686</v>
      </c>
      <c r="J192" s="6" t="s">
        <v>3687</v>
      </c>
      <c r="K192" s="6" t="s">
        <v>3331</v>
      </c>
      <c r="L192" s="6">
        <v>43002956</v>
      </c>
      <c r="M192" s="6" t="s">
        <v>19</v>
      </c>
      <c r="N192" s="6" t="s">
        <v>27</v>
      </c>
      <c r="O192" s="6">
        <v>6</v>
      </c>
      <c r="P192" s="7">
        <v>34675</v>
      </c>
      <c r="Q192" s="6" t="s">
        <v>3332</v>
      </c>
      <c r="R192" s="8">
        <v>6</v>
      </c>
      <c r="S192" s="6"/>
    </row>
    <row r="193" spans="1:19" ht="25.5" x14ac:dyDescent="0.25">
      <c r="A193" s="5" t="s">
        <v>3327</v>
      </c>
      <c r="B193" s="5">
        <v>192</v>
      </c>
      <c r="C193" s="6" t="s">
        <v>1993</v>
      </c>
      <c r="D193" s="6" t="s">
        <v>3328</v>
      </c>
      <c r="E193" s="6">
        <v>569</v>
      </c>
      <c r="F193" s="6" t="s">
        <v>83</v>
      </c>
      <c r="G193" s="6">
        <v>324</v>
      </c>
      <c r="H193" s="6" t="s">
        <v>84</v>
      </c>
      <c r="I193" s="6" t="s">
        <v>3688</v>
      </c>
      <c r="J193" s="6" t="s">
        <v>3689</v>
      </c>
      <c r="K193" s="6" t="s">
        <v>3331</v>
      </c>
      <c r="L193" s="6">
        <v>43083245</v>
      </c>
      <c r="M193" s="6" t="s">
        <v>19</v>
      </c>
      <c r="N193" s="6" t="s">
        <v>27</v>
      </c>
      <c r="O193" s="6">
        <v>27</v>
      </c>
      <c r="P193" s="7">
        <v>34310</v>
      </c>
      <c r="Q193" s="6" t="s">
        <v>3332</v>
      </c>
      <c r="R193" s="8">
        <v>8</v>
      </c>
      <c r="S193" s="6"/>
    </row>
    <row r="194" spans="1:19" ht="25.5" x14ac:dyDescent="0.25">
      <c r="A194" s="5" t="s">
        <v>3327</v>
      </c>
      <c r="B194" s="5">
        <v>193</v>
      </c>
      <c r="C194" s="6" t="s">
        <v>1951</v>
      </c>
      <c r="D194" s="6" t="s">
        <v>3328</v>
      </c>
      <c r="E194" s="6">
        <v>569</v>
      </c>
      <c r="F194" s="6" t="s">
        <v>83</v>
      </c>
      <c r="G194" s="6">
        <v>324</v>
      </c>
      <c r="H194" s="6" t="s">
        <v>84</v>
      </c>
      <c r="I194" s="6" t="s">
        <v>3690</v>
      </c>
      <c r="J194" s="6" t="s">
        <v>3439</v>
      </c>
      <c r="K194" s="6" t="s">
        <v>3331</v>
      </c>
      <c r="L194" s="6">
        <v>42882687</v>
      </c>
      <c r="M194" s="6" t="s">
        <v>331</v>
      </c>
      <c r="N194" s="6" t="s">
        <v>27</v>
      </c>
      <c r="O194" s="6">
        <v>20</v>
      </c>
      <c r="P194" s="7">
        <v>32038</v>
      </c>
      <c r="Q194" s="6" t="s">
        <v>3332</v>
      </c>
      <c r="R194" s="8">
        <v>6</v>
      </c>
      <c r="S194" s="6"/>
    </row>
    <row r="195" spans="1:19" ht="25.5" x14ac:dyDescent="0.25">
      <c r="A195" s="5" t="s">
        <v>3327</v>
      </c>
      <c r="B195" s="5">
        <v>194</v>
      </c>
      <c r="C195" s="6" t="s">
        <v>2229</v>
      </c>
      <c r="D195" s="6" t="s">
        <v>3328</v>
      </c>
      <c r="E195" s="6">
        <v>569</v>
      </c>
      <c r="F195" s="6" t="s">
        <v>83</v>
      </c>
      <c r="G195" s="6">
        <v>324</v>
      </c>
      <c r="H195" s="6" t="s">
        <v>84</v>
      </c>
      <c r="I195" s="6" t="s">
        <v>3691</v>
      </c>
      <c r="J195" s="6" t="s">
        <v>3692</v>
      </c>
      <c r="K195" s="6" t="s">
        <v>3331</v>
      </c>
      <c r="L195" s="6">
        <v>21409702</v>
      </c>
      <c r="M195" s="6" t="s">
        <v>19</v>
      </c>
      <c r="N195" s="6" t="s">
        <v>446</v>
      </c>
      <c r="O195" s="6">
        <v>159</v>
      </c>
      <c r="P195" s="7">
        <v>34674</v>
      </c>
      <c r="Q195" s="6" t="s">
        <v>3332</v>
      </c>
      <c r="R195" s="8">
        <v>7</v>
      </c>
      <c r="S195" s="6"/>
    </row>
    <row r="196" spans="1:19" ht="25.5" x14ac:dyDescent="0.25">
      <c r="A196" s="5" t="s">
        <v>3327</v>
      </c>
      <c r="B196" s="5">
        <v>195</v>
      </c>
      <c r="C196" s="6" t="s">
        <v>2230</v>
      </c>
      <c r="D196" s="6" t="s">
        <v>3328</v>
      </c>
      <c r="E196" s="6">
        <v>569</v>
      </c>
      <c r="F196" s="6" t="s">
        <v>83</v>
      </c>
      <c r="G196" s="6">
        <v>324</v>
      </c>
      <c r="H196" s="6" t="s">
        <v>84</v>
      </c>
      <c r="I196" s="6" t="s">
        <v>3693</v>
      </c>
      <c r="J196" s="6" t="s">
        <v>3694</v>
      </c>
      <c r="K196" s="6" t="s">
        <v>3331</v>
      </c>
      <c r="L196" s="6">
        <v>43555313</v>
      </c>
      <c r="M196" s="6" t="s">
        <v>19</v>
      </c>
      <c r="N196" s="6" t="s">
        <v>446</v>
      </c>
      <c r="O196" s="6">
        <v>159</v>
      </c>
      <c r="P196" s="7">
        <v>34674</v>
      </c>
      <c r="Q196" s="6" t="s">
        <v>3332</v>
      </c>
      <c r="R196" s="8">
        <v>6</v>
      </c>
      <c r="S196" s="6"/>
    </row>
    <row r="197" spans="1:19" ht="25.5" x14ac:dyDescent="0.25">
      <c r="A197" s="5" t="s">
        <v>3327</v>
      </c>
      <c r="B197" s="5">
        <v>196</v>
      </c>
      <c r="C197" s="6" t="s">
        <v>2152</v>
      </c>
      <c r="D197" s="6" t="s">
        <v>3328</v>
      </c>
      <c r="E197" s="6">
        <v>569</v>
      </c>
      <c r="F197" s="6" t="s">
        <v>83</v>
      </c>
      <c r="G197" s="6">
        <v>324</v>
      </c>
      <c r="H197" s="6" t="s">
        <v>84</v>
      </c>
      <c r="I197" s="6" t="s">
        <v>3695</v>
      </c>
      <c r="J197" s="6" t="s">
        <v>3359</v>
      </c>
      <c r="K197" s="6" t="s">
        <v>3331</v>
      </c>
      <c r="L197" s="6">
        <v>42822343</v>
      </c>
      <c r="M197" s="6" t="s">
        <v>79</v>
      </c>
      <c r="N197" s="6" t="s">
        <v>88</v>
      </c>
      <c r="O197" s="6">
        <v>138</v>
      </c>
      <c r="P197" s="7">
        <v>32318</v>
      </c>
      <c r="Q197" s="6" t="s">
        <v>3332</v>
      </c>
      <c r="R197" s="8">
        <v>7</v>
      </c>
      <c r="S197" s="6"/>
    </row>
    <row r="198" spans="1:19" ht="25.5" x14ac:dyDescent="0.25">
      <c r="A198" s="5" t="s">
        <v>3327</v>
      </c>
      <c r="B198" s="5">
        <v>197</v>
      </c>
      <c r="C198" s="6" t="s">
        <v>2153</v>
      </c>
      <c r="D198" s="6" t="s">
        <v>3328</v>
      </c>
      <c r="E198" s="6">
        <v>569</v>
      </c>
      <c r="F198" s="6" t="s">
        <v>83</v>
      </c>
      <c r="G198" s="6">
        <v>324</v>
      </c>
      <c r="H198" s="6" t="s">
        <v>84</v>
      </c>
      <c r="I198" s="6" t="s">
        <v>3696</v>
      </c>
      <c r="J198" s="6" t="s">
        <v>3697</v>
      </c>
      <c r="K198" s="6" t="s">
        <v>3331</v>
      </c>
      <c r="L198" s="6">
        <v>43728217</v>
      </c>
      <c r="M198" s="6" t="s">
        <v>79</v>
      </c>
      <c r="N198" s="6" t="s">
        <v>88</v>
      </c>
      <c r="O198" s="6">
        <v>146</v>
      </c>
      <c r="P198" s="7">
        <v>33578</v>
      </c>
      <c r="Q198" s="6" t="s">
        <v>3332</v>
      </c>
      <c r="R198" s="8">
        <v>6</v>
      </c>
      <c r="S198" s="6"/>
    </row>
    <row r="199" spans="1:19" ht="25.5" x14ac:dyDescent="0.25">
      <c r="A199" s="5" t="s">
        <v>3327</v>
      </c>
      <c r="B199" s="5">
        <v>198</v>
      </c>
      <c r="C199" s="6" t="s">
        <v>2149</v>
      </c>
      <c r="D199" s="6" t="s">
        <v>3328</v>
      </c>
      <c r="E199" s="6">
        <v>569</v>
      </c>
      <c r="F199" s="6" t="s">
        <v>83</v>
      </c>
      <c r="G199" s="6">
        <v>324</v>
      </c>
      <c r="H199" s="6" t="s">
        <v>84</v>
      </c>
      <c r="I199" s="6" t="s">
        <v>3698</v>
      </c>
      <c r="J199" s="6" t="s">
        <v>3699</v>
      </c>
      <c r="K199" s="6" t="s">
        <v>3331</v>
      </c>
      <c r="L199" s="6">
        <v>43728500</v>
      </c>
      <c r="M199" s="6" t="s">
        <v>79</v>
      </c>
      <c r="N199" s="6" t="s">
        <v>88</v>
      </c>
      <c r="O199" s="6">
        <v>156</v>
      </c>
      <c r="P199" s="7">
        <v>34677</v>
      </c>
      <c r="Q199" s="6" t="s">
        <v>3332</v>
      </c>
      <c r="R199" s="8">
        <v>5</v>
      </c>
      <c r="S199" s="6"/>
    </row>
    <row r="200" spans="1:19" ht="25.5" x14ac:dyDescent="0.25">
      <c r="A200" s="5" t="s">
        <v>3327</v>
      </c>
      <c r="B200" s="5">
        <v>199</v>
      </c>
      <c r="C200" s="6" t="s">
        <v>2150</v>
      </c>
      <c r="D200" s="6" t="s">
        <v>3328</v>
      </c>
      <c r="E200" s="6">
        <v>569</v>
      </c>
      <c r="F200" s="6" t="s">
        <v>83</v>
      </c>
      <c r="G200" s="6">
        <v>324</v>
      </c>
      <c r="H200" s="6" t="s">
        <v>84</v>
      </c>
      <c r="I200" s="6" t="s">
        <v>3700</v>
      </c>
      <c r="J200" s="6" t="s">
        <v>3701</v>
      </c>
      <c r="K200" s="6" t="s">
        <v>3331</v>
      </c>
      <c r="L200" s="6">
        <v>43506462</v>
      </c>
      <c r="M200" s="6" t="s">
        <v>79</v>
      </c>
      <c r="N200" s="6" t="s">
        <v>88</v>
      </c>
      <c r="O200" s="6">
        <v>155</v>
      </c>
      <c r="P200" s="7">
        <v>34537</v>
      </c>
      <c r="Q200" s="6" t="s">
        <v>3332</v>
      </c>
      <c r="R200" s="8">
        <v>5</v>
      </c>
      <c r="S200" s="6"/>
    </row>
    <row r="201" spans="1:19" ht="25.5" x14ac:dyDescent="0.25">
      <c r="A201" s="5" t="s">
        <v>3327</v>
      </c>
      <c r="B201" s="5">
        <v>200</v>
      </c>
      <c r="C201" s="6" t="s">
        <v>2151</v>
      </c>
      <c r="D201" s="6" t="s">
        <v>3328</v>
      </c>
      <c r="E201" s="6">
        <v>569</v>
      </c>
      <c r="F201" s="6" t="s">
        <v>83</v>
      </c>
      <c r="G201" s="6">
        <v>324</v>
      </c>
      <c r="H201" s="6" t="s">
        <v>84</v>
      </c>
      <c r="I201" s="6" t="s">
        <v>3702</v>
      </c>
      <c r="J201" s="6" t="s">
        <v>3703</v>
      </c>
      <c r="K201" s="6" t="s">
        <v>3331</v>
      </c>
      <c r="L201" s="6">
        <v>71692772</v>
      </c>
      <c r="M201" s="6" t="s">
        <v>79</v>
      </c>
      <c r="N201" s="6" t="s">
        <v>88</v>
      </c>
      <c r="O201" s="6">
        <v>143</v>
      </c>
      <c r="P201" s="7">
        <v>33214</v>
      </c>
      <c r="Q201" s="6" t="s">
        <v>3332</v>
      </c>
      <c r="R201" s="8">
        <v>5</v>
      </c>
      <c r="S201" s="6"/>
    </row>
    <row r="202" spans="1:19" ht="25.5" x14ac:dyDescent="0.25">
      <c r="A202" s="5" t="s">
        <v>3327</v>
      </c>
      <c r="B202" s="5">
        <v>201</v>
      </c>
      <c r="C202" s="6" t="s">
        <v>2148</v>
      </c>
      <c r="D202" s="6" t="s">
        <v>3328</v>
      </c>
      <c r="E202" s="6">
        <v>569</v>
      </c>
      <c r="F202" s="6" t="s">
        <v>83</v>
      </c>
      <c r="G202" s="6">
        <v>324</v>
      </c>
      <c r="H202" s="6" t="s">
        <v>84</v>
      </c>
      <c r="I202" s="6" t="s">
        <v>3704</v>
      </c>
      <c r="J202" s="6" t="s">
        <v>3705</v>
      </c>
      <c r="K202" s="6" t="s">
        <v>3331</v>
      </c>
      <c r="L202" s="6">
        <v>43520703</v>
      </c>
      <c r="M202" s="6" t="s">
        <v>79</v>
      </c>
      <c r="N202" s="6" t="s">
        <v>88</v>
      </c>
      <c r="O202" s="6">
        <v>156</v>
      </c>
      <c r="P202" s="7">
        <v>34677</v>
      </c>
      <c r="Q202" s="6" t="s">
        <v>3332</v>
      </c>
      <c r="R202" s="8">
        <v>5</v>
      </c>
      <c r="S202" s="6"/>
    </row>
    <row r="203" spans="1:19" ht="25.5" x14ac:dyDescent="0.25">
      <c r="A203" s="5" t="s">
        <v>3327</v>
      </c>
      <c r="B203" s="5">
        <v>202</v>
      </c>
      <c r="C203" s="6" t="s">
        <v>2016</v>
      </c>
      <c r="D203" s="6" t="s">
        <v>3328</v>
      </c>
      <c r="E203" s="6">
        <v>576</v>
      </c>
      <c r="F203" s="6" t="s">
        <v>86</v>
      </c>
      <c r="G203" s="6">
        <v>351</v>
      </c>
      <c r="H203" s="6" t="s">
        <v>87</v>
      </c>
      <c r="I203" s="6" t="s">
        <v>3706</v>
      </c>
      <c r="J203" s="6" t="s">
        <v>3707</v>
      </c>
      <c r="K203" s="6" t="s">
        <v>3331</v>
      </c>
      <c r="L203" s="6">
        <v>43802101</v>
      </c>
      <c r="M203" s="6" t="s">
        <v>19</v>
      </c>
      <c r="N203" s="6" t="s">
        <v>446</v>
      </c>
      <c r="O203" s="6">
        <v>147</v>
      </c>
      <c r="P203" s="7">
        <v>34152</v>
      </c>
      <c r="Q203" s="6" t="s">
        <v>3332</v>
      </c>
      <c r="R203" s="8">
        <v>5</v>
      </c>
      <c r="S203" s="6"/>
    </row>
    <row r="204" spans="1:19" ht="25.5" x14ac:dyDescent="0.25">
      <c r="A204" s="5" t="s">
        <v>3327</v>
      </c>
      <c r="B204" s="5">
        <v>203</v>
      </c>
      <c r="C204" s="6" t="s">
        <v>1817</v>
      </c>
      <c r="D204" s="6" t="s">
        <v>3328</v>
      </c>
      <c r="E204" s="6">
        <v>576</v>
      </c>
      <c r="F204" s="6" t="s">
        <v>86</v>
      </c>
      <c r="G204" s="6">
        <v>351</v>
      </c>
      <c r="H204" s="6" t="s">
        <v>87</v>
      </c>
      <c r="I204" s="6" t="s">
        <v>3708</v>
      </c>
      <c r="J204" s="6" t="s">
        <v>3709</v>
      </c>
      <c r="K204" s="6" t="s">
        <v>3331</v>
      </c>
      <c r="L204" s="6">
        <v>8741086</v>
      </c>
      <c r="M204" s="6" t="s">
        <v>30</v>
      </c>
      <c r="N204" s="6" t="s">
        <v>61</v>
      </c>
      <c r="O204" s="6">
        <v>104</v>
      </c>
      <c r="P204" s="7">
        <v>31751</v>
      </c>
      <c r="Q204" s="6" t="s">
        <v>3332</v>
      </c>
      <c r="R204" s="8">
        <v>5</v>
      </c>
      <c r="S204" s="6"/>
    </row>
    <row r="205" spans="1:19" ht="25.5" x14ac:dyDescent="0.25">
      <c r="A205" s="5" t="s">
        <v>3327</v>
      </c>
      <c r="B205" s="5">
        <v>204</v>
      </c>
      <c r="C205" s="6" t="s">
        <v>2154</v>
      </c>
      <c r="D205" s="6" t="s">
        <v>3328</v>
      </c>
      <c r="E205" s="6">
        <v>576</v>
      </c>
      <c r="F205" s="6" t="s">
        <v>86</v>
      </c>
      <c r="G205" s="6">
        <v>351</v>
      </c>
      <c r="H205" s="6" t="s">
        <v>87</v>
      </c>
      <c r="I205" s="6" t="s">
        <v>3710</v>
      </c>
      <c r="J205" s="6" t="s">
        <v>3393</v>
      </c>
      <c r="K205" s="6" t="s">
        <v>3331</v>
      </c>
      <c r="L205" s="6">
        <v>43533841</v>
      </c>
      <c r="M205" s="6" t="s">
        <v>79</v>
      </c>
      <c r="N205" s="6" t="s">
        <v>88</v>
      </c>
      <c r="O205" s="6">
        <v>156</v>
      </c>
      <c r="P205" s="7">
        <v>34677</v>
      </c>
      <c r="Q205" s="6" t="s">
        <v>3332</v>
      </c>
      <c r="R205" s="8">
        <v>6</v>
      </c>
      <c r="S205" s="6"/>
    </row>
    <row r="206" spans="1:19" ht="25.5" x14ac:dyDescent="0.25">
      <c r="A206" s="5" t="s">
        <v>3327</v>
      </c>
      <c r="B206" s="5">
        <v>205</v>
      </c>
      <c r="C206" s="6" t="s">
        <v>2231</v>
      </c>
      <c r="D206" s="6" t="s">
        <v>3328</v>
      </c>
      <c r="E206" s="6">
        <v>580</v>
      </c>
      <c r="F206" s="6" t="s">
        <v>86</v>
      </c>
      <c r="G206" s="6">
        <v>351</v>
      </c>
      <c r="H206" s="6" t="s">
        <v>87</v>
      </c>
      <c r="I206" s="6" t="s">
        <v>3711</v>
      </c>
      <c r="J206" s="6" t="s">
        <v>3712</v>
      </c>
      <c r="K206" s="6" t="s">
        <v>3331</v>
      </c>
      <c r="L206" s="6">
        <v>71628369</v>
      </c>
      <c r="M206" s="6" t="s">
        <v>19</v>
      </c>
      <c r="N206" s="6" t="s">
        <v>61</v>
      </c>
      <c r="O206" s="6">
        <v>137</v>
      </c>
      <c r="P206" s="7">
        <v>33424</v>
      </c>
      <c r="Q206" s="6" t="s">
        <v>3332</v>
      </c>
      <c r="R206" s="8">
        <v>5</v>
      </c>
      <c r="S206" s="6"/>
    </row>
    <row r="207" spans="1:19" ht="25.5" x14ac:dyDescent="0.25">
      <c r="A207" s="5" t="s">
        <v>3327</v>
      </c>
      <c r="B207" s="5">
        <v>206</v>
      </c>
      <c r="C207" s="6" t="s">
        <v>2249</v>
      </c>
      <c r="D207" s="6" t="s">
        <v>3328</v>
      </c>
      <c r="E207" s="6">
        <v>588</v>
      </c>
      <c r="F207" s="6" t="s">
        <v>77</v>
      </c>
      <c r="G207" s="6">
        <v>532</v>
      </c>
      <c r="H207" s="6" t="s">
        <v>89</v>
      </c>
      <c r="I207" s="6" t="s">
        <v>3713</v>
      </c>
      <c r="J207" s="6" t="s">
        <v>3543</v>
      </c>
      <c r="K207" s="6" t="s">
        <v>3331</v>
      </c>
      <c r="L207" s="6">
        <v>71693314</v>
      </c>
      <c r="M207" s="6" t="s">
        <v>19</v>
      </c>
      <c r="N207" s="6" t="s">
        <v>27</v>
      </c>
      <c r="O207" s="6">
        <v>56</v>
      </c>
      <c r="P207" s="7">
        <v>33508</v>
      </c>
      <c r="Q207" s="6" t="s">
        <v>3332</v>
      </c>
      <c r="R207" s="8">
        <v>5</v>
      </c>
      <c r="S207" s="6"/>
    </row>
    <row r="208" spans="1:19" ht="25.5" x14ac:dyDescent="0.25">
      <c r="A208" s="5" t="s">
        <v>3327</v>
      </c>
      <c r="B208" s="5">
        <v>207</v>
      </c>
      <c r="C208" s="6" t="s">
        <v>2250</v>
      </c>
      <c r="D208" s="6" t="s">
        <v>3328</v>
      </c>
      <c r="E208" s="6">
        <v>588</v>
      </c>
      <c r="F208" s="6" t="s">
        <v>77</v>
      </c>
      <c r="G208" s="6">
        <v>532</v>
      </c>
      <c r="H208" s="6" t="s">
        <v>89</v>
      </c>
      <c r="I208" s="6" t="s">
        <v>3714</v>
      </c>
      <c r="J208" s="6" t="s">
        <v>3393</v>
      </c>
      <c r="K208" s="6" t="s">
        <v>3331</v>
      </c>
      <c r="L208" s="6">
        <v>21479305</v>
      </c>
      <c r="M208" s="6" t="s">
        <v>19</v>
      </c>
      <c r="N208" s="6" t="s">
        <v>27</v>
      </c>
      <c r="O208" s="6">
        <v>38</v>
      </c>
      <c r="P208" s="7">
        <v>34310</v>
      </c>
      <c r="Q208" s="6" t="s">
        <v>3332</v>
      </c>
      <c r="R208" s="8">
        <v>5</v>
      </c>
      <c r="S208" s="6"/>
    </row>
    <row r="209" spans="1:19" ht="25.5" x14ac:dyDescent="0.25">
      <c r="A209" s="5" t="s">
        <v>3327</v>
      </c>
      <c r="B209" s="5">
        <v>208</v>
      </c>
      <c r="C209" s="6" t="s">
        <v>2283</v>
      </c>
      <c r="D209" s="6" t="s">
        <v>3328</v>
      </c>
      <c r="E209" s="6">
        <v>588</v>
      </c>
      <c r="F209" s="6" t="s">
        <v>77</v>
      </c>
      <c r="G209" s="6">
        <v>532</v>
      </c>
      <c r="H209" s="6" t="s">
        <v>89</v>
      </c>
      <c r="I209" s="6" t="s">
        <v>3715</v>
      </c>
      <c r="J209" s="6" t="s">
        <v>3716</v>
      </c>
      <c r="K209" s="6" t="s">
        <v>3331</v>
      </c>
      <c r="L209" s="6">
        <v>71597979</v>
      </c>
      <c r="M209" s="6" t="s">
        <v>30</v>
      </c>
      <c r="N209" s="6" t="s">
        <v>27</v>
      </c>
      <c r="O209" s="6">
        <v>6</v>
      </c>
      <c r="P209" s="7">
        <v>31303</v>
      </c>
      <c r="Q209" s="6" t="s">
        <v>3332</v>
      </c>
      <c r="R209" s="8">
        <v>5</v>
      </c>
      <c r="S209" s="6"/>
    </row>
    <row r="210" spans="1:19" ht="25.5" x14ac:dyDescent="0.25">
      <c r="A210" s="5" t="s">
        <v>3327</v>
      </c>
      <c r="B210" s="5">
        <v>209</v>
      </c>
      <c r="C210" s="6" t="s">
        <v>2246</v>
      </c>
      <c r="D210" s="6" t="s">
        <v>3328</v>
      </c>
      <c r="E210" s="6">
        <v>588</v>
      </c>
      <c r="F210" s="6" t="s">
        <v>77</v>
      </c>
      <c r="G210" s="6">
        <v>532</v>
      </c>
      <c r="H210" s="6" t="s">
        <v>89</v>
      </c>
      <c r="I210" s="6" t="s">
        <v>3717</v>
      </c>
      <c r="J210" s="6" t="s">
        <v>3718</v>
      </c>
      <c r="K210" s="6" t="s">
        <v>3331</v>
      </c>
      <c r="L210" s="6">
        <v>43813010</v>
      </c>
      <c r="M210" s="6" t="s">
        <v>19</v>
      </c>
      <c r="N210" s="6" t="s">
        <v>446</v>
      </c>
      <c r="O210" s="6">
        <v>163</v>
      </c>
      <c r="P210" s="7">
        <v>34887</v>
      </c>
      <c r="Q210" s="6" t="s">
        <v>3332</v>
      </c>
      <c r="R210" s="8">
        <v>5</v>
      </c>
      <c r="S210" s="6"/>
    </row>
    <row r="211" spans="1:19" ht="25.5" x14ac:dyDescent="0.25">
      <c r="A211" s="5" t="s">
        <v>3327</v>
      </c>
      <c r="B211" s="5">
        <v>210</v>
      </c>
      <c r="C211" s="6" t="s">
        <v>2247</v>
      </c>
      <c r="D211" s="6" t="s">
        <v>3328</v>
      </c>
      <c r="E211" s="6">
        <v>588</v>
      </c>
      <c r="F211" s="6" t="s">
        <v>77</v>
      </c>
      <c r="G211" s="6">
        <v>532</v>
      </c>
      <c r="H211" s="6" t="s">
        <v>89</v>
      </c>
      <c r="I211" s="6" t="s">
        <v>3719</v>
      </c>
      <c r="J211" s="6" t="s">
        <v>3720</v>
      </c>
      <c r="K211" s="6" t="s">
        <v>3331</v>
      </c>
      <c r="L211" s="6">
        <v>71710217</v>
      </c>
      <c r="M211" s="6" t="s">
        <v>19</v>
      </c>
      <c r="N211" s="6" t="s">
        <v>61</v>
      </c>
      <c r="O211" s="6">
        <v>140</v>
      </c>
      <c r="P211" s="7">
        <v>33583</v>
      </c>
      <c r="Q211" s="6" t="s">
        <v>3332</v>
      </c>
      <c r="R211" s="8">
        <v>5</v>
      </c>
      <c r="S211" s="6"/>
    </row>
    <row r="212" spans="1:19" ht="25.5" x14ac:dyDescent="0.25">
      <c r="A212" s="5" t="s">
        <v>3327</v>
      </c>
      <c r="B212" s="5">
        <v>211</v>
      </c>
      <c r="C212" s="6" t="s">
        <v>2248</v>
      </c>
      <c r="D212" s="6" t="s">
        <v>3328</v>
      </c>
      <c r="E212" s="6">
        <v>588</v>
      </c>
      <c r="F212" s="6" t="s">
        <v>77</v>
      </c>
      <c r="G212" s="6">
        <v>532</v>
      </c>
      <c r="H212" s="6" t="s">
        <v>89</v>
      </c>
      <c r="I212" s="6" t="s">
        <v>3721</v>
      </c>
      <c r="J212" s="6" t="s">
        <v>3359</v>
      </c>
      <c r="K212" s="6" t="s">
        <v>3331</v>
      </c>
      <c r="L212" s="6">
        <v>43725945</v>
      </c>
      <c r="M212" s="6" t="s">
        <v>19</v>
      </c>
      <c r="N212" s="6" t="s">
        <v>27</v>
      </c>
      <c r="O212" s="6">
        <v>52</v>
      </c>
      <c r="P212" s="7">
        <v>33163</v>
      </c>
      <c r="Q212" s="6" t="s">
        <v>3332</v>
      </c>
      <c r="R212" s="8">
        <v>6</v>
      </c>
      <c r="S212" s="6"/>
    </row>
    <row r="213" spans="1:19" ht="25.5" x14ac:dyDescent="0.25">
      <c r="A213" s="5" t="s">
        <v>3327</v>
      </c>
      <c r="B213" s="5">
        <v>212</v>
      </c>
      <c r="C213" s="6" t="s">
        <v>2243</v>
      </c>
      <c r="D213" s="6" t="s">
        <v>3328</v>
      </c>
      <c r="E213" s="6">
        <v>588</v>
      </c>
      <c r="F213" s="6" t="s">
        <v>77</v>
      </c>
      <c r="G213" s="6">
        <v>532</v>
      </c>
      <c r="H213" s="6" t="s">
        <v>89</v>
      </c>
      <c r="I213" s="6" t="s">
        <v>3722</v>
      </c>
      <c r="J213" s="6" t="s">
        <v>3452</v>
      </c>
      <c r="K213" s="6" t="s">
        <v>3331</v>
      </c>
      <c r="L213" s="6">
        <v>42882831</v>
      </c>
      <c r="M213" s="6" t="s">
        <v>19</v>
      </c>
      <c r="N213" s="6" t="s">
        <v>61</v>
      </c>
      <c r="O213" s="6">
        <v>118</v>
      </c>
      <c r="P213" s="7">
        <v>32484</v>
      </c>
      <c r="Q213" s="6" t="s">
        <v>3332</v>
      </c>
      <c r="R213" s="8">
        <v>5</v>
      </c>
      <c r="S213" s="6"/>
    </row>
    <row r="214" spans="1:19" ht="25.5" x14ac:dyDescent="0.25">
      <c r="A214" s="5" t="s">
        <v>3327</v>
      </c>
      <c r="B214" s="5">
        <v>213</v>
      </c>
      <c r="C214" s="6" t="s">
        <v>2244</v>
      </c>
      <c r="D214" s="6" t="s">
        <v>3328</v>
      </c>
      <c r="E214" s="6">
        <v>588</v>
      </c>
      <c r="F214" s="6" t="s">
        <v>77</v>
      </c>
      <c r="G214" s="6">
        <v>532</v>
      </c>
      <c r="H214" s="6" t="s">
        <v>89</v>
      </c>
      <c r="I214" s="6" t="s">
        <v>3723</v>
      </c>
      <c r="J214" s="6" t="s">
        <v>3385</v>
      </c>
      <c r="K214" s="6" t="s">
        <v>3331</v>
      </c>
      <c r="L214" s="6">
        <v>43099161</v>
      </c>
      <c r="M214" s="6" t="s">
        <v>19</v>
      </c>
      <c r="N214" s="6" t="s">
        <v>61</v>
      </c>
      <c r="O214" s="6">
        <v>114</v>
      </c>
      <c r="P214" s="7">
        <v>32332</v>
      </c>
      <c r="Q214" s="6" t="s">
        <v>3332</v>
      </c>
      <c r="R214" s="8">
        <v>6</v>
      </c>
      <c r="S214" s="6"/>
    </row>
    <row r="215" spans="1:19" ht="25.5" x14ac:dyDescent="0.25">
      <c r="A215" s="5" t="s">
        <v>3327</v>
      </c>
      <c r="B215" s="5">
        <v>214</v>
      </c>
      <c r="C215" s="6" t="s">
        <v>2245</v>
      </c>
      <c r="D215" s="6" t="s">
        <v>3328</v>
      </c>
      <c r="E215" s="6">
        <v>588</v>
      </c>
      <c r="F215" s="6" t="s">
        <v>77</v>
      </c>
      <c r="G215" s="6">
        <v>532</v>
      </c>
      <c r="H215" s="6" t="s">
        <v>89</v>
      </c>
      <c r="I215" s="6" t="s">
        <v>3724</v>
      </c>
      <c r="J215" s="6" t="s">
        <v>3725</v>
      </c>
      <c r="K215" s="6" t="s">
        <v>3331</v>
      </c>
      <c r="L215" s="6">
        <v>43504285</v>
      </c>
      <c r="M215" s="6" t="s">
        <v>19</v>
      </c>
      <c r="N215" s="6" t="s">
        <v>61</v>
      </c>
      <c r="O215" s="6">
        <v>114</v>
      </c>
      <c r="P215" s="7">
        <v>32332</v>
      </c>
      <c r="Q215" s="6" t="s">
        <v>3332</v>
      </c>
      <c r="R215" s="8">
        <v>5</v>
      </c>
      <c r="S215" s="6"/>
    </row>
    <row r="216" spans="1:19" ht="25.5" x14ac:dyDescent="0.25">
      <c r="A216" s="5" t="s">
        <v>3327</v>
      </c>
      <c r="B216" s="5">
        <v>215</v>
      </c>
      <c r="C216" s="6" t="s">
        <v>2240</v>
      </c>
      <c r="D216" s="6" t="s">
        <v>3328</v>
      </c>
      <c r="E216" s="6">
        <v>588</v>
      </c>
      <c r="F216" s="6" t="s">
        <v>77</v>
      </c>
      <c r="G216" s="6">
        <v>532</v>
      </c>
      <c r="H216" s="6" t="s">
        <v>89</v>
      </c>
      <c r="I216" s="6" t="s">
        <v>3726</v>
      </c>
      <c r="J216" s="6" t="s">
        <v>3727</v>
      </c>
      <c r="K216" s="6" t="s">
        <v>3331</v>
      </c>
      <c r="L216" s="6">
        <v>43525502</v>
      </c>
      <c r="M216" s="6" t="s">
        <v>19</v>
      </c>
      <c r="N216" s="6" t="s">
        <v>61</v>
      </c>
      <c r="O216" s="6">
        <v>137</v>
      </c>
      <c r="P216" s="7">
        <v>33424</v>
      </c>
      <c r="Q216" s="6" t="s">
        <v>3332</v>
      </c>
      <c r="R216" s="8">
        <v>5</v>
      </c>
      <c r="S216" s="6"/>
    </row>
    <row r="217" spans="1:19" ht="25.5" x14ac:dyDescent="0.25">
      <c r="A217" s="5" t="s">
        <v>3327</v>
      </c>
      <c r="B217" s="5">
        <v>216</v>
      </c>
      <c r="C217" s="6" t="s">
        <v>2241</v>
      </c>
      <c r="D217" s="6" t="s">
        <v>3328</v>
      </c>
      <c r="E217" s="6">
        <v>588</v>
      </c>
      <c r="F217" s="6" t="s">
        <v>77</v>
      </c>
      <c r="G217" s="6">
        <v>532</v>
      </c>
      <c r="H217" s="6" t="s">
        <v>89</v>
      </c>
      <c r="I217" s="6" t="s">
        <v>3728</v>
      </c>
      <c r="J217" s="6" t="s">
        <v>3729</v>
      </c>
      <c r="K217" s="6" t="s">
        <v>3331</v>
      </c>
      <c r="L217" s="6">
        <v>43099617</v>
      </c>
      <c r="M217" s="6" t="s">
        <v>19</v>
      </c>
      <c r="N217" s="6" t="s">
        <v>61</v>
      </c>
      <c r="O217" s="6">
        <v>112</v>
      </c>
      <c r="P217" s="7">
        <v>32115</v>
      </c>
      <c r="Q217" s="6" t="s">
        <v>3332</v>
      </c>
      <c r="R217" s="8">
        <v>5</v>
      </c>
      <c r="S217" s="6"/>
    </row>
    <row r="218" spans="1:19" ht="25.5" x14ac:dyDescent="0.25">
      <c r="A218" s="5" t="s">
        <v>3327</v>
      </c>
      <c r="B218" s="5">
        <v>217</v>
      </c>
      <c r="C218" s="6" t="s">
        <v>2242</v>
      </c>
      <c r="D218" s="6" t="s">
        <v>3328</v>
      </c>
      <c r="E218" s="6">
        <v>588</v>
      </c>
      <c r="F218" s="6" t="s">
        <v>77</v>
      </c>
      <c r="G218" s="6">
        <v>532</v>
      </c>
      <c r="H218" s="6" t="s">
        <v>89</v>
      </c>
      <c r="I218" s="6" t="s">
        <v>3730</v>
      </c>
      <c r="J218" s="6" t="s">
        <v>3731</v>
      </c>
      <c r="K218" s="6" t="s">
        <v>3331</v>
      </c>
      <c r="L218" s="6">
        <v>43503972</v>
      </c>
      <c r="M218" s="6" t="s">
        <v>19</v>
      </c>
      <c r="N218" s="6" t="s">
        <v>61</v>
      </c>
      <c r="O218" s="6">
        <v>130</v>
      </c>
      <c r="P218" s="7">
        <v>33060</v>
      </c>
      <c r="Q218" s="6" t="s">
        <v>3332</v>
      </c>
      <c r="R218" s="8">
        <v>5</v>
      </c>
      <c r="S218" s="6"/>
    </row>
    <row r="219" spans="1:19" ht="25.5" x14ac:dyDescent="0.25">
      <c r="A219" s="5" t="s">
        <v>3327</v>
      </c>
      <c r="B219" s="5">
        <v>218</v>
      </c>
      <c r="C219" s="6" t="s">
        <v>2237</v>
      </c>
      <c r="D219" s="6" t="s">
        <v>3328</v>
      </c>
      <c r="E219" s="6">
        <v>588</v>
      </c>
      <c r="F219" s="6" t="s">
        <v>77</v>
      </c>
      <c r="G219" s="6">
        <v>532</v>
      </c>
      <c r="H219" s="6" t="s">
        <v>89</v>
      </c>
      <c r="I219" s="6" t="s">
        <v>3732</v>
      </c>
      <c r="J219" s="6" t="s">
        <v>3733</v>
      </c>
      <c r="K219" s="6" t="s">
        <v>3331</v>
      </c>
      <c r="L219" s="6">
        <v>43493485</v>
      </c>
      <c r="M219" s="6" t="s">
        <v>19</v>
      </c>
      <c r="N219" s="6" t="s">
        <v>61</v>
      </c>
      <c r="O219" s="6">
        <v>114</v>
      </c>
      <c r="P219" s="7">
        <v>32332</v>
      </c>
      <c r="Q219" s="6" t="s">
        <v>3332</v>
      </c>
      <c r="R219" s="8">
        <v>5</v>
      </c>
      <c r="S219" s="6"/>
    </row>
    <row r="220" spans="1:19" ht="25.5" x14ac:dyDescent="0.25">
      <c r="A220" s="5" t="s">
        <v>3327</v>
      </c>
      <c r="B220" s="5">
        <v>219</v>
      </c>
      <c r="C220" s="6" t="s">
        <v>2238</v>
      </c>
      <c r="D220" s="6" t="s">
        <v>3328</v>
      </c>
      <c r="E220" s="6">
        <v>588</v>
      </c>
      <c r="F220" s="6" t="s">
        <v>77</v>
      </c>
      <c r="G220" s="6">
        <v>532</v>
      </c>
      <c r="H220" s="6" t="s">
        <v>89</v>
      </c>
      <c r="I220" s="6" t="s">
        <v>3734</v>
      </c>
      <c r="J220" s="6" t="s">
        <v>3735</v>
      </c>
      <c r="K220" s="6" t="s">
        <v>3331</v>
      </c>
      <c r="L220" s="6">
        <v>43087877</v>
      </c>
      <c r="M220" s="6" t="s">
        <v>19</v>
      </c>
      <c r="N220" s="6" t="s">
        <v>61</v>
      </c>
      <c r="O220" s="6">
        <v>115</v>
      </c>
      <c r="P220" s="7">
        <v>32332</v>
      </c>
      <c r="Q220" s="6" t="s">
        <v>3332</v>
      </c>
      <c r="R220" s="8">
        <v>5</v>
      </c>
      <c r="S220" s="6"/>
    </row>
    <row r="221" spans="1:19" ht="25.5" x14ac:dyDescent="0.25">
      <c r="A221" s="5" t="s">
        <v>3327</v>
      </c>
      <c r="B221" s="5">
        <v>220</v>
      </c>
      <c r="C221" s="6" t="s">
        <v>2239</v>
      </c>
      <c r="D221" s="6" t="s">
        <v>3328</v>
      </c>
      <c r="E221" s="6">
        <v>588</v>
      </c>
      <c r="F221" s="6" t="s">
        <v>77</v>
      </c>
      <c r="G221" s="6">
        <v>532</v>
      </c>
      <c r="H221" s="6" t="s">
        <v>89</v>
      </c>
      <c r="I221" s="6" t="s">
        <v>3736</v>
      </c>
      <c r="J221" s="6" t="s">
        <v>3737</v>
      </c>
      <c r="K221" s="6" t="s">
        <v>3331</v>
      </c>
      <c r="L221" s="6">
        <v>32553147</v>
      </c>
      <c r="M221" s="6" t="s">
        <v>19</v>
      </c>
      <c r="N221" s="6" t="s">
        <v>61</v>
      </c>
      <c r="O221" s="6">
        <v>114</v>
      </c>
      <c r="P221" s="7">
        <v>32332</v>
      </c>
      <c r="Q221" s="6" t="s">
        <v>3332</v>
      </c>
      <c r="R221" s="8">
        <v>4</v>
      </c>
      <c r="S221" s="6"/>
    </row>
    <row r="222" spans="1:19" ht="25.5" x14ac:dyDescent="0.25">
      <c r="A222" s="5" t="s">
        <v>3327</v>
      </c>
      <c r="B222" s="5">
        <v>221</v>
      </c>
      <c r="C222" s="6" t="s">
        <v>2161</v>
      </c>
      <c r="D222" s="6" t="s">
        <v>3328</v>
      </c>
      <c r="E222" s="6">
        <v>588</v>
      </c>
      <c r="F222" s="6" t="s">
        <v>77</v>
      </c>
      <c r="G222" s="6">
        <v>532</v>
      </c>
      <c r="H222" s="6" t="s">
        <v>89</v>
      </c>
      <c r="I222" s="6" t="s">
        <v>3738</v>
      </c>
      <c r="J222" s="6" t="s">
        <v>3739</v>
      </c>
      <c r="K222" s="6" t="s">
        <v>3331</v>
      </c>
      <c r="L222" s="6">
        <v>43578834</v>
      </c>
      <c r="M222" s="6" t="s">
        <v>79</v>
      </c>
      <c r="N222" s="6" t="s">
        <v>88</v>
      </c>
      <c r="O222" s="6">
        <v>152</v>
      </c>
      <c r="P222" s="7">
        <v>34313</v>
      </c>
      <c r="Q222" s="6" t="s">
        <v>3332</v>
      </c>
      <c r="R222" s="8">
        <v>6</v>
      </c>
      <c r="S222" s="6"/>
    </row>
    <row r="223" spans="1:19" ht="25.5" x14ac:dyDescent="0.25">
      <c r="A223" s="5" t="s">
        <v>3327</v>
      </c>
      <c r="B223" s="5">
        <v>222</v>
      </c>
      <c r="C223" s="6" t="s">
        <v>2162</v>
      </c>
      <c r="D223" s="6" t="s">
        <v>3328</v>
      </c>
      <c r="E223" s="6">
        <v>588</v>
      </c>
      <c r="F223" s="6" t="s">
        <v>77</v>
      </c>
      <c r="G223" s="6">
        <v>532</v>
      </c>
      <c r="H223" s="6" t="s">
        <v>89</v>
      </c>
      <c r="I223" s="6" t="s">
        <v>3740</v>
      </c>
      <c r="J223" s="6" t="s">
        <v>3741</v>
      </c>
      <c r="K223" s="6" t="s">
        <v>3331</v>
      </c>
      <c r="L223" s="6">
        <v>42871087</v>
      </c>
      <c r="M223" s="6" t="s">
        <v>79</v>
      </c>
      <c r="N223" s="6" t="s">
        <v>88</v>
      </c>
      <c r="O223" s="6">
        <v>121</v>
      </c>
      <c r="P223" s="7">
        <v>29924</v>
      </c>
      <c r="Q223" s="6" t="s">
        <v>3332</v>
      </c>
      <c r="R223" s="8">
        <v>5</v>
      </c>
      <c r="S223" s="6"/>
    </row>
    <row r="224" spans="1:19" ht="25.5" x14ac:dyDescent="0.25">
      <c r="A224" s="5" t="s">
        <v>3327</v>
      </c>
      <c r="B224" s="5">
        <v>223</v>
      </c>
      <c r="C224" s="6" t="s">
        <v>2163</v>
      </c>
      <c r="D224" s="6" t="s">
        <v>3328</v>
      </c>
      <c r="E224" s="6">
        <v>588</v>
      </c>
      <c r="F224" s="6" t="s">
        <v>77</v>
      </c>
      <c r="G224" s="6">
        <v>532</v>
      </c>
      <c r="H224" s="6" t="s">
        <v>89</v>
      </c>
      <c r="I224" s="6" t="s">
        <v>3742</v>
      </c>
      <c r="J224" s="6" t="s">
        <v>3743</v>
      </c>
      <c r="K224" s="6" t="s">
        <v>3331</v>
      </c>
      <c r="L224" s="6">
        <v>71705400</v>
      </c>
      <c r="M224" s="6" t="s">
        <v>79</v>
      </c>
      <c r="N224" s="6" t="s">
        <v>88</v>
      </c>
      <c r="O224" s="6">
        <v>147</v>
      </c>
      <c r="P224" s="7">
        <v>33816</v>
      </c>
      <c r="Q224" s="6" t="s">
        <v>3332</v>
      </c>
      <c r="R224" s="8">
        <v>6</v>
      </c>
      <c r="S224" s="6"/>
    </row>
    <row r="225" spans="1:19" ht="25.5" x14ac:dyDescent="0.25">
      <c r="A225" s="5" t="s">
        <v>3327</v>
      </c>
      <c r="B225" s="5">
        <v>224</v>
      </c>
      <c r="C225" s="6" t="s">
        <v>2158</v>
      </c>
      <c r="D225" s="6" t="s">
        <v>3328</v>
      </c>
      <c r="E225" s="6">
        <v>588</v>
      </c>
      <c r="F225" s="6" t="s">
        <v>77</v>
      </c>
      <c r="G225" s="6">
        <v>532</v>
      </c>
      <c r="H225" s="6" t="s">
        <v>89</v>
      </c>
      <c r="I225" s="6" t="s">
        <v>3744</v>
      </c>
      <c r="J225" s="6" t="s">
        <v>3745</v>
      </c>
      <c r="K225" s="6" t="s">
        <v>3331</v>
      </c>
      <c r="L225" s="6">
        <v>98581869</v>
      </c>
      <c r="M225" s="6" t="s">
        <v>79</v>
      </c>
      <c r="N225" s="6" t="s">
        <v>88</v>
      </c>
      <c r="O225" s="6">
        <v>155</v>
      </c>
      <c r="P225" s="7">
        <v>34537</v>
      </c>
      <c r="Q225" s="6" t="s">
        <v>3332</v>
      </c>
      <c r="R225" s="8">
        <v>6</v>
      </c>
      <c r="S225" s="6"/>
    </row>
    <row r="226" spans="1:19" ht="25.5" x14ac:dyDescent="0.25">
      <c r="A226" s="5" t="s">
        <v>3327</v>
      </c>
      <c r="B226" s="5">
        <v>225</v>
      </c>
      <c r="C226" s="6" t="s">
        <v>2159</v>
      </c>
      <c r="D226" s="6" t="s">
        <v>3328</v>
      </c>
      <c r="E226" s="6">
        <v>588</v>
      </c>
      <c r="F226" s="6" t="s">
        <v>77</v>
      </c>
      <c r="G226" s="6">
        <v>532</v>
      </c>
      <c r="H226" s="6" t="s">
        <v>89</v>
      </c>
      <c r="I226" s="6" t="s">
        <v>3746</v>
      </c>
      <c r="J226" s="6" t="s">
        <v>3501</v>
      </c>
      <c r="K226" s="6" t="s">
        <v>3331</v>
      </c>
      <c r="L226" s="6">
        <v>43677760</v>
      </c>
      <c r="M226" s="6" t="s">
        <v>79</v>
      </c>
      <c r="N226" s="6" t="s">
        <v>88</v>
      </c>
      <c r="O226" s="6">
        <v>145</v>
      </c>
      <c r="P226" s="7">
        <v>33445</v>
      </c>
      <c r="Q226" s="6" t="s">
        <v>3332</v>
      </c>
      <c r="R226" s="8">
        <v>5</v>
      </c>
      <c r="S226" s="6"/>
    </row>
    <row r="227" spans="1:19" ht="25.5" x14ac:dyDescent="0.25">
      <c r="A227" s="5" t="s">
        <v>3327</v>
      </c>
      <c r="B227" s="5">
        <v>226</v>
      </c>
      <c r="C227" s="6" t="s">
        <v>2160</v>
      </c>
      <c r="D227" s="6" t="s">
        <v>3328</v>
      </c>
      <c r="E227" s="6">
        <v>588</v>
      </c>
      <c r="F227" s="6" t="s">
        <v>77</v>
      </c>
      <c r="G227" s="6">
        <v>532</v>
      </c>
      <c r="H227" s="6" t="s">
        <v>89</v>
      </c>
      <c r="I227" s="6" t="s">
        <v>3747</v>
      </c>
      <c r="J227" s="6" t="s">
        <v>3748</v>
      </c>
      <c r="K227" s="6" t="s">
        <v>3331</v>
      </c>
      <c r="L227" s="6">
        <v>71716468</v>
      </c>
      <c r="M227" s="6" t="s">
        <v>79</v>
      </c>
      <c r="N227" s="6" t="s">
        <v>88</v>
      </c>
      <c r="O227" s="6">
        <v>145</v>
      </c>
      <c r="P227" s="7">
        <v>33445</v>
      </c>
      <c r="Q227" s="6" t="s">
        <v>3332</v>
      </c>
      <c r="R227" s="8">
        <v>4</v>
      </c>
      <c r="S227" s="6"/>
    </row>
    <row r="228" spans="1:19" ht="25.5" x14ac:dyDescent="0.25">
      <c r="A228" s="5" t="s">
        <v>3327</v>
      </c>
      <c r="B228" s="5">
        <v>227</v>
      </c>
      <c r="C228" s="6" t="s">
        <v>2157</v>
      </c>
      <c r="D228" s="6" t="s">
        <v>3328</v>
      </c>
      <c r="E228" s="6">
        <v>588</v>
      </c>
      <c r="F228" s="6" t="s">
        <v>77</v>
      </c>
      <c r="G228" s="6">
        <v>532</v>
      </c>
      <c r="H228" s="6" t="s">
        <v>89</v>
      </c>
      <c r="I228" s="6" t="s">
        <v>3749</v>
      </c>
      <c r="J228" s="6" t="s">
        <v>3750</v>
      </c>
      <c r="K228" s="6" t="s">
        <v>3331</v>
      </c>
      <c r="L228" s="6">
        <v>43074208</v>
      </c>
      <c r="M228" s="6" t="s">
        <v>79</v>
      </c>
      <c r="N228" s="6" t="s">
        <v>88</v>
      </c>
      <c r="O228" s="6">
        <v>138</v>
      </c>
      <c r="P228" s="7">
        <v>32318</v>
      </c>
      <c r="Q228" s="6" t="s">
        <v>3332</v>
      </c>
      <c r="R228" s="8">
        <v>5</v>
      </c>
      <c r="S228" s="6"/>
    </row>
    <row r="229" spans="1:19" ht="25.5" x14ac:dyDescent="0.25">
      <c r="A229" s="5" t="s">
        <v>3327</v>
      </c>
      <c r="B229" s="5">
        <v>228</v>
      </c>
      <c r="C229" s="6" t="s">
        <v>1854</v>
      </c>
      <c r="D229" s="6" t="s">
        <v>3328</v>
      </c>
      <c r="E229" s="6">
        <v>591</v>
      </c>
      <c r="F229" s="6" t="s">
        <v>77</v>
      </c>
      <c r="G229" s="6">
        <v>486</v>
      </c>
      <c r="H229" s="6" t="s">
        <v>78</v>
      </c>
      <c r="I229" s="6" t="s">
        <v>3751</v>
      </c>
      <c r="J229" s="6" t="s">
        <v>3752</v>
      </c>
      <c r="K229" s="6" t="s">
        <v>3331</v>
      </c>
      <c r="L229" s="6">
        <v>21404806</v>
      </c>
      <c r="M229" s="6" t="s">
        <v>19</v>
      </c>
      <c r="N229" s="6" t="s">
        <v>27</v>
      </c>
      <c r="O229" s="6">
        <v>8</v>
      </c>
      <c r="P229" s="7">
        <v>34675</v>
      </c>
      <c r="Q229" s="6" t="s">
        <v>3332</v>
      </c>
      <c r="R229" s="8">
        <v>6</v>
      </c>
      <c r="S229" s="6"/>
    </row>
    <row r="230" spans="1:19" ht="25.5" x14ac:dyDescent="0.25">
      <c r="A230" s="5" t="s">
        <v>3327</v>
      </c>
      <c r="B230" s="5">
        <v>229</v>
      </c>
      <c r="C230" s="6" t="s">
        <v>2282</v>
      </c>
      <c r="D230" s="6" t="s">
        <v>3328</v>
      </c>
      <c r="E230" s="6">
        <v>591</v>
      </c>
      <c r="F230" s="6" t="s">
        <v>77</v>
      </c>
      <c r="G230" s="6">
        <v>486</v>
      </c>
      <c r="H230" s="6" t="s">
        <v>78</v>
      </c>
      <c r="I230" s="6" t="s">
        <v>3753</v>
      </c>
      <c r="J230" s="6" t="s">
        <v>3754</v>
      </c>
      <c r="K230" s="6" t="s">
        <v>3331</v>
      </c>
      <c r="L230" s="6">
        <v>21462039</v>
      </c>
      <c r="M230" s="6" t="s">
        <v>30</v>
      </c>
      <c r="N230" s="6" t="s">
        <v>61</v>
      </c>
      <c r="O230" s="6">
        <v>104</v>
      </c>
      <c r="P230" s="7">
        <v>31751</v>
      </c>
      <c r="Q230" s="6" t="s">
        <v>3332</v>
      </c>
      <c r="R230" s="8">
        <v>5</v>
      </c>
      <c r="S230" s="6"/>
    </row>
    <row r="231" spans="1:19" ht="25.5" x14ac:dyDescent="0.25">
      <c r="A231" s="5" t="s">
        <v>3327</v>
      </c>
      <c r="B231" s="5">
        <v>230</v>
      </c>
      <c r="C231" s="6" t="s">
        <v>2234</v>
      </c>
      <c r="D231" s="6" t="s">
        <v>3328</v>
      </c>
      <c r="E231" s="6">
        <v>591</v>
      </c>
      <c r="F231" s="6" t="s">
        <v>77</v>
      </c>
      <c r="G231" s="6">
        <v>486</v>
      </c>
      <c r="H231" s="6" t="s">
        <v>78</v>
      </c>
      <c r="I231" s="6" t="s">
        <v>3755</v>
      </c>
      <c r="J231" s="6" t="s">
        <v>3712</v>
      </c>
      <c r="K231" s="6" t="s">
        <v>3331</v>
      </c>
      <c r="L231" s="6">
        <v>98525216</v>
      </c>
      <c r="M231" s="6" t="s">
        <v>19</v>
      </c>
      <c r="N231" s="6" t="s">
        <v>446</v>
      </c>
      <c r="O231" s="6">
        <v>150</v>
      </c>
      <c r="P231" s="7">
        <v>34312</v>
      </c>
      <c r="Q231" s="6" t="s">
        <v>3332</v>
      </c>
      <c r="R231" s="8">
        <v>6</v>
      </c>
      <c r="S231" s="6"/>
    </row>
    <row r="232" spans="1:19" ht="25.5" x14ac:dyDescent="0.25">
      <c r="A232" s="5" t="s">
        <v>3327</v>
      </c>
      <c r="B232" s="5">
        <v>231</v>
      </c>
      <c r="C232" s="6" t="s">
        <v>2235</v>
      </c>
      <c r="D232" s="6" t="s">
        <v>3328</v>
      </c>
      <c r="E232" s="6">
        <v>591</v>
      </c>
      <c r="F232" s="6" t="s">
        <v>77</v>
      </c>
      <c r="G232" s="6">
        <v>486</v>
      </c>
      <c r="H232" s="6" t="s">
        <v>78</v>
      </c>
      <c r="I232" s="6" t="s">
        <v>3756</v>
      </c>
      <c r="J232" s="6" t="s">
        <v>3757</v>
      </c>
      <c r="K232" s="6" t="s">
        <v>3331</v>
      </c>
      <c r="L232" s="6">
        <v>39180415</v>
      </c>
      <c r="M232" s="6" t="s">
        <v>19</v>
      </c>
      <c r="N232" s="6" t="s">
        <v>61</v>
      </c>
      <c r="O232" s="6">
        <v>106</v>
      </c>
      <c r="P232" s="7">
        <v>31994</v>
      </c>
      <c r="Q232" s="6" t="s">
        <v>3332</v>
      </c>
      <c r="R232" s="8">
        <v>5</v>
      </c>
      <c r="S232" s="6"/>
    </row>
    <row r="233" spans="1:19" ht="25.5" x14ac:dyDescent="0.25">
      <c r="A233" s="5" t="s">
        <v>3327</v>
      </c>
      <c r="B233" s="5">
        <v>232</v>
      </c>
      <c r="C233" s="6" t="s">
        <v>2236</v>
      </c>
      <c r="D233" s="6" t="s">
        <v>3328</v>
      </c>
      <c r="E233" s="6">
        <v>591</v>
      </c>
      <c r="F233" s="6" t="s">
        <v>77</v>
      </c>
      <c r="G233" s="6">
        <v>486</v>
      </c>
      <c r="H233" s="6" t="s">
        <v>78</v>
      </c>
      <c r="I233" s="6" t="s">
        <v>3758</v>
      </c>
      <c r="J233" s="6" t="s">
        <v>3759</v>
      </c>
      <c r="K233" s="6" t="s">
        <v>3331</v>
      </c>
      <c r="L233" s="6">
        <v>42891205</v>
      </c>
      <c r="M233" s="6" t="s">
        <v>19</v>
      </c>
      <c r="N233" s="6" t="s">
        <v>61</v>
      </c>
      <c r="O233" s="6">
        <v>145</v>
      </c>
      <c r="P233" s="7">
        <v>33942</v>
      </c>
      <c r="Q233" s="6" t="s">
        <v>3332</v>
      </c>
      <c r="R233" s="8">
        <v>6</v>
      </c>
      <c r="S233" s="6"/>
    </row>
    <row r="234" spans="1:19" ht="25.5" x14ac:dyDescent="0.25">
      <c r="A234" s="5" t="s">
        <v>3327</v>
      </c>
      <c r="B234" s="5">
        <v>233</v>
      </c>
      <c r="C234" s="6" t="s">
        <v>2232</v>
      </c>
      <c r="D234" s="6" t="s">
        <v>3328</v>
      </c>
      <c r="E234" s="6">
        <v>591</v>
      </c>
      <c r="F234" s="6" t="s">
        <v>77</v>
      </c>
      <c r="G234" s="6">
        <v>486</v>
      </c>
      <c r="H234" s="6" t="s">
        <v>78</v>
      </c>
      <c r="I234" s="6" t="s">
        <v>3760</v>
      </c>
      <c r="J234" s="6" t="s">
        <v>3761</v>
      </c>
      <c r="K234" s="6" t="s">
        <v>3331</v>
      </c>
      <c r="L234" s="6">
        <v>98561009</v>
      </c>
      <c r="M234" s="6" t="s">
        <v>19</v>
      </c>
      <c r="N234" s="6" t="s">
        <v>446</v>
      </c>
      <c r="O234" s="6">
        <v>150</v>
      </c>
      <c r="P234" s="7">
        <v>34312</v>
      </c>
      <c r="Q234" s="6" t="s">
        <v>3332</v>
      </c>
      <c r="R234" s="8">
        <v>6</v>
      </c>
      <c r="S234" s="6"/>
    </row>
    <row r="235" spans="1:19" ht="25.5" x14ac:dyDescent="0.25">
      <c r="A235" s="5" t="s">
        <v>3327</v>
      </c>
      <c r="B235" s="5">
        <v>234</v>
      </c>
      <c r="C235" s="6" t="s">
        <v>2233</v>
      </c>
      <c r="D235" s="6" t="s">
        <v>3328</v>
      </c>
      <c r="E235" s="6">
        <v>591</v>
      </c>
      <c r="F235" s="6" t="s">
        <v>77</v>
      </c>
      <c r="G235" s="6">
        <v>486</v>
      </c>
      <c r="H235" s="6" t="s">
        <v>78</v>
      </c>
      <c r="I235" s="6" t="s">
        <v>3762</v>
      </c>
      <c r="J235" s="6" t="s">
        <v>3763</v>
      </c>
      <c r="K235" s="6" t="s">
        <v>3331</v>
      </c>
      <c r="L235" s="6">
        <v>98564123</v>
      </c>
      <c r="M235" s="6" t="s">
        <v>19</v>
      </c>
      <c r="N235" s="6" t="s">
        <v>446</v>
      </c>
      <c r="O235" s="6">
        <v>150</v>
      </c>
      <c r="P235" s="7">
        <v>34312</v>
      </c>
      <c r="Q235" s="6" t="s">
        <v>3332</v>
      </c>
      <c r="R235" s="8">
        <v>5</v>
      </c>
      <c r="S235" s="6"/>
    </row>
    <row r="236" spans="1:19" ht="25.5" x14ac:dyDescent="0.25">
      <c r="A236" s="5" t="s">
        <v>3327</v>
      </c>
      <c r="B236" s="5">
        <v>235</v>
      </c>
      <c r="C236" s="6" t="s">
        <v>2155</v>
      </c>
      <c r="D236" s="6" t="s">
        <v>3328</v>
      </c>
      <c r="E236" s="6">
        <v>591</v>
      </c>
      <c r="F236" s="6" t="s">
        <v>77</v>
      </c>
      <c r="G236" s="6">
        <v>486</v>
      </c>
      <c r="H236" s="6" t="s">
        <v>78</v>
      </c>
      <c r="I236" s="6" t="s">
        <v>3764</v>
      </c>
      <c r="J236" s="6" t="s">
        <v>3765</v>
      </c>
      <c r="K236" s="6" t="s">
        <v>3331</v>
      </c>
      <c r="L236" s="6">
        <v>15403632</v>
      </c>
      <c r="M236" s="6" t="s">
        <v>79</v>
      </c>
      <c r="N236" s="6" t="s">
        <v>88</v>
      </c>
      <c r="O236" s="6">
        <v>158</v>
      </c>
      <c r="P236" s="7">
        <v>34894</v>
      </c>
      <c r="Q236" s="6" t="s">
        <v>3332</v>
      </c>
      <c r="R236" s="8">
        <v>7</v>
      </c>
      <c r="S236" s="6"/>
    </row>
    <row r="237" spans="1:19" ht="25.5" x14ac:dyDescent="0.25">
      <c r="A237" s="5" t="s">
        <v>3327</v>
      </c>
      <c r="B237" s="5">
        <v>236</v>
      </c>
      <c r="C237" s="6" t="s">
        <v>2156</v>
      </c>
      <c r="D237" s="6" t="s">
        <v>3328</v>
      </c>
      <c r="E237" s="6">
        <v>591</v>
      </c>
      <c r="F237" s="6" t="s">
        <v>77</v>
      </c>
      <c r="G237" s="6">
        <v>486</v>
      </c>
      <c r="H237" s="6" t="s">
        <v>78</v>
      </c>
      <c r="I237" s="6" t="s">
        <v>3766</v>
      </c>
      <c r="J237" s="6" t="s">
        <v>3767</v>
      </c>
      <c r="K237" s="6" t="s">
        <v>3331</v>
      </c>
      <c r="L237" s="6">
        <v>43067273</v>
      </c>
      <c r="M237" s="6" t="s">
        <v>79</v>
      </c>
      <c r="N237" s="6" t="s">
        <v>88</v>
      </c>
      <c r="O237" s="6">
        <v>137</v>
      </c>
      <c r="P237" s="7">
        <v>32122</v>
      </c>
      <c r="Q237" s="6" t="s">
        <v>3332</v>
      </c>
      <c r="R237" s="8">
        <v>6</v>
      </c>
      <c r="S237" s="6"/>
    </row>
    <row r="238" spans="1:19" ht="25.5" x14ac:dyDescent="0.25">
      <c r="A238" s="5" t="s">
        <v>3327</v>
      </c>
      <c r="B238" s="5">
        <v>237</v>
      </c>
      <c r="C238" s="6" t="s">
        <v>2096</v>
      </c>
      <c r="D238" s="6" t="s">
        <v>3328</v>
      </c>
      <c r="E238" s="6">
        <v>594</v>
      </c>
      <c r="F238" s="6" t="s">
        <v>77</v>
      </c>
      <c r="G238" s="6">
        <v>488</v>
      </c>
      <c r="H238" s="6" t="s">
        <v>78</v>
      </c>
      <c r="I238" s="6" t="s">
        <v>3768</v>
      </c>
      <c r="J238" s="6" t="s">
        <v>3576</v>
      </c>
      <c r="K238" s="6" t="s">
        <v>3331</v>
      </c>
      <c r="L238" s="6">
        <v>98552992</v>
      </c>
      <c r="M238" s="6" t="s">
        <v>19</v>
      </c>
      <c r="N238" s="6" t="s">
        <v>61</v>
      </c>
      <c r="O238" s="6">
        <v>137</v>
      </c>
      <c r="P238" s="7">
        <v>33424</v>
      </c>
      <c r="Q238" s="6" t="s">
        <v>3332</v>
      </c>
      <c r="R238" s="8">
        <v>5</v>
      </c>
      <c r="S238" s="6"/>
    </row>
    <row r="239" spans="1:19" ht="25.5" x14ac:dyDescent="0.25">
      <c r="A239" s="5" t="s">
        <v>3327</v>
      </c>
      <c r="B239" s="5">
        <v>238</v>
      </c>
      <c r="C239" s="6" t="s">
        <v>2030</v>
      </c>
      <c r="D239" s="6" t="s">
        <v>3328</v>
      </c>
      <c r="E239" s="6">
        <v>594</v>
      </c>
      <c r="F239" s="6" t="s">
        <v>77</v>
      </c>
      <c r="G239" s="6">
        <v>488</v>
      </c>
      <c r="H239" s="6" t="s">
        <v>78</v>
      </c>
      <c r="I239" s="6" t="s">
        <v>3769</v>
      </c>
      <c r="J239" s="6" t="s">
        <v>3770</v>
      </c>
      <c r="K239" s="6" t="s">
        <v>3331</v>
      </c>
      <c r="L239" s="6">
        <v>50898504</v>
      </c>
      <c r="M239" s="6" t="s">
        <v>19</v>
      </c>
      <c r="N239" s="6" t="s">
        <v>446</v>
      </c>
      <c r="O239" s="6">
        <v>163</v>
      </c>
      <c r="P239" s="7">
        <v>34887</v>
      </c>
      <c r="Q239" s="6" t="s">
        <v>3332</v>
      </c>
      <c r="R239" s="8">
        <v>5</v>
      </c>
      <c r="S239" s="6"/>
    </row>
    <row r="240" spans="1:19" ht="25.5" x14ac:dyDescent="0.25">
      <c r="A240" s="5" t="s">
        <v>3327</v>
      </c>
      <c r="B240" s="5">
        <v>239</v>
      </c>
      <c r="C240" s="6" t="s">
        <v>2257</v>
      </c>
      <c r="D240" s="6" t="s">
        <v>3328</v>
      </c>
      <c r="E240" s="6">
        <v>599</v>
      </c>
      <c r="F240" s="6" t="s">
        <v>90</v>
      </c>
      <c r="G240" s="6">
        <v>532</v>
      </c>
      <c r="H240" s="6" t="s">
        <v>89</v>
      </c>
      <c r="I240" s="6" t="s">
        <v>3771</v>
      </c>
      <c r="J240" s="6" t="s">
        <v>3772</v>
      </c>
      <c r="K240" s="6" t="s">
        <v>3331</v>
      </c>
      <c r="L240" s="6">
        <v>15433079</v>
      </c>
      <c r="M240" s="6" t="s">
        <v>19</v>
      </c>
      <c r="N240" s="6" t="s">
        <v>27</v>
      </c>
      <c r="O240" s="6">
        <v>12</v>
      </c>
      <c r="P240" s="7">
        <v>34970</v>
      </c>
      <c r="Q240" s="6" t="s">
        <v>3332</v>
      </c>
      <c r="R240" s="8">
        <v>6</v>
      </c>
      <c r="S240" s="6"/>
    </row>
    <row r="241" spans="1:19" ht="25.5" x14ac:dyDescent="0.25">
      <c r="A241" s="5" t="s">
        <v>3327</v>
      </c>
      <c r="B241" s="5">
        <v>240</v>
      </c>
      <c r="C241" s="6" t="s">
        <v>2255</v>
      </c>
      <c r="D241" s="6" t="s">
        <v>3328</v>
      </c>
      <c r="E241" s="6">
        <v>599</v>
      </c>
      <c r="F241" s="6" t="s">
        <v>90</v>
      </c>
      <c r="G241" s="6">
        <v>532</v>
      </c>
      <c r="H241" s="6" t="s">
        <v>89</v>
      </c>
      <c r="I241" s="6" t="s">
        <v>3773</v>
      </c>
      <c r="J241" s="6" t="s">
        <v>3439</v>
      </c>
      <c r="K241" s="6" t="s">
        <v>3331</v>
      </c>
      <c r="L241" s="6">
        <v>42766162</v>
      </c>
      <c r="M241" s="6" t="s">
        <v>19</v>
      </c>
      <c r="N241" s="6" t="s">
        <v>61</v>
      </c>
      <c r="O241" s="6">
        <v>134</v>
      </c>
      <c r="P241" s="7">
        <v>33213</v>
      </c>
      <c r="Q241" s="6" t="s">
        <v>3332</v>
      </c>
      <c r="R241" s="8">
        <v>5</v>
      </c>
      <c r="S241" s="6"/>
    </row>
    <row r="242" spans="1:19" ht="25.5" x14ac:dyDescent="0.25">
      <c r="A242" s="5" t="s">
        <v>3327</v>
      </c>
      <c r="B242" s="5">
        <v>241</v>
      </c>
      <c r="C242" s="6" t="s">
        <v>1999</v>
      </c>
      <c r="D242" s="6" t="s">
        <v>3328</v>
      </c>
      <c r="E242" s="6">
        <v>599</v>
      </c>
      <c r="F242" s="6" t="s">
        <v>90</v>
      </c>
      <c r="G242" s="6">
        <v>532</v>
      </c>
      <c r="H242" s="6" t="s">
        <v>89</v>
      </c>
      <c r="I242" s="6" t="s">
        <v>3774</v>
      </c>
      <c r="J242" s="6" t="s">
        <v>3385</v>
      </c>
      <c r="K242" s="6" t="s">
        <v>3331</v>
      </c>
      <c r="L242" s="6">
        <v>43427095</v>
      </c>
      <c r="M242" s="6" t="s">
        <v>30</v>
      </c>
      <c r="N242" s="6" t="s">
        <v>61</v>
      </c>
      <c r="O242" s="6">
        <v>96</v>
      </c>
      <c r="P242" s="7">
        <v>31387</v>
      </c>
      <c r="Q242" s="6" t="s">
        <v>3332</v>
      </c>
      <c r="R242" s="8">
        <v>5</v>
      </c>
      <c r="S242" s="6"/>
    </row>
    <row r="243" spans="1:19" ht="25.5" x14ac:dyDescent="0.25">
      <c r="A243" s="5" t="s">
        <v>3327</v>
      </c>
      <c r="B243" s="5">
        <v>242</v>
      </c>
      <c r="C243" s="6" t="s">
        <v>2256</v>
      </c>
      <c r="D243" s="6" t="s">
        <v>3328</v>
      </c>
      <c r="E243" s="6">
        <v>599</v>
      </c>
      <c r="F243" s="6" t="s">
        <v>90</v>
      </c>
      <c r="G243" s="6">
        <v>532</v>
      </c>
      <c r="H243" s="6" t="s">
        <v>89</v>
      </c>
      <c r="I243" s="6" t="s">
        <v>3775</v>
      </c>
      <c r="J243" s="6" t="s">
        <v>3556</v>
      </c>
      <c r="K243" s="6" t="s">
        <v>3331</v>
      </c>
      <c r="L243" s="6">
        <v>43743952</v>
      </c>
      <c r="M243" s="6" t="s">
        <v>19</v>
      </c>
      <c r="N243" s="6" t="s">
        <v>27</v>
      </c>
      <c r="O243" s="6">
        <v>3</v>
      </c>
      <c r="P243" s="7">
        <v>34970</v>
      </c>
      <c r="Q243" s="6" t="s">
        <v>3332</v>
      </c>
      <c r="R243" s="8">
        <v>5</v>
      </c>
      <c r="S243" s="6"/>
    </row>
    <row r="244" spans="1:19" ht="25.5" x14ac:dyDescent="0.25">
      <c r="A244" s="5" t="s">
        <v>3327</v>
      </c>
      <c r="B244" s="5">
        <v>243</v>
      </c>
      <c r="C244" s="6" t="s">
        <v>2252</v>
      </c>
      <c r="D244" s="6" t="s">
        <v>3328</v>
      </c>
      <c r="E244" s="6">
        <v>599</v>
      </c>
      <c r="F244" s="6" t="s">
        <v>90</v>
      </c>
      <c r="G244" s="6">
        <v>532</v>
      </c>
      <c r="H244" s="6" t="s">
        <v>89</v>
      </c>
      <c r="I244" s="6" t="s">
        <v>3776</v>
      </c>
      <c r="J244" s="6" t="s">
        <v>3777</v>
      </c>
      <c r="K244" s="6" t="s">
        <v>3331</v>
      </c>
      <c r="L244" s="6">
        <v>43724399</v>
      </c>
      <c r="M244" s="6" t="s">
        <v>19</v>
      </c>
      <c r="N244" s="6" t="s">
        <v>61</v>
      </c>
      <c r="O244" s="6">
        <v>145</v>
      </c>
      <c r="P244" s="7">
        <v>33942</v>
      </c>
      <c r="Q244" s="6" t="s">
        <v>3332</v>
      </c>
      <c r="R244" s="8">
        <v>5</v>
      </c>
      <c r="S244" s="6"/>
    </row>
    <row r="245" spans="1:19" ht="25.5" x14ac:dyDescent="0.25">
      <c r="A245" s="5" t="s">
        <v>3327</v>
      </c>
      <c r="B245" s="5">
        <v>244</v>
      </c>
      <c r="C245" s="6" t="s">
        <v>2253</v>
      </c>
      <c r="D245" s="6" t="s">
        <v>3328</v>
      </c>
      <c r="E245" s="6">
        <v>599</v>
      </c>
      <c r="F245" s="6" t="s">
        <v>90</v>
      </c>
      <c r="G245" s="6">
        <v>532</v>
      </c>
      <c r="H245" s="6" t="s">
        <v>89</v>
      </c>
      <c r="I245" s="6" t="s">
        <v>3778</v>
      </c>
      <c r="J245" s="6" t="s">
        <v>3779</v>
      </c>
      <c r="K245" s="6" t="s">
        <v>3331</v>
      </c>
      <c r="L245" s="6">
        <v>71695865</v>
      </c>
      <c r="M245" s="6" t="s">
        <v>19</v>
      </c>
      <c r="N245" s="6" t="s">
        <v>61</v>
      </c>
      <c r="O245" s="6">
        <v>140</v>
      </c>
      <c r="P245" s="7">
        <v>33583</v>
      </c>
      <c r="Q245" s="6" t="s">
        <v>3332</v>
      </c>
      <c r="R245" s="8">
        <v>5</v>
      </c>
      <c r="S245" s="6"/>
    </row>
    <row r="246" spans="1:19" ht="25.5" x14ac:dyDescent="0.25">
      <c r="A246" s="5" t="s">
        <v>3327</v>
      </c>
      <c r="B246" s="5">
        <v>245</v>
      </c>
      <c r="C246" s="6" t="s">
        <v>2254</v>
      </c>
      <c r="D246" s="6" t="s">
        <v>3328</v>
      </c>
      <c r="E246" s="6">
        <v>599</v>
      </c>
      <c r="F246" s="6" t="s">
        <v>90</v>
      </c>
      <c r="G246" s="6">
        <v>532</v>
      </c>
      <c r="H246" s="6" t="s">
        <v>89</v>
      </c>
      <c r="I246" s="6" t="s">
        <v>3780</v>
      </c>
      <c r="J246" s="6" t="s">
        <v>3781</v>
      </c>
      <c r="K246" s="6" t="s">
        <v>3331</v>
      </c>
      <c r="L246" s="6">
        <v>43572798</v>
      </c>
      <c r="M246" s="6" t="s">
        <v>19</v>
      </c>
      <c r="N246" s="6" t="s">
        <v>446</v>
      </c>
      <c r="O246" s="6">
        <v>163</v>
      </c>
      <c r="P246" s="7">
        <v>34887</v>
      </c>
      <c r="Q246" s="6" t="s">
        <v>3332</v>
      </c>
      <c r="R246" s="8">
        <v>5</v>
      </c>
      <c r="S246" s="6"/>
    </row>
    <row r="247" spans="1:19" ht="25.5" x14ac:dyDescent="0.25">
      <c r="A247" s="5" t="s">
        <v>3327</v>
      </c>
      <c r="B247" s="5">
        <v>246</v>
      </c>
      <c r="C247" s="6" t="s">
        <v>2167</v>
      </c>
      <c r="D247" s="6" t="s">
        <v>3328</v>
      </c>
      <c r="E247" s="6">
        <v>599</v>
      </c>
      <c r="F247" s="6" t="s">
        <v>90</v>
      </c>
      <c r="G247" s="6">
        <v>532</v>
      </c>
      <c r="H247" s="6" t="s">
        <v>89</v>
      </c>
      <c r="I247" s="6" t="s">
        <v>3782</v>
      </c>
      <c r="J247" s="6" t="s">
        <v>3783</v>
      </c>
      <c r="K247" s="6" t="s">
        <v>3331</v>
      </c>
      <c r="L247" s="6">
        <v>98525366</v>
      </c>
      <c r="M247" s="6" t="s">
        <v>79</v>
      </c>
      <c r="N247" s="6" t="s">
        <v>88</v>
      </c>
      <c r="O247" s="6">
        <v>158</v>
      </c>
      <c r="P247" s="7">
        <v>34894</v>
      </c>
      <c r="Q247" s="6" t="s">
        <v>3332</v>
      </c>
      <c r="R247" s="8">
        <v>5</v>
      </c>
      <c r="S247" s="6"/>
    </row>
    <row r="248" spans="1:19" ht="25.5" x14ac:dyDescent="0.25">
      <c r="A248" s="5" t="s">
        <v>3327</v>
      </c>
      <c r="B248" s="5">
        <v>247</v>
      </c>
      <c r="C248" s="6" t="s">
        <v>2168</v>
      </c>
      <c r="D248" s="6" t="s">
        <v>3328</v>
      </c>
      <c r="E248" s="6">
        <v>599</v>
      </c>
      <c r="F248" s="6" t="s">
        <v>90</v>
      </c>
      <c r="G248" s="6">
        <v>532</v>
      </c>
      <c r="H248" s="6" t="s">
        <v>89</v>
      </c>
      <c r="I248" s="6" t="s">
        <v>3784</v>
      </c>
      <c r="J248" s="6" t="s">
        <v>3785</v>
      </c>
      <c r="K248" s="6" t="s">
        <v>3331</v>
      </c>
      <c r="L248" s="6">
        <v>39274015</v>
      </c>
      <c r="M248" s="6" t="s">
        <v>79</v>
      </c>
      <c r="N248" s="6" t="s">
        <v>88</v>
      </c>
      <c r="O248" s="6">
        <v>156</v>
      </c>
      <c r="P248" s="7">
        <v>34677</v>
      </c>
      <c r="Q248" s="6" t="s">
        <v>3332</v>
      </c>
      <c r="R248" s="8">
        <v>6</v>
      </c>
      <c r="S248" s="6"/>
    </row>
    <row r="249" spans="1:19" ht="25.5" x14ac:dyDescent="0.25">
      <c r="A249" s="5" t="s">
        <v>3327</v>
      </c>
      <c r="B249" s="5">
        <v>248</v>
      </c>
      <c r="C249" s="6" t="s">
        <v>2251</v>
      </c>
      <c r="D249" s="6" t="s">
        <v>3328</v>
      </c>
      <c r="E249" s="6">
        <v>599</v>
      </c>
      <c r="F249" s="6" t="s">
        <v>90</v>
      </c>
      <c r="G249" s="6">
        <v>532</v>
      </c>
      <c r="H249" s="6" t="s">
        <v>89</v>
      </c>
      <c r="I249" s="6" t="s">
        <v>3786</v>
      </c>
      <c r="J249" s="6" t="s">
        <v>3787</v>
      </c>
      <c r="K249" s="6" t="s">
        <v>3331</v>
      </c>
      <c r="L249" s="6">
        <v>71690976</v>
      </c>
      <c r="M249" s="6" t="s">
        <v>19</v>
      </c>
      <c r="N249" s="6" t="s">
        <v>61</v>
      </c>
      <c r="O249" s="6">
        <v>143</v>
      </c>
      <c r="P249" s="7">
        <v>33788</v>
      </c>
      <c r="Q249" s="6" t="s">
        <v>3332</v>
      </c>
      <c r="R249" s="8">
        <v>6</v>
      </c>
      <c r="S249" s="6"/>
    </row>
    <row r="250" spans="1:19" ht="25.5" x14ac:dyDescent="0.25">
      <c r="A250" s="5" t="s">
        <v>3327</v>
      </c>
      <c r="B250" s="5">
        <v>249</v>
      </c>
      <c r="C250" s="6" t="s">
        <v>2164</v>
      </c>
      <c r="D250" s="6" t="s">
        <v>3328</v>
      </c>
      <c r="E250" s="6">
        <v>599</v>
      </c>
      <c r="F250" s="6" t="s">
        <v>90</v>
      </c>
      <c r="G250" s="6">
        <v>532</v>
      </c>
      <c r="H250" s="6" t="s">
        <v>89</v>
      </c>
      <c r="I250" s="6" t="s">
        <v>3788</v>
      </c>
      <c r="J250" s="6" t="s">
        <v>3789</v>
      </c>
      <c r="K250" s="6" t="s">
        <v>3331</v>
      </c>
      <c r="L250" s="6">
        <v>98557647</v>
      </c>
      <c r="M250" s="6" t="s">
        <v>79</v>
      </c>
      <c r="N250" s="6" t="s">
        <v>88</v>
      </c>
      <c r="O250" s="6">
        <v>158</v>
      </c>
      <c r="P250" s="7">
        <v>34894</v>
      </c>
      <c r="Q250" s="6" t="s">
        <v>3332</v>
      </c>
      <c r="R250" s="8">
        <v>5</v>
      </c>
      <c r="S250" s="6"/>
    </row>
    <row r="251" spans="1:19" ht="25.5" x14ac:dyDescent="0.25">
      <c r="A251" s="5" t="s">
        <v>3327</v>
      </c>
      <c r="B251" s="5">
        <v>250</v>
      </c>
      <c r="C251" s="6" t="s">
        <v>2165</v>
      </c>
      <c r="D251" s="6" t="s">
        <v>3328</v>
      </c>
      <c r="E251" s="6">
        <v>599</v>
      </c>
      <c r="F251" s="6" t="s">
        <v>90</v>
      </c>
      <c r="G251" s="6">
        <v>532</v>
      </c>
      <c r="H251" s="6" t="s">
        <v>89</v>
      </c>
      <c r="I251" s="6" t="s">
        <v>3790</v>
      </c>
      <c r="J251" s="6" t="s">
        <v>3791</v>
      </c>
      <c r="K251" s="6" t="s">
        <v>3331</v>
      </c>
      <c r="L251" s="6">
        <v>43059655</v>
      </c>
      <c r="M251" s="6" t="s">
        <v>79</v>
      </c>
      <c r="N251" s="6" t="s">
        <v>88</v>
      </c>
      <c r="O251" s="6">
        <v>140</v>
      </c>
      <c r="P251" s="7">
        <v>32717</v>
      </c>
      <c r="Q251" s="6" t="s">
        <v>3332</v>
      </c>
      <c r="R251" s="8">
        <v>5</v>
      </c>
      <c r="S251" s="10" t="s">
        <v>3792</v>
      </c>
    </row>
    <row r="252" spans="1:19" ht="25.5" x14ac:dyDescent="0.25">
      <c r="A252" s="5" t="s">
        <v>3327</v>
      </c>
      <c r="B252" s="5">
        <v>251</v>
      </c>
      <c r="C252" s="6" t="s">
        <v>2166</v>
      </c>
      <c r="D252" s="6" t="s">
        <v>3328</v>
      </c>
      <c r="E252" s="6">
        <v>599</v>
      </c>
      <c r="F252" s="6" t="s">
        <v>90</v>
      </c>
      <c r="G252" s="6">
        <v>532</v>
      </c>
      <c r="H252" s="6" t="s">
        <v>89</v>
      </c>
      <c r="I252" s="6" t="s">
        <v>3793</v>
      </c>
      <c r="J252" s="6" t="s">
        <v>3417</v>
      </c>
      <c r="K252" s="6" t="s">
        <v>3331</v>
      </c>
      <c r="L252" s="6">
        <v>42898414</v>
      </c>
      <c r="M252" s="6" t="s">
        <v>79</v>
      </c>
      <c r="N252" s="6" t="s">
        <v>88</v>
      </c>
      <c r="O252" s="6">
        <v>152</v>
      </c>
      <c r="P252" s="7">
        <v>34313</v>
      </c>
      <c r="Q252" s="6" t="s">
        <v>3332</v>
      </c>
      <c r="R252" s="8">
        <v>5</v>
      </c>
      <c r="S252" s="6"/>
    </row>
    <row r="253" spans="1:19" ht="25.5" x14ac:dyDescent="0.25">
      <c r="A253" s="5" t="s">
        <v>3327</v>
      </c>
      <c r="B253" s="5">
        <v>252</v>
      </c>
      <c r="C253" s="6" t="s">
        <v>2169</v>
      </c>
      <c r="D253" s="6" t="s">
        <v>3328</v>
      </c>
      <c r="E253" s="6">
        <v>612</v>
      </c>
      <c r="F253" s="6" t="s">
        <v>93</v>
      </c>
      <c r="G253" s="6">
        <v>572</v>
      </c>
      <c r="H253" s="6" t="s">
        <v>94</v>
      </c>
      <c r="I253" s="6" t="s">
        <v>3794</v>
      </c>
      <c r="J253" s="6" t="s">
        <v>3795</v>
      </c>
      <c r="K253" s="6" t="s">
        <v>3331</v>
      </c>
      <c r="L253" s="6">
        <v>43828876</v>
      </c>
      <c r="M253" s="6" t="s">
        <v>79</v>
      </c>
      <c r="N253" s="6" t="s">
        <v>88</v>
      </c>
      <c r="O253" s="6">
        <v>159</v>
      </c>
      <c r="P253" s="7">
        <v>35045</v>
      </c>
      <c r="Q253" s="6" t="s">
        <v>3332</v>
      </c>
      <c r="R253" s="8">
        <v>5</v>
      </c>
      <c r="S253" s="6"/>
    </row>
    <row r="254" spans="1:19" ht="25.5" x14ac:dyDescent="0.25">
      <c r="A254" s="5" t="s">
        <v>3327</v>
      </c>
      <c r="B254" s="5">
        <v>253</v>
      </c>
      <c r="C254" s="6" t="s">
        <v>2170</v>
      </c>
      <c r="D254" s="6" t="s">
        <v>3328</v>
      </c>
      <c r="E254" s="6">
        <v>612</v>
      </c>
      <c r="F254" s="6" t="s">
        <v>93</v>
      </c>
      <c r="G254" s="6">
        <v>572</v>
      </c>
      <c r="H254" s="6" t="s">
        <v>94</v>
      </c>
      <c r="I254" s="6" t="s">
        <v>3796</v>
      </c>
      <c r="J254" s="6" t="s">
        <v>3797</v>
      </c>
      <c r="K254" s="6" t="s">
        <v>3331</v>
      </c>
      <c r="L254" s="6">
        <v>43829716</v>
      </c>
      <c r="M254" s="6" t="s">
        <v>79</v>
      </c>
      <c r="N254" s="6" t="s">
        <v>88</v>
      </c>
      <c r="O254" s="6">
        <v>159</v>
      </c>
      <c r="P254" s="7">
        <v>35045</v>
      </c>
      <c r="Q254" s="6" t="s">
        <v>3332</v>
      </c>
      <c r="R254" s="8">
        <v>7</v>
      </c>
      <c r="S254" s="6"/>
    </row>
    <row r="255" spans="1:19" ht="25.5" x14ac:dyDescent="0.25">
      <c r="A255" s="5" t="s">
        <v>3327</v>
      </c>
      <c r="B255" s="5">
        <v>254</v>
      </c>
      <c r="C255" s="6" t="s">
        <v>1955</v>
      </c>
      <c r="D255" s="6" t="s">
        <v>3328</v>
      </c>
      <c r="E255" s="6">
        <v>613</v>
      </c>
      <c r="F255" s="6" t="s">
        <v>93</v>
      </c>
      <c r="G255" s="6">
        <v>572</v>
      </c>
      <c r="H255" s="6" t="s">
        <v>94</v>
      </c>
      <c r="I255" s="6" t="s">
        <v>3798</v>
      </c>
      <c r="J255" s="6" t="s">
        <v>3655</v>
      </c>
      <c r="K255" s="6" t="s">
        <v>3331</v>
      </c>
      <c r="L255" s="6">
        <v>42888714</v>
      </c>
      <c r="M255" s="6" t="s">
        <v>19</v>
      </c>
      <c r="N255" s="6" t="s">
        <v>61</v>
      </c>
      <c r="O255" s="6">
        <v>111</v>
      </c>
      <c r="P255" s="7">
        <v>32115</v>
      </c>
      <c r="Q255" s="6" t="s">
        <v>3332</v>
      </c>
      <c r="R255" s="8">
        <v>5</v>
      </c>
      <c r="S255" s="6"/>
    </row>
    <row r="256" spans="1:19" ht="25.5" x14ac:dyDescent="0.25">
      <c r="A256" s="5" t="s">
        <v>3327</v>
      </c>
      <c r="B256" s="5">
        <v>255</v>
      </c>
      <c r="C256" s="6" t="s">
        <v>1930</v>
      </c>
      <c r="D256" s="6" t="s">
        <v>3328</v>
      </c>
      <c r="E256" s="6">
        <v>613</v>
      </c>
      <c r="F256" s="6" t="s">
        <v>93</v>
      </c>
      <c r="G256" s="6">
        <v>572</v>
      </c>
      <c r="H256" s="6" t="s">
        <v>94</v>
      </c>
      <c r="I256" s="6" t="s">
        <v>3799</v>
      </c>
      <c r="J256" s="6" t="s">
        <v>3631</v>
      </c>
      <c r="K256" s="6" t="s">
        <v>3331</v>
      </c>
      <c r="L256" s="6">
        <v>42758556</v>
      </c>
      <c r="M256" s="6" t="s">
        <v>19</v>
      </c>
      <c r="N256" s="6" t="s">
        <v>27</v>
      </c>
      <c r="O256" s="6">
        <v>3</v>
      </c>
      <c r="P256" s="7">
        <v>34675</v>
      </c>
      <c r="Q256" s="6" t="s">
        <v>3332</v>
      </c>
      <c r="R256" s="8">
        <v>5</v>
      </c>
      <c r="S256" s="6"/>
    </row>
    <row r="257" spans="1:19" ht="25.5" x14ac:dyDescent="0.25">
      <c r="A257" s="5" t="s">
        <v>3327</v>
      </c>
      <c r="B257" s="5">
        <v>256</v>
      </c>
      <c r="C257" s="6" t="s">
        <v>1936</v>
      </c>
      <c r="D257" s="6" t="s">
        <v>3328</v>
      </c>
      <c r="E257" s="6">
        <v>613</v>
      </c>
      <c r="F257" s="6" t="s">
        <v>93</v>
      </c>
      <c r="G257" s="6">
        <v>572</v>
      </c>
      <c r="H257" s="6" t="s">
        <v>94</v>
      </c>
      <c r="I257" s="6" t="s">
        <v>3800</v>
      </c>
      <c r="J257" s="6" t="s">
        <v>3801</v>
      </c>
      <c r="K257" s="6" t="s">
        <v>3331</v>
      </c>
      <c r="L257" s="6">
        <v>42776727</v>
      </c>
      <c r="M257" s="6" t="s">
        <v>19</v>
      </c>
      <c r="N257" s="6" t="s">
        <v>61</v>
      </c>
      <c r="O257" s="6">
        <v>126</v>
      </c>
      <c r="P257" s="7">
        <v>32848</v>
      </c>
      <c r="Q257" s="6" t="s">
        <v>3332</v>
      </c>
      <c r="R257" s="8">
        <v>5</v>
      </c>
      <c r="S257" s="6"/>
    </row>
    <row r="258" spans="1:19" ht="25.5" x14ac:dyDescent="0.25">
      <c r="A258" s="5" t="s">
        <v>3327</v>
      </c>
      <c r="B258" s="5">
        <v>257</v>
      </c>
      <c r="C258" s="6" t="s">
        <v>2097</v>
      </c>
      <c r="D258" s="6" t="s">
        <v>3328</v>
      </c>
      <c r="E258" s="6">
        <v>613</v>
      </c>
      <c r="F258" s="6" t="s">
        <v>93</v>
      </c>
      <c r="G258" s="6">
        <v>572</v>
      </c>
      <c r="H258" s="6" t="s">
        <v>94</v>
      </c>
      <c r="I258" s="6" t="s">
        <v>3802</v>
      </c>
      <c r="J258" s="6" t="s">
        <v>3803</v>
      </c>
      <c r="K258" s="6" t="s">
        <v>3331</v>
      </c>
      <c r="L258" s="6">
        <v>98558117</v>
      </c>
      <c r="M258" s="6" t="s">
        <v>19</v>
      </c>
      <c r="N258" s="6" t="s">
        <v>446</v>
      </c>
      <c r="O258" s="6">
        <v>163</v>
      </c>
      <c r="P258" s="7">
        <v>34887</v>
      </c>
      <c r="Q258" s="6" t="s">
        <v>3332</v>
      </c>
      <c r="R258" s="8">
        <v>5</v>
      </c>
      <c r="S258" s="6"/>
    </row>
    <row r="259" spans="1:19" ht="25.5" x14ac:dyDescent="0.25">
      <c r="A259" s="5" t="s">
        <v>3327</v>
      </c>
      <c r="B259" s="5">
        <v>258</v>
      </c>
      <c r="C259" s="6" t="s">
        <v>2258</v>
      </c>
      <c r="D259" s="6" t="s">
        <v>3328</v>
      </c>
      <c r="E259" s="6">
        <v>633</v>
      </c>
      <c r="F259" s="6" t="s">
        <v>332</v>
      </c>
      <c r="G259" s="6">
        <v>634</v>
      </c>
      <c r="H259" s="6" t="s">
        <v>333</v>
      </c>
      <c r="I259" s="6" t="s">
        <v>3804</v>
      </c>
      <c r="J259" s="6" t="s">
        <v>3805</v>
      </c>
      <c r="K259" s="6" t="s">
        <v>3331</v>
      </c>
      <c r="L259" s="6">
        <v>42791640</v>
      </c>
      <c r="M259" s="6" t="s">
        <v>19</v>
      </c>
      <c r="N259" s="6" t="s">
        <v>446</v>
      </c>
      <c r="O259" s="6">
        <v>163</v>
      </c>
      <c r="P259" s="7">
        <v>34887</v>
      </c>
      <c r="Q259" s="6" t="s">
        <v>3332</v>
      </c>
      <c r="R259" s="8">
        <v>5</v>
      </c>
      <c r="S259" s="6"/>
    </row>
    <row r="260" spans="1:19" ht="25.5" x14ac:dyDescent="0.25">
      <c r="A260" s="5" t="s">
        <v>3327</v>
      </c>
      <c r="B260" s="5">
        <v>259</v>
      </c>
      <c r="C260" s="6" t="s">
        <v>2259</v>
      </c>
      <c r="D260" s="6" t="s">
        <v>3328</v>
      </c>
      <c r="E260" s="6">
        <v>646</v>
      </c>
      <c r="F260" s="6" t="s">
        <v>334</v>
      </c>
      <c r="G260" s="6">
        <v>730</v>
      </c>
      <c r="H260" s="6" t="s">
        <v>100</v>
      </c>
      <c r="I260" s="6" t="s">
        <v>3806</v>
      </c>
      <c r="J260" s="6" t="s">
        <v>3807</v>
      </c>
      <c r="K260" s="6" t="s">
        <v>3331</v>
      </c>
      <c r="L260" s="6">
        <v>43675384</v>
      </c>
      <c r="M260" s="6" t="s">
        <v>19</v>
      </c>
      <c r="N260" s="6" t="s">
        <v>61</v>
      </c>
      <c r="O260" s="6">
        <v>145</v>
      </c>
      <c r="P260" s="7">
        <v>33942</v>
      </c>
      <c r="Q260" s="6" t="s">
        <v>3332</v>
      </c>
      <c r="R260" s="8">
        <v>5</v>
      </c>
      <c r="S260" s="6"/>
    </row>
    <row r="261" spans="1:19" ht="25.5" x14ac:dyDescent="0.25">
      <c r="A261" s="5" t="s">
        <v>3327</v>
      </c>
      <c r="B261" s="5">
        <v>260</v>
      </c>
      <c r="C261" s="6" t="s">
        <v>2260</v>
      </c>
      <c r="D261" s="6" t="s">
        <v>3328</v>
      </c>
      <c r="E261" s="6">
        <v>646</v>
      </c>
      <c r="F261" s="6" t="s">
        <v>334</v>
      </c>
      <c r="G261" s="6">
        <v>730</v>
      </c>
      <c r="H261" s="6" t="s">
        <v>100</v>
      </c>
      <c r="I261" s="6" t="s">
        <v>3808</v>
      </c>
      <c r="J261" s="6" t="s">
        <v>3809</v>
      </c>
      <c r="K261" s="6" t="s">
        <v>3331</v>
      </c>
      <c r="L261" s="6">
        <v>24385369</v>
      </c>
      <c r="M261" s="6" t="s">
        <v>19</v>
      </c>
      <c r="N261" s="6" t="s">
        <v>27</v>
      </c>
      <c r="O261" s="6">
        <v>7</v>
      </c>
      <c r="P261" s="7">
        <v>34675</v>
      </c>
      <c r="Q261" s="6" t="s">
        <v>3332</v>
      </c>
      <c r="R261" s="8">
        <v>6</v>
      </c>
      <c r="S261" s="6" t="s">
        <v>3810</v>
      </c>
    </row>
    <row r="262" spans="1:19" ht="25.5" x14ac:dyDescent="0.25">
      <c r="A262" s="5" t="s">
        <v>3327</v>
      </c>
      <c r="B262" s="5">
        <v>261</v>
      </c>
      <c r="C262" s="6" t="s">
        <v>2261</v>
      </c>
      <c r="D262" s="6" t="s">
        <v>3328</v>
      </c>
      <c r="E262" s="6">
        <v>657</v>
      </c>
      <c r="F262" s="6" t="s">
        <v>334</v>
      </c>
      <c r="G262" s="6">
        <v>730</v>
      </c>
      <c r="H262" s="6" t="s">
        <v>100</v>
      </c>
      <c r="I262" s="6" t="s">
        <v>3811</v>
      </c>
      <c r="J262" s="6" t="s">
        <v>3590</v>
      </c>
      <c r="K262" s="6" t="s">
        <v>3331</v>
      </c>
      <c r="L262" s="6">
        <v>42893915</v>
      </c>
      <c r="M262" s="6" t="s">
        <v>19</v>
      </c>
      <c r="N262" s="6" t="s">
        <v>61</v>
      </c>
      <c r="O262" s="6">
        <v>143</v>
      </c>
      <c r="P262" s="7">
        <v>33788</v>
      </c>
      <c r="Q262" s="6" t="s">
        <v>3332</v>
      </c>
      <c r="R262" s="8">
        <v>5</v>
      </c>
      <c r="S262" s="6"/>
    </row>
    <row r="263" spans="1:19" ht="25.5" x14ac:dyDescent="0.25">
      <c r="A263" s="5" t="s">
        <v>3327</v>
      </c>
      <c r="B263" s="5">
        <v>262</v>
      </c>
      <c r="C263" s="6" t="s">
        <v>2172</v>
      </c>
      <c r="D263" s="6" t="s">
        <v>3328</v>
      </c>
      <c r="E263" s="6">
        <v>669</v>
      </c>
      <c r="F263" s="6" t="s">
        <v>99</v>
      </c>
      <c r="G263" s="6">
        <v>730</v>
      </c>
      <c r="H263" s="6" t="s">
        <v>100</v>
      </c>
      <c r="I263" s="6" t="s">
        <v>3812</v>
      </c>
      <c r="J263" s="6" t="s">
        <v>3631</v>
      </c>
      <c r="K263" s="6" t="s">
        <v>3331</v>
      </c>
      <c r="L263" s="6">
        <v>39355461</v>
      </c>
      <c r="M263" s="6" t="s">
        <v>79</v>
      </c>
      <c r="N263" s="6" t="s">
        <v>88</v>
      </c>
      <c r="O263" s="6">
        <v>159</v>
      </c>
      <c r="P263" s="7">
        <v>35045</v>
      </c>
      <c r="Q263" s="6" t="s">
        <v>3332</v>
      </c>
      <c r="R263" s="8">
        <v>5</v>
      </c>
      <c r="S263" s="6"/>
    </row>
    <row r="264" spans="1:19" ht="25.5" x14ac:dyDescent="0.25">
      <c r="A264" s="5" t="s">
        <v>3327</v>
      </c>
      <c r="B264" s="5">
        <v>263</v>
      </c>
      <c r="C264" s="6" t="s">
        <v>2262</v>
      </c>
      <c r="D264" s="6" t="s">
        <v>3328</v>
      </c>
      <c r="E264" s="6">
        <v>670</v>
      </c>
      <c r="F264" s="6" t="s">
        <v>99</v>
      </c>
      <c r="G264" s="6">
        <v>730</v>
      </c>
      <c r="H264" s="6" t="s">
        <v>100</v>
      </c>
      <c r="I264" s="6" t="s">
        <v>3813</v>
      </c>
      <c r="J264" s="6" t="s">
        <v>3814</v>
      </c>
      <c r="K264" s="6" t="s">
        <v>3331</v>
      </c>
      <c r="L264" s="6">
        <v>43799037</v>
      </c>
      <c r="M264" s="6" t="s">
        <v>19</v>
      </c>
      <c r="N264" s="6" t="s">
        <v>27</v>
      </c>
      <c r="O264" s="6">
        <v>1</v>
      </c>
      <c r="P264" s="7">
        <v>35048</v>
      </c>
      <c r="Q264" s="6" t="s">
        <v>3332</v>
      </c>
      <c r="R264" s="8">
        <v>5</v>
      </c>
      <c r="S264" s="6"/>
    </row>
    <row r="265" spans="1:19" ht="25.5" x14ac:dyDescent="0.25">
      <c r="A265" s="5" t="s">
        <v>3327</v>
      </c>
      <c r="B265" s="5">
        <v>264</v>
      </c>
      <c r="C265" s="6" t="s">
        <v>2263</v>
      </c>
      <c r="D265" s="6" t="s">
        <v>3328</v>
      </c>
      <c r="E265" s="6">
        <v>670</v>
      </c>
      <c r="F265" s="6" t="s">
        <v>99</v>
      </c>
      <c r="G265" s="6">
        <v>730</v>
      </c>
      <c r="H265" s="6" t="s">
        <v>100</v>
      </c>
      <c r="I265" s="6" t="s">
        <v>3815</v>
      </c>
      <c r="J265" s="6" t="s">
        <v>3816</v>
      </c>
      <c r="K265" s="6" t="s">
        <v>3331</v>
      </c>
      <c r="L265" s="6">
        <v>43589765</v>
      </c>
      <c r="M265" s="6" t="s">
        <v>19</v>
      </c>
      <c r="N265" s="6" t="s">
        <v>27</v>
      </c>
      <c r="O265" s="6">
        <v>7</v>
      </c>
      <c r="P265" s="7">
        <v>34970</v>
      </c>
      <c r="Q265" s="6" t="s">
        <v>3332</v>
      </c>
      <c r="R265" s="8">
        <v>5</v>
      </c>
      <c r="S265" s="6"/>
    </row>
    <row r="266" spans="1:19" ht="25.5" x14ac:dyDescent="0.25">
      <c r="A266" s="5" t="s">
        <v>3327</v>
      </c>
      <c r="B266" s="5">
        <v>265</v>
      </c>
      <c r="C266" s="6" t="s">
        <v>2266</v>
      </c>
      <c r="D266" s="6" t="s">
        <v>3328</v>
      </c>
      <c r="E266" s="6">
        <v>679</v>
      </c>
      <c r="F266" s="6" t="s">
        <v>340</v>
      </c>
      <c r="G266" s="6">
        <v>773</v>
      </c>
      <c r="H266" s="6" t="s">
        <v>341</v>
      </c>
      <c r="I266" s="6" t="s">
        <v>3817</v>
      </c>
      <c r="J266" s="6" t="s">
        <v>3818</v>
      </c>
      <c r="K266" s="6" t="s">
        <v>3331</v>
      </c>
      <c r="L266" s="6">
        <v>98554509</v>
      </c>
      <c r="M266" s="6" t="s">
        <v>19</v>
      </c>
      <c r="N266" s="6" t="s">
        <v>446</v>
      </c>
      <c r="O266" s="6">
        <v>179</v>
      </c>
      <c r="P266" s="7">
        <v>35394</v>
      </c>
      <c r="Q266" s="6" t="s">
        <v>3332</v>
      </c>
      <c r="R266" s="8">
        <v>6</v>
      </c>
      <c r="S266" s="6"/>
    </row>
    <row r="267" spans="1:19" ht="25.5" x14ac:dyDescent="0.25">
      <c r="A267" s="5" t="s">
        <v>3327</v>
      </c>
      <c r="B267" s="5">
        <v>266</v>
      </c>
      <c r="C267" s="6" t="s">
        <v>2174</v>
      </c>
      <c r="D267" s="6" t="s">
        <v>3328</v>
      </c>
      <c r="E267" s="6">
        <v>685</v>
      </c>
      <c r="F267" s="6" t="s">
        <v>104</v>
      </c>
      <c r="G267" s="6">
        <v>790</v>
      </c>
      <c r="H267" s="6" t="s">
        <v>105</v>
      </c>
      <c r="I267" s="6" t="s">
        <v>3819</v>
      </c>
      <c r="J267" s="6" t="s">
        <v>3820</v>
      </c>
      <c r="K267" s="6" t="s">
        <v>3331</v>
      </c>
      <c r="L267" s="6">
        <v>71741404</v>
      </c>
      <c r="M267" s="6" t="s">
        <v>50</v>
      </c>
      <c r="N267" s="6" t="s">
        <v>88</v>
      </c>
      <c r="O267" s="6">
        <v>162</v>
      </c>
      <c r="P267" s="7">
        <v>35258</v>
      </c>
      <c r="Q267" s="6" t="s">
        <v>3332</v>
      </c>
      <c r="R267" s="8">
        <v>8</v>
      </c>
      <c r="S267" s="6"/>
    </row>
    <row r="268" spans="1:19" ht="25.5" x14ac:dyDescent="0.25">
      <c r="A268" s="5" t="s">
        <v>3327</v>
      </c>
      <c r="B268" s="5">
        <v>267</v>
      </c>
      <c r="C268" s="6" t="s">
        <v>2176</v>
      </c>
      <c r="D268" s="6" t="s">
        <v>3328</v>
      </c>
      <c r="E268" s="6">
        <v>689</v>
      </c>
      <c r="F268" s="6" t="s">
        <v>106</v>
      </c>
      <c r="G268" s="6">
        <v>835</v>
      </c>
      <c r="H268" s="6" t="s">
        <v>107</v>
      </c>
      <c r="I268" s="6" t="s">
        <v>3821</v>
      </c>
      <c r="J268" s="6" t="s">
        <v>3822</v>
      </c>
      <c r="K268" s="6" t="s">
        <v>3331</v>
      </c>
      <c r="L268" s="6">
        <v>43582929</v>
      </c>
      <c r="M268" s="6" t="s">
        <v>79</v>
      </c>
      <c r="N268" s="6" t="s">
        <v>88</v>
      </c>
      <c r="O268" s="6">
        <v>159</v>
      </c>
      <c r="P268" s="7">
        <v>35045</v>
      </c>
      <c r="Q268" s="6" t="s">
        <v>3332</v>
      </c>
      <c r="R268" s="8">
        <v>5</v>
      </c>
      <c r="S268" s="6"/>
    </row>
    <row r="269" spans="1:19" ht="25.5" x14ac:dyDescent="0.25">
      <c r="A269" s="5" t="s">
        <v>3327</v>
      </c>
      <c r="B269" s="5">
        <v>268</v>
      </c>
      <c r="C269" s="6" t="s">
        <v>2177</v>
      </c>
      <c r="D269" s="6" t="s">
        <v>3328</v>
      </c>
      <c r="E269" s="6">
        <v>689</v>
      </c>
      <c r="F269" s="6" t="s">
        <v>106</v>
      </c>
      <c r="G269" s="6">
        <v>835</v>
      </c>
      <c r="H269" s="6" t="s">
        <v>107</v>
      </c>
      <c r="I269" s="6" t="s">
        <v>3823</v>
      </c>
      <c r="J269" s="6" t="s">
        <v>3824</v>
      </c>
      <c r="K269" s="6" t="s">
        <v>3331</v>
      </c>
      <c r="L269" s="6">
        <v>43724330</v>
      </c>
      <c r="M269" s="6" t="s">
        <v>79</v>
      </c>
      <c r="N269" s="6" t="s">
        <v>88</v>
      </c>
      <c r="O269" s="6">
        <v>162</v>
      </c>
      <c r="P269" s="7">
        <v>35258</v>
      </c>
      <c r="Q269" s="6" t="s">
        <v>3332</v>
      </c>
      <c r="R269" s="8">
        <v>5</v>
      </c>
      <c r="S269" s="6"/>
    </row>
    <row r="270" spans="1:19" ht="25.5" x14ac:dyDescent="0.25">
      <c r="A270" s="5" t="s">
        <v>3327</v>
      </c>
      <c r="B270" s="5">
        <v>269</v>
      </c>
      <c r="C270" s="6" t="s">
        <v>2175</v>
      </c>
      <c r="D270" s="6" t="s">
        <v>3328</v>
      </c>
      <c r="E270" s="6">
        <v>689</v>
      </c>
      <c r="F270" s="6" t="s">
        <v>106</v>
      </c>
      <c r="G270" s="6">
        <v>835</v>
      </c>
      <c r="H270" s="6" t="s">
        <v>107</v>
      </c>
      <c r="I270" s="6" t="s">
        <v>3825</v>
      </c>
      <c r="J270" s="6" t="s">
        <v>3826</v>
      </c>
      <c r="K270" s="6" t="s">
        <v>3331</v>
      </c>
      <c r="L270" s="6">
        <v>43587524</v>
      </c>
      <c r="M270" s="6" t="s">
        <v>79</v>
      </c>
      <c r="N270" s="6" t="s">
        <v>88</v>
      </c>
      <c r="O270" s="6">
        <v>155</v>
      </c>
      <c r="P270" s="7">
        <v>34537</v>
      </c>
      <c r="Q270" s="6" t="s">
        <v>3332</v>
      </c>
      <c r="R270" s="8">
        <v>6</v>
      </c>
      <c r="S270" s="6"/>
    </row>
    <row r="271" spans="1:19" ht="25.5" x14ac:dyDescent="0.25">
      <c r="A271" s="5" t="s">
        <v>3327</v>
      </c>
      <c r="B271" s="5">
        <v>270</v>
      </c>
      <c r="C271" s="6" t="s">
        <v>2267</v>
      </c>
      <c r="D271" s="6" t="s">
        <v>3328</v>
      </c>
      <c r="E271" s="6">
        <v>690</v>
      </c>
      <c r="F271" s="6" t="s">
        <v>106</v>
      </c>
      <c r="G271" s="6">
        <v>835</v>
      </c>
      <c r="H271" s="6" t="s">
        <v>107</v>
      </c>
      <c r="I271" s="6" t="s">
        <v>3827</v>
      </c>
      <c r="J271" s="6" t="s">
        <v>3720</v>
      </c>
      <c r="K271" s="6" t="s">
        <v>3331</v>
      </c>
      <c r="L271" s="6">
        <v>71680706</v>
      </c>
      <c r="M271" s="6" t="s">
        <v>19</v>
      </c>
      <c r="N271" s="6" t="s">
        <v>61</v>
      </c>
      <c r="O271" s="6">
        <v>137</v>
      </c>
      <c r="P271" s="7">
        <v>33424</v>
      </c>
      <c r="Q271" s="6" t="s">
        <v>3332</v>
      </c>
      <c r="R271" s="8">
        <v>5</v>
      </c>
      <c r="S271" s="6"/>
    </row>
    <row r="272" spans="1:19" ht="25.5" x14ac:dyDescent="0.25">
      <c r="A272" s="5" t="s">
        <v>3327</v>
      </c>
      <c r="B272" s="5">
        <v>271</v>
      </c>
      <c r="C272" s="6" t="s">
        <v>2269</v>
      </c>
      <c r="D272" s="6" t="s">
        <v>3328</v>
      </c>
      <c r="E272" s="6">
        <v>690</v>
      </c>
      <c r="F272" s="6" t="s">
        <v>106</v>
      </c>
      <c r="G272" s="6">
        <v>835</v>
      </c>
      <c r="H272" s="6" t="s">
        <v>107</v>
      </c>
      <c r="I272" s="6" t="s">
        <v>3828</v>
      </c>
      <c r="J272" s="6" t="s">
        <v>3829</v>
      </c>
      <c r="K272" s="6" t="s">
        <v>3331</v>
      </c>
      <c r="L272" s="6">
        <v>15510918</v>
      </c>
      <c r="M272" s="6" t="s">
        <v>19</v>
      </c>
      <c r="N272" s="6" t="s">
        <v>446</v>
      </c>
      <c r="O272" s="6">
        <v>163</v>
      </c>
      <c r="P272" s="7">
        <v>34887</v>
      </c>
      <c r="Q272" s="6" t="s">
        <v>3332</v>
      </c>
      <c r="R272" s="8">
        <v>5</v>
      </c>
      <c r="S272" s="6"/>
    </row>
    <row r="273" spans="1:19" ht="25.5" x14ac:dyDescent="0.25">
      <c r="A273" s="5" t="s">
        <v>3327</v>
      </c>
      <c r="B273" s="5">
        <v>272</v>
      </c>
      <c r="C273" s="6" t="s">
        <v>2178</v>
      </c>
      <c r="D273" s="6" t="s">
        <v>3328</v>
      </c>
      <c r="E273" s="6">
        <v>694</v>
      </c>
      <c r="F273" s="6" t="s">
        <v>109</v>
      </c>
      <c r="G273" s="6">
        <v>835</v>
      </c>
      <c r="H273" s="6" t="s">
        <v>107</v>
      </c>
      <c r="I273" s="6" t="s">
        <v>3830</v>
      </c>
      <c r="J273" s="6" t="s">
        <v>3831</v>
      </c>
      <c r="K273" s="6" t="s">
        <v>3331</v>
      </c>
      <c r="L273" s="6">
        <v>43079195</v>
      </c>
      <c r="M273" s="6" t="s">
        <v>79</v>
      </c>
      <c r="N273" s="6" t="s">
        <v>88</v>
      </c>
      <c r="O273" s="6">
        <v>164</v>
      </c>
      <c r="P273" s="7">
        <v>35412</v>
      </c>
      <c r="Q273" s="6" t="s">
        <v>3332</v>
      </c>
      <c r="R273" s="8">
        <v>5</v>
      </c>
      <c r="S273" s="6"/>
    </row>
    <row r="274" spans="1:19" ht="25.5" x14ac:dyDescent="0.25">
      <c r="A274" s="5" t="s">
        <v>3327</v>
      </c>
      <c r="B274" s="5">
        <v>273</v>
      </c>
      <c r="C274" s="6" t="s">
        <v>2270</v>
      </c>
      <c r="D274" s="6" t="s">
        <v>3328</v>
      </c>
      <c r="E274" s="6">
        <v>695</v>
      </c>
      <c r="F274" s="6" t="s">
        <v>109</v>
      </c>
      <c r="G274" s="6">
        <v>835</v>
      </c>
      <c r="H274" s="6" t="s">
        <v>107</v>
      </c>
      <c r="I274" s="6" t="s">
        <v>3832</v>
      </c>
      <c r="J274" s="6" t="s">
        <v>3576</v>
      </c>
      <c r="K274" s="6" t="s">
        <v>3331</v>
      </c>
      <c r="L274" s="6">
        <v>71730224</v>
      </c>
      <c r="M274" s="6" t="s">
        <v>19</v>
      </c>
      <c r="N274" s="6" t="s">
        <v>446</v>
      </c>
      <c r="O274" s="6">
        <v>150</v>
      </c>
      <c r="P274" s="7">
        <v>34312</v>
      </c>
      <c r="Q274" s="6" t="s">
        <v>3332</v>
      </c>
      <c r="R274" s="8">
        <v>5</v>
      </c>
      <c r="S274" s="6"/>
    </row>
    <row r="275" spans="1:19" ht="25.5" x14ac:dyDescent="0.25">
      <c r="A275" s="5" t="s">
        <v>3327</v>
      </c>
      <c r="B275" s="5">
        <v>274</v>
      </c>
      <c r="C275" s="6" t="s">
        <v>2285</v>
      </c>
      <c r="D275" s="6" t="s">
        <v>3328</v>
      </c>
      <c r="E275" s="6">
        <v>695</v>
      </c>
      <c r="F275" s="6" t="s">
        <v>109</v>
      </c>
      <c r="G275" s="6">
        <v>835</v>
      </c>
      <c r="H275" s="6" t="s">
        <v>107</v>
      </c>
      <c r="I275" s="6" t="s">
        <v>3833</v>
      </c>
      <c r="J275" s="6" t="s">
        <v>3834</v>
      </c>
      <c r="K275" s="6" t="s">
        <v>3331</v>
      </c>
      <c r="L275" s="6">
        <v>42882843</v>
      </c>
      <c r="M275" s="6" t="s">
        <v>30</v>
      </c>
      <c r="N275" s="6" t="s">
        <v>503</v>
      </c>
      <c r="O275" s="6">
        <v>5</v>
      </c>
      <c r="P275" s="7">
        <v>30918</v>
      </c>
      <c r="Q275" s="6" t="s">
        <v>3332</v>
      </c>
      <c r="R275" s="8">
        <v>5</v>
      </c>
      <c r="S275" s="6"/>
    </row>
    <row r="276" spans="1:19" ht="25.5" x14ac:dyDescent="0.25">
      <c r="A276" s="5" t="s">
        <v>3327</v>
      </c>
      <c r="B276" s="5">
        <v>275</v>
      </c>
      <c r="C276" s="6" t="s">
        <v>2271</v>
      </c>
      <c r="D276" s="6" t="s">
        <v>3328</v>
      </c>
      <c r="E276" s="6">
        <v>700</v>
      </c>
      <c r="F276" s="6" t="s">
        <v>345</v>
      </c>
      <c r="G276" s="6">
        <v>865</v>
      </c>
      <c r="H276" s="6" t="s">
        <v>346</v>
      </c>
      <c r="I276" s="6" t="s">
        <v>3613</v>
      </c>
      <c r="J276" s="6" t="s">
        <v>3795</v>
      </c>
      <c r="K276" s="6" t="s">
        <v>3331</v>
      </c>
      <c r="L276" s="6">
        <v>42685322</v>
      </c>
      <c r="M276" s="6" t="s">
        <v>19</v>
      </c>
      <c r="N276" s="6" t="s">
        <v>446</v>
      </c>
      <c r="O276" s="6">
        <v>156</v>
      </c>
      <c r="P276" s="7">
        <v>34523</v>
      </c>
      <c r="Q276" s="6" t="s">
        <v>3332</v>
      </c>
      <c r="R276" s="8">
        <v>5</v>
      </c>
      <c r="S276" s="6"/>
    </row>
    <row r="277" spans="1:19" ht="25.5" x14ac:dyDescent="0.25">
      <c r="A277" s="5" t="s">
        <v>3327</v>
      </c>
      <c r="B277" s="5">
        <v>276</v>
      </c>
      <c r="C277" s="6" t="s">
        <v>2287</v>
      </c>
      <c r="D277" s="6" t="s">
        <v>3328</v>
      </c>
      <c r="E277" s="6">
        <v>706</v>
      </c>
      <c r="F277" s="6" t="s">
        <v>329</v>
      </c>
      <c r="G277" s="6">
        <v>922</v>
      </c>
      <c r="H277" s="6" t="s">
        <v>330</v>
      </c>
      <c r="I277" s="6" t="s">
        <v>3554</v>
      </c>
      <c r="J277" s="6" t="s">
        <v>3835</v>
      </c>
      <c r="K277" s="6" t="s">
        <v>3331</v>
      </c>
      <c r="L277" s="6">
        <v>43023763</v>
      </c>
      <c r="M277" s="6" t="s">
        <v>30</v>
      </c>
      <c r="N277" s="6" t="s">
        <v>61</v>
      </c>
      <c r="O277" s="6">
        <v>87</v>
      </c>
      <c r="P277" s="7">
        <v>31023</v>
      </c>
      <c r="Q277" s="6" t="s">
        <v>3332</v>
      </c>
      <c r="R277" s="8">
        <v>6</v>
      </c>
      <c r="S277" s="6" t="s">
        <v>3836</v>
      </c>
    </row>
    <row r="278" spans="1:19" ht="25.5" x14ac:dyDescent="0.25">
      <c r="A278" s="5" t="s">
        <v>3327</v>
      </c>
      <c r="B278" s="5">
        <v>277</v>
      </c>
      <c r="C278" s="6" t="s">
        <v>2273</v>
      </c>
      <c r="D278" s="6" t="s">
        <v>3328</v>
      </c>
      <c r="E278" s="6">
        <v>706</v>
      </c>
      <c r="F278" s="6" t="s">
        <v>329</v>
      </c>
      <c r="G278" s="6">
        <v>922</v>
      </c>
      <c r="H278" s="6" t="s">
        <v>330</v>
      </c>
      <c r="I278" s="6" t="s">
        <v>3837</v>
      </c>
      <c r="J278" s="6" t="s">
        <v>3576</v>
      </c>
      <c r="K278" s="6" t="s">
        <v>3331</v>
      </c>
      <c r="L278" s="6">
        <v>70724410</v>
      </c>
      <c r="M278" s="6" t="s">
        <v>19</v>
      </c>
      <c r="N278" s="6" t="s">
        <v>61</v>
      </c>
      <c r="O278" s="6">
        <v>130</v>
      </c>
      <c r="P278" s="7">
        <v>33060</v>
      </c>
      <c r="Q278" s="6" t="s">
        <v>3332</v>
      </c>
      <c r="R278" s="8">
        <v>5</v>
      </c>
      <c r="S278" s="6"/>
    </row>
    <row r="279" spans="1:19" ht="25.5" x14ac:dyDescent="0.25">
      <c r="A279" s="5" t="s">
        <v>3327</v>
      </c>
      <c r="B279" s="5">
        <v>278</v>
      </c>
      <c r="C279" s="6" t="s">
        <v>2274</v>
      </c>
      <c r="D279" s="6" t="s">
        <v>3328</v>
      </c>
      <c r="E279" s="6">
        <v>706</v>
      </c>
      <c r="F279" s="6" t="s">
        <v>329</v>
      </c>
      <c r="G279" s="6">
        <v>922</v>
      </c>
      <c r="H279" s="6" t="s">
        <v>330</v>
      </c>
      <c r="I279" s="6" t="s">
        <v>3838</v>
      </c>
      <c r="J279" s="6" t="s">
        <v>3470</v>
      </c>
      <c r="K279" s="6" t="s">
        <v>3331</v>
      </c>
      <c r="L279" s="6">
        <v>71747741</v>
      </c>
      <c r="M279" s="6" t="s">
        <v>19</v>
      </c>
      <c r="N279" s="6" t="s">
        <v>27</v>
      </c>
      <c r="O279" s="6">
        <v>8</v>
      </c>
      <c r="P279" s="7">
        <v>35356</v>
      </c>
      <c r="Q279" s="6" t="s">
        <v>3332</v>
      </c>
      <c r="R279" s="8">
        <v>5</v>
      </c>
      <c r="S279" s="6"/>
    </row>
    <row r="280" spans="1:19" ht="25.5" x14ac:dyDescent="0.25">
      <c r="A280" s="5" t="s">
        <v>3327</v>
      </c>
      <c r="B280" s="5">
        <v>279</v>
      </c>
      <c r="C280" s="6" t="s">
        <v>2286</v>
      </c>
      <c r="D280" s="6" t="s">
        <v>3328</v>
      </c>
      <c r="E280" s="6">
        <v>706</v>
      </c>
      <c r="F280" s="6" t="s">
        <v>329</v>
      </c>
      <c r="G280" s="6">
        <v>922</v>
      </c>
      <c r="H280" s="6" t="s">
        <v>330</v>
      </c>
      <c r="I280" s="6" t="s">
        <v>3839</v>
      </c>
      <c r="J280" s="6" t="s">
        <v>3840</v>
      </c>
      <c r="K280" s="6" t="s">
        <v>3331</v>
      </c>
      <c r="L280" s="6">
        <v>43046699</v>
      </c>
      <c r="M280" s="6" t="s">
        <v>30</v>
      </c>
      <c r="N280" s="6" t="s">
        <v>61</v>
      </c>
      <c r="O280" s="6">
        <v>96</v>
      </c>
      <c r="P280" s="7">
        <v>31387</v>
      </c>
      <c r="Q280" s="6" t="s">
        <v>3332</v>
      </c>
      <c r="R280" s="8">
        <v>6</v>
      </c>
      <c r="S280" s="6"/>
    </row>
    <row r="281" spans="1:19" ht="25.5" x14ac:dyDescent="0.25">
      <c r="A281" s="5" t="s">
        <v>3327</v>
      </c>
      <c r="B281" s="5">
        <v>280</v>
      </c>
      <c r="C281" s="6" t="s">
        <v>2272</v>
      </c>
      <c r="D281" s="6" t="s">
        <v>15</v>
      </c>
      <c r="E281" s="6">
        <v>706</v>
      </c>
      <c r="F281" s="6" t="s">
        <v>329</v>
      </c>
      <c r="G281" s="6">
        <v>922</v>
      </c>
      <c r="H281" s="6" t="s">
        <v>330</v>
      </c>
      <c r="I281" s="6" t="s">
        <v>347</v>
      </c>
      <c r="J281" s="6" t="s">
        <v>53</v>
      </c>
      <c r="K281" s="6" t="s">
        <v>18</v>
      </c>
      <c r="L281" s="6">
        <v>43074921</v>
      </c>
      <c r="M281" s="6" t="s">
        <v>19</v>
      </c>
      <c r="N281" s="6" t="s">
        <v>61</v>
      </c>
      <c r="O281" s="6">
        <v>131</v>
      </c>
      <c r="P281" s="7">
        <v>33060</v>
      </c>
      <c r="Q281" s="6" t="s">
        <v>22</v>
      </c>
      <c r="R281" s="8" t="s">
        <v>1808</v>
      </c>
      <c r="S281" s="6"/>
    </row>
    <row r="282" spans="1:19" ht="25.5" x14ac:dyDescent="0.25">
      <c r="A282" s="5" t="s">
        <v>3327</v>
      </c>
      <c r="B282" s="5">
        <v>281</v>
      </c>
      <c r="C282" s="6" t="s">
        <v>2179</v>
      </c>
      <c r="D282" s="6" t="s">
        <v>15</v>
      </c>
      <c r="E282" s="6">
        <v>710</v>
      </c>
      <c r="F282" s="6" t="s">
        <v>110</v>
      </c>
      <c r="G282" s="6">
        <v>947</v>
      </c>
      <c r="H282" s="6" t="s">
        <v>111</v>
      </c>
      <c r="I282" s="6" t="s">
        <v>112</v>
      </c>
      <c r="J282" s="6" t="s">
        <v>113</v>
      </c>
      <c r="K282" s="6" t="s">
        <v>18</v>
      </c>
      <c r="L282" s="6">
        <v>71694571</v>
      </c>
      <c r="M282" s="6" t="s">
        <v>79</v>
      </c>
      <c r="N282" s="6" t="s">
        <v>88</v>
      </c>
      <c r="O282" s="6">
        <v>162</v>
      </c>
      <c r="P282" s="7">
        <v>35258</v>
      </c>
      <c r="Q282" s="6" t="s">
        <v>22</v>
      </c>
      <c r="R282" s="8" t="s">
        <v>1808</v>
      </c>
      <c r="S282" s="6"/>
    </row>
    <row r="283" spans="1:19" ht="25.5" x14ac:dyDescent="0.25">
      <c r="A283" s="5" t="s">
        <v>3327</v>
      </c>
      <c r="B283" s="5">
        <v>282</v>
      </c>
      <c r="C283" s="6" t="s">
        <v>2180</v>
      </c>
      <c r="D283" s="6" t="s">
        <v>15</v>
      </c>
      <c r="E283" s="6">
        <v>719</v>
      </c>
      <c r="F283" s="6" t="s">
        <v>114</v>
      </c>
      <c r="G283" s="6">
        <v>1000</v>
      </c>
      <c r="H283" s="6" t="s">
        <v>115</v>
      </c>
      <c r="I283" s="6" t="s">
        <v>116</v>
      </c>
      <c r="J283" s="6" t="s">
        <v>117</v>
      </c>
      <c r="K283" s="6" t="s">
        <v>18</v>
      </c>
      <c r="L283" s="6">
        <v>43286129</v>
      </c>
      <c r="M283" s="6" t="s">
        <v>79</v>
      </c>
      <c r="N283" s="6" t="s">
        <v>88</v>
      </c>
      <c r="O283" s="6">
        <v>164</v>
      </c>
      <c r="P283" s="7">
        <v>35412</v>
      </c>
      <c r="Q283" s="6" t="s">
        <v>22</v>
      </c>
      <c r="R283" s="8" t="s">
        <v>1808</v>
      </c>
      <c r="S283" s="6"/>
    </row>
    <row r="284" spans="1:19" ht="25.5" x14ac:dyDescent="0.25">
      <c r="A284" s="5" t="s">
        <v>3327</v>
      </c>
      <c r="B284" s="5">
        <v>283</v>
      </c>
      <c r="C284" s="6" t="s">
        <v>1986</v>
      </c>
      <c r="D284" s="6" t="s">
        <v>15</v>
      </c>
      <c r="E284" s="6">
        <v>719</v>
      </c>
      <c r="F284" s="6" t="s">
        <v>114</v>
      </c>
      <c r="G284" s="6">
        <v>1000</v>
      </c>
      <c r="H284" s="6" t="s">
        <v>115</v>
      </c>
      <c r="I284" s="6" t="s">
        <v>359</v>
      </c>
      <c r="J284" s="6" t="s">
        <v>360</v>
      </c>
      <c r="K284" s="6" t="s">
        <v>18</v>
      </c>
      <c r="L284" s="6">
        <v>43073299</v>
      </c>
      <c r="M284" s="6" t="s">
        <v>19</v>
      </c>
      <c r="N284" s="6" t="s">
        <v>27</v>
      </c>
      <c r="O284" s="6">
        <v>8</v>
      </c>
      <c r="P284" s="7">
        <v>34970</v>
      </c>
      <c r="Q284" s="6" t="s">
        <v>22</v>
      </c>
      <c r="R284" s="8" t="s">
        <v>1808</v>
      </c>
      <c r="S284" s="6"/>
    </row>
    <row r="285" spans="1:19" ht="25.5" x14ac:dyDescent="0.25">
      <c r="A285" s="5" t="s">
        <v>3327</v>
      </c>
      <c r="B285" s="5">
        <v>284</v>
      </c>
      <c r="C285" s="6" t="s">
        <v>1972</v>
      </c>
      <c r="D285" s="6" t="s">
        <v>15</v>
      </c>
      <c r="E285" s="6">
        <v>725</v>
      </c>
      <c r="F285" s="6" t="s">
        <v>361</v>
      </c>
      <c r="G285" s="6">
        <v>1058</v>
      </c>
      <c r="H285" s="6" t="s">
        <v>362</v>
      </c>
      <c r="I285" s="6" t="s">
        <v>363</v>
      </c>
      <c r="J285" s="6" t="s">
        <v>364</v>
      </c>
      <c r="K285" s="6" t="s">
        <v>18</v>
      </c>
      <c r="L285" s="6">
        <v>43027360</v>
      </c>
      <c r="M285" s="6" t="s">
        <v>19</v>
      </c>
      <c r="N285" s="6" t="s">
        <v>27</v>
      </c>
      <c r="O285" s="6">
        <v>31</v>
      </c>
      <c r="P285" s="7">
        <v>34310</v>
      </c>
      <c r="Q285" s="6" t="s">
        <v>22</v>
      </c>
      <c r="R285" s="8" t="s">
        <v>1808</v>
      </c>
      <c r="S285" s="6"/>
    </row>
    <row r="286" spans="1:19" ht="25.5" x14ac:dyDescent="0.25">
      <c r="A286" s="5" t="s">
        <v>3327</v>
      </c>
      <c r="B286" s="5">
        <v>285</v>
      </c>
      <c r="C286" s="6" t="s">
        <v>2049</v>
      </c>
      <c r="D286" s="6" t="s">
        <v>15</v>
      </c>
      <c r="E286" s="6">
        <v>725</v>
      </c>
      <c r="F286" s="6" t="s">
        <v>361</v>
      </c>
      <c r="G286" s="6">
        <v>1058</v>
      </c>
      <c r="H286" s="6" t="s">
        <v>362</v>
      </c>
      <c r="I286" s="6" t="s">
        <v>381</v>
      </c>
      <c r="J286" s="6" t="s">
        <v>382</v>
      </c>
      <c r="K286" s="6" t="s">
        <v>18</v>
      </c>
      <c r="L286" s="6">
        <v>71612772</v>
      </c>
      <c r="M286" s="6" t="s">
        <v>30</v>
      </c>
      <c r="N286" s="6" t="s">
        <v>61</v>
      </c>
      <c r="O286" s="6">
        <v>84</v>
      </c>
      <c r="P286" s="7">
        <v>30868</v>
      </c>
      <c r="Q286" s="6" t="s">
        <v>22</v>
      </c>
      <c r="R286" s="8" t="s">
        <v>1808</v>
      </c>
      <c r="S286" s="6"/>
    </row>
    <row r="287" spans="1:19" ht="25.5" x14ac:dyDescent="0.25">
      <c r="A287" s="5" t="s">
        <v>3327</v>
      </c>
      <c r="B287" s="5">
        <v>286</v>
      </c>
      <c r="C287" s="6" t="s">
        <v>2010</v>
      </c>
      <c r="D287" s="6" t="s">
        <v>15</v>
      </c>
      <c r="E287" s="6">
        <v>731</v>
      </c>
      <c r="F287" s="6" t="s">
        <v>118</v>
      </c>
      <c r="G287" s="6">
        <v>1092</v>
      </c>
      <c r="H287" s="6" t="s">
        <v>119</v>
      </c>
      <c r="I287" s="6" t="s">
        <v>365</v>
      </c>
      <c r="J287" s="6" t="s">
        <v>80</v>
      </c>
      <c r="K287" s="6" t="s">
        <v>18</v>
      </c>
      <c r="L287" s="6">
        <v>43663112</v>
      </c>
      <c r="M287" s="6" t="s">
        <v>19</v>
      </c>
      <c r="N287" s="6" t="s">
        <v>27</v>
      </c>
      <c r="O287" s="6">
        <v>1</v>
      </c>
      <c r="P287" s="7">
        <v>35356</v>
      </c>
      <c r="Q287" s="6" t="s">
        <v>22</v>
      </c>
      <c r="R287" s="8" t="s">
        <v>1808</v>
      </c>
      <c r="S287" s="6"/>
    </row>
    <row r="288" spans="1:19" ht="25.5" x14ac:dyDescent="0.25">
      <c r="A288" s="5" t="s">
        <v>3327</v>
      </c>
      <c r="B288" s="5">
        <v>287</v>
      </c>
      <c r="C288" s="6" t="s">
        <v>2181</v>
      </c>
      <c r="D288" s="6" t="s">
        <v>15</v>
      </c>
      <c r="E288" s="6">
        <v>731</v>
      </c>
      <c r="F288" s="6" t="s">
        <v>118</v>
      </c>
      <c r="G288" s="6">
        <v>1092</v>
      </c>
      <c r="H288" s="6" t="s">
        <v>119</v>
      </c>
      <c r="I288" s="6" t="s">
        <v>120</v>
      </c>
      <c r="J288" s="6" t="s">
        <v>121</v>
      </c>
      <c r="K288" s="6" t="s">
        <v>18</v>
      </c>
      <c r="L288" s="6">
        <v>43511946</v>
      </c>
      <c r="M288" s="6" t="s">
        <v>79</v>
      </c>
      <c r="N288" s="6" t="s">
        <v>88</v>
      </c>
      <c r="O288" s="6">
        <v>141</v>
      </c>
      <c r="P288" s="7">
        <v>32849</v>
      </c>
      <c r="Q288" s="6" t="s">
        <v>22</v>
      </c>
      <c r="R288" s="8" t="s">
        <v>1808</v>
      </c>
      <c r="S288" s="6"/>
    </row>
    <row r="289" spans="1:19" ht="25.5" x14ac:dyDescent="0.25">
      <c r="A289" s="5" t="s">
        <v>3327</v>
      </c>
      <c r="B289" s="5">
        <v>288</v>
      </c>
      <c r="C289" s="6" t="s">
        <v>2182</v>
      </c>
      <c r="D289" s="6" t="s">
        <v>15</v>
      </c>
      <c r="E289" s="6">
        <v>731</v>
      </c>
      <c r="F289" s="6" t="s">
        <v>118</v>
      </c>
      <c r="G289" s="6">
        <v>1092</v>
      </c>
      <c r="H289" s="6" t="s">
        <v>119</v>
      </c>
      <c r="I289" s="6" t="s">
        <v>122</v>
      </c>
      <c r="J289" s="6" t="s">
        <v>123</v>
      </c>
      <c r="K289" s="6" t="s">
        <v>18</v>
      </c>
      <c r="L289" s="6">
        <v>11802354</v>
      </c>
      <c r="M289" s="6" t="s">
        <v>79</v>
      </c>
      <c r="N289" s="6" t="s">
        <v>88</v>
      </c>
      <c r="O289" s="6">
        <v>166</v>
      </c>
      <c r="P289" s="7">
        <v>35622</v>
      </c>
      <c r="Q289" s="6" t="s">
        <v>22</v>
      </c>
      <c r="R289" s="8" t="s">
        <v>1808</v>
      </c>
      <c r="S289" s="6"/>
    </row>
    <row r="290" spans="1:19" ht="25.5" x14ac:dyDescent="0.25">
      <c r="A290" s="5" t="s">
        <v>3327</v>
      </c>
      <c r="B290" s="5">
        <v>289</v>
      </c>
      <c r="C290" s="6" t="s">
        <v>1858</v>
      </c>
      <c r="D290" s="6" t="s">
        <v>15</v>
      </c>
      <c r="E290" s="6">
        <v>736</v>
      </c>
      <c r="F290" s="6" t="s">
        <v>383</v>
      </c>
      <c r="G290" s="6">
        <v>1118</v>
      </c>
      <c r="H290" s="6" t="s">
        <v>384</v>
      </c>
      <c r="I290" s="6" t="s">
        <v>385</v>
      </c>
      <c r="J290" s="6" t="s">
        <v>386</v>
      </c>
      <c r="K290" s="6" t="s">
        <v>18</v>
      </c>
      <c r="L290" s="6">
        <v>21714055</v>
      </c>
      <c r="M290" s="6" t="s">
        <v>30</v>
      </c>
      <c r="N290" s="6" t="s">
        <v>61</v>
      </c>
      <c r="O290" s="6">
        <v>97</v>
      </c>
      <c r="P290" s="7">
        <v>31443</v>
      </c>
      <c r="Q290" s="6" t="s">
        <v>22</v>
      </c>
      <c r="R290" s="8" t="s">
        <v>1808</v>
      </c>
      <c r="S290" s="6"/>
    </row>
    <row r="291" spans="1:19" ht="25.5" x14ac:dyDescent="0.25">
      <c r="A291" s="5" t="s">
        <v>3327</v>
      </c>
      <c r="B291" s="5">
        <v>290</v>
      </c>
      <c r="C291" s="6" t="s">
        <v>2275</v>
      </c>
      <c r="D291" s="6" t="s">
        <v>15</v>
      </c>
      <c r="E291" s="6">
        <v>747</v>
      </c>
      <c r="F291" s="6" t="s">
        <v>348</v>
      </c>
      <c r="G291" s="6">
        <v>1221</v>
      </c>
      <c r="H291" s="6" t="s">
        <v>349</v>
      </c>
      <c r="I291" s="6" t="s">
        <v>350</v>
      </c>
      <c r="J291" s="6" t="s">
        <v>351</v>
      </c>
      <c r="K291" s="6" t="s">
        <v>18</v>
      </c>
      <c r="L291" s="6">
        <v>71610949</v>
      </c>
      <c r="M291" s="6" t="s">
        <v>19</v>
      </c>
      <c r="N291" s="6" t="s">
        <v>61</v>
      </c>
      <c r="O291" s="6">
        <v>107</v>
      </c>
      <c r="P291" s="7">
        <v>31994</v>
      </c>
      <c r="Q291" s="6" t="s">
        <v>22</v>
      </c>
      <c r="R291" s="8" t="s">
        <v>1808</v>
      </c>
      <c r="S291" s="6"/>
    </row>
    <row r="292" spans="1:19" ht="25.5" x14ac:dyDescent="0.25">
      <c r="A292" s="5" t="s">
        <v>3327</v>
      </c>
      <c r="B292" s="5">
        <v>291</v>
      </c>
      <c r="C292" s="6" t="s">
        <v>2276</v>
      </c>
      <c r="D292" s="6" t="s">
        <v>15</v>
      </c>
      <c r="E292" s="6">
        <v>747</v>
      </c>
      <c r="F292" s="6" t="s">
        <v>348</v>
      </c>
      <c r="G292" s="6">
        <v>1221</v>
      </c>
      <c r="H292" s="6" t="s">
        <v>349</v>
      </c>
      <c r="I292" s="6" t="s">
        <v>352</v>
      </c>
      <c r="J292" s="6" t="s">
        <v>68</v>
      </c>
      <c r="K292" s="6" t="s">
        <v>18</v>
      </c>
      <c r="L292" s="6">
        <v>71709422</v>
      </c>
      <c r="M292" s="6" t="s">
        <v>19</v>
      </c>
      <c r="N292" s="6" t="s">
        <v>61</v>
      </c>
      <c r="O292" s="6">
        <v>182</v>
      </c>
      <c r="P292" s="7">
        <v>35600</v>
      </c>
      <c r="Q292" s="6" t="s">
        <v>22</v>
      </c>
      <c r="R292" s="8" t="s">
        <v>1808</v>
      </c>
      <c r="S292" s="6"/>
    </row>
    <row r="293" spans="1:19" ht="25.5" x14ac:dyDescent="0.25">
      <c r="A293" s="5" t="s">
        <v>3327</v>
      </c>
      <c r="B293" s="5">
        <v>292</v>
      </c>
      <c r="C293" s="6" t="s">
        <v>2002</v>
      </c>
      <c r="D293" s="6" t="s">
        <v>15</v>
      </c>
      <c r="E293" s="6">
        <v>753</v>
      </c>
      <c r="F293" s="6" t="s">
        <v>366</v>
      </c>
      <c r="G293" s="6">
        <v>1289</v>
      </c>
      <c r="H293" s="6" t="s">
        <v>367</v>
      </c>
      <c r="I293" s="6" t="s">
        <v>368</v>
      </c>
      <c r="J293" s="6" t="s">
        <v>369</v>
      </c>
      <c r="K293" s="6" t="s">
        <v>18</v>
      </c>
      <c r="L293" s="6">
        <v>43522388</v>
      </c>
      <c r="M293" s="6" t="s">
        <v>19</v>
      </c>
      <c r="N293" s="6" t="s">
        <v>61</v>
      </c>
      <c r="O293" s="6">
        <v>134</v>
      </c>
      <c r="P293" s="7">
        <v>33213</v>
      </c>
      <c r="Q293" s="6" t="s">
        <v>22</v>
      </c>
      <c r="R293" s="8" t="s">
        <v>1808</v>
      </c>
      <c r="S293" s="6"/>
    </row>
    <row r="294" spans="1:19" ht="25.5" x14ac:dyDescent="0.25">
      <c r="A294" s="5" t="s">
        <v>3327</v>
      </c>
      <c r="B294" s="5">
        <v>293</v>
      </c>
      <c r="C294" s="6" t="s">
        <v>2031</v>
      </c>
      <c r="D294" s="6" t="s">
        <v>15</v>
      </c>
      <c r="E294" s="6">
        <v>753</v>
      </c>
      <c r="F294" s="6" t="s">
        <v>366</v>
      </c>
      <c r="G294" s="6">
        <v>1289</v>
      </c>
      <c r="H294" s="6" t="s">
        <v>367</v>
      </c>
      <c r="I294" s="6" t="s">
        <v>370</v>
      </c>
      <c r="J294" s="6" t="s">
        <v>371</v>
      </c>
      <c r="K294" s="6" t="s">
        <v>18</v>
      </c>
      <c r="L294" s="6">
        <v>50943328</v>
      </c>
      <c r="M294" s="6" t="s">
        <v>19</v>
      </c>
      <c r="N294" s="6" t="s">
        <v>20</v>
      </c>
      <c r="O294" s="6">
        <v>166</v>
      </c>
      <c r="P294" s="7">
        <v>35047</v>
      </c>
      <c r="Q294" s="6" t="s">
        <v>22</v>
      </c>
      <c r="R294" s="8" t="s">
        <v>1808</v>
      </c>
      <c r="S294" s="6"/>
    </row>
    <row r="295" spans="1:19" ht="25.5" x14ac:dyDescent="0.25">
      <c r="A295" s="5" t="s">
        <v>3327</v>
      </c>
      <c r="B295" s="5">
        <v>294</v>
      </c>
      <c r="C295" s="6" t="s">
        <v>2288</v>
      </c>
      <c r="D295" s="6" t="s">
        <v>15</v>
      </c>
      <c r="E295" s="6">
        <v>753</v>
      </c>
      <c r="F295" s="6" t="s">
        <v>366</v>
      </c>
      <c r="G295" s="6">
        <v>1289</v>
      </c>
      <c r="H295" s="6" t="s">
        <v>367</v>
      </c>
      <c r="I295" s="6" t="s">
        <v>387</v>
      </c>
      <c r="J295" s="6" t="s">
        <v>335</v>
      </c>
      <c r="K295" s="6" t="s">
        <v>18</v>
      </c>
      <c r="L295" s="6">
        <v>42820393</v>
      </c>
      <c r="M295" s="6" t="s">
        <v>30</v>
      </c>
      <c r="N295" s="6" t="s">
        <v>61</v>
      </c>
      <c r="O295" s="6">
        <v>96</v>
      </c>
      <c r="P295" s="7">
        <v>31443</v>
      </c>
      <c r="Q295" s="6" t="s">
        <v>22</v>
      </c>
      <c r="R295" s="8" t="s">
        <v>1808</v>
      </c>
      <c r="S295" s="6"/>
    </row>
    <row r="296" spans="1:19" ht="25.5" x14ac:dyDescent="0.25">
      <c r="A296" s="5" t="s">
        <v>3327</v>
      </c>
      <c r="B296" s="5">
        <v>295</v>
      </c>
      <c r="C296" s="6" t="s">
        <v>2007</v>
      </c>
      <c r="D296" s="6" t="s">
        <v>15</v>
      </c>
      <c r="E296" s="6">
        <v>760</v>
      </c>
      <c r="F296" s="6" t="s">
        <v>372</v>
      </c>
      <c r="G296" s="6">
        <v>1359</v>
      </c>
      <c r="H296" s="6" t="s">
        <v>373</v>
      </c>
      <c r="I296" s="6" t="s">
        <v>374</v>
      </c>
      <c r="J296" s="6" t="s">
        <v>314</v>
      </c>
      <c r="K296" s="6" t="s">
        <v>18</v>
      </c>
      <c r="L296" s="6">
        <v>43586899</v>
      </c>
      <c r="M296" s="6" t="s">
        <v>19</v>
      </c>
      <c r="N296" s="6"/>
      <c r="O296" s="6">
        <v>13</v>
      </c>
      <c r="P296" s="7">
        <v>34970</v>
      </c>
      <c r="Q296" s="6" t="s">
        <v>22</v>
      </c>
      <c r="R296" s="8" t="s">
        <v>1808</v>
      </c>
      <c r="S296" s="6"/>
    </row>
    <row r="297" spans="1:19" ht="25.5" x14ac:dyDescent="0.25">
      <c r="A297" s="5" t="s">
        <v>3327</v>
      </c>
      <c r="B297" s="5">
        <v>296</v>
      </c>
      <c r="C297" s="6" t="s">
        <v>2278</v>
      </c>
      <c r="D297" s="6" t="s">
        <v>15</v>
      </c>
      <c r="E297" s="6">
        <v>764</v>
      </c>
      <c r="F297" s="6" t="s">
        <v>124</v>
      </c>
      <c r="G297" s="6">
        <v>1411</v>
      </c>
      <c r="H297" s="6" t="s">
        <v>125</v>
      </c>
      <c r="I297" s="6" t="s">
        <v>355</v>
      </c>
      <c r="J297" s="6" t="s">
        <v>91</v>
      </c>
      <c r="K297" s="6" t="s">
        <v>18</v>
      </c>
      <c r="L297" s="6">
        <v>98537685</v>
      </c>
      <c r="M297" s="6" t="s">
        <v>19</v>
      </c>
      <c r="N297" s="6" t="s">
        <v>61</v>
      </c>
      <c r="O297" s="6">
        <v>159</v>
      </c>
      <c r="P297" s="7">
        <v>34674</v>
      </c>
      <c r="Q297" s="6" t="s">
        <v>22</v>
      </c>
      <c r="R297" s="8" t="s">
        <v>1808</v>
      </c>
      <c r="S297" s="6"/>
    </row>
    <row r="298" spans="1:19" ht="25.5" x14ac:dyDescent="0.25">
      <c r="A298" s="5" t="s">
        <v>3327</v>
      </c>
      <c r="B298" s="5">
        <v>297</v>
      </c>
      <c r="C298" s="6" t="s">
        <v>2279</v>
      </c>
      <c r="D298" s="6" t="s">
        <v>15</v>
      </c>
      <c r="E298" s="6">
        <v>764</v>
      </c>
      <c r="F298" s="6" t="s">
        <v>124</v>
      </c>
      <c r="G298" s="6">
        <v>1411</v>
      </c>
      <c r="H298" s="6" t="s">
        <v>125</v>
      </c>
      <c r="I298" s="6" t="s">
        <v>356</v>
      </c>
      <c r="J298" s="6" t="s">
        <v>357</v>
      </c>
      <c r="K298" s="6" t="s">
        <v>18</v>
      </c>
      <c r="L298" s="6">
        <v>43512063</v>
      </c>
      <c r="M298" s="6" t="s">
        <v>19</v>
      </c>
      <c r="N298" s="6" t="s">
        <v>27</v>
      </c>
      <c r="O298" s="6">
        <v>2</v>
      </c>
      <c r="P298" s="7">
        <v>32773</v>
      </c>
      <c r="Q298" s="6" t="s">
        <v>22</v>
      </c>
      <c r="R298" s="8" t="s">
        <v>1808</v>
      </c>
      <c r="S298" s="6"/>
    </row>
    <row r="299" spans="1:19" ht="25.5" x14ac:dyDescent="0.25">
      <c r="A299" s="5" t="s">
        <v>3327</v>
      </c>
      <c r="B299" s="5">
        <v>298</v>
      </c>
      <c r="C299" s="6" t="s">
        <v>2184</v>
      </c>
      <c r="D299" s="6" t="s">
        <v>15</v>
      </c>
      <c r="E299" s="6">
        <v>764</v>
      </c>
      <c r="F299" s="6" t="s">
        <v>124</v>
      </c>
      <c r="G299" s="6">
        <v>1411</v>
      </c>
      <c r="H299" s="6" t="s">
        <v>125</v>
      </c>
      <c r="I299" s="6" t="s">
        <v>128</v>
      </c>
      <c r="J299" s="6" t="s">
        <v>129</v>
      </c>
      <c r="K299" s="6" t="s">
        <v>18</v>
      </c>
      <c r="L299" s="6">
        <v>43452089</v>
      </c>
      <c r="M299" s="6" t="s">
        <v>79</v>
      </c>
      <c r="N299" s="6" t="s">
        <v>88</v>
      </c>
      <c r="O299" s="6">
        <v>145</v>
      </c>
      <c r="P299" s="7">
        <v>33445</v>
      </c>
      <c r="Q299" s="6" t="s">
        <v>22</v>
      </c>
      <c r="R299" s="8" t="s">
        <v>1808</v>
      </c>
      <c r="S299" s="6"/>
    </row>
    <row r="300" spans="1:19" ht="25.5" x14ac:dyDescent="0.25">
      <c r="A300" s="5" t="s">
        <v>3327</v>
      </c>
      <c r="B300" s="5">
        <v>299</v>
      </c>
      <c r="C300" s="6" t="s">
        <v>2185</v>
      </c>
      <c r="D300" s="6" t="s">
        <v>15</v>
      </c>
      <c r="E300" s="6">
        <v>764</v>
      </c>
      <c r="F300" s="6" t="s">
        <v>124</v>
      </c>
      <c r="G300" s="6">
        <v>1411</v>
      </c>
      <c r="H300" s="6" t="s">
        <v>125</v>
      </c>
      <c r="I300" s="6" t="s">
        <v>130</v>
      </c>
      <c r="J300" s="6" t="s">
        <v>131</v>
      </c>
      <c r="K300" s="6" t="s">
        <v>18</v>
      </c>
      <c r="L300" s="6">
        <v>43452702</v>
      </c>
      <c r="M300" s="6" t="s">
        <v>79</v>
      </c>
      <c r="N300" s="6" t="s">
        <v>88</v>
      </c>
      <c r="O300" s="6">
        <v>169</v>
      </c>
      <c r="P300" s="7">
        <v>35986</v>
      </c>
      <c r="Q300" s="6" t="s">
        <v>22</v>
      </c>
      <c r="R300" s="8" t="s">
        <v>1808</v>
      </c>
      <c r="S300" s="6"/>
    </row>
    <row r="301" spans="1:19" ht="25.5" x14ac:dyDescent="0.25">
      <c r="A301" s="5" t="s">
        <v>3327</v>
      </c>
      <c r="B301" s="5">
        <v>300</v>
      </c>
      <c r="C301" s="6" t="s">
        <v>2277</v>
      </c>
      <c r="D301" s="6" t="s">
        <v>15</v>
      </c>
      <c r="E301" s="6">
        <v>764</v>
      </c>
      <c r="F301" s="6" t="s">
        <v>124</v>
      </c>
      <c r="G301" s="6">
        <v>1411</v>
      </c>
      <c r="H301" s="6" t="s">
        <v>125</v>
      </c>
      <c r="I301" s="6" t="s">
        <v>353</v>
      </c>
      <c r="J301" s="6" t="s">
        <v>354</v>
      </c>
      <c r="K301" s="6" t="s">
        <v>18</v>
      </c>
      <c r="L301" s="6">
        <v>42899237</v>
      </c>
      <c r="M301" s="6" t="s">
        <v>19</v>
      </c>
      <c r="N301" s="6" t="s">
        <v>61</v>
      </c>
      <c r="O301" s="6">
        <v>140</v>
      </c>
      <c r="P301" s="7">
        <v>33583</v>
      </c>
      <c r="Q301" s="6" t="s">
        <v>22</v>
      </c>
      <c r="R301" s="8" t="s">
        <v>1808</v>
      </c>
      <c r="S301" s="6"/>
    </row>
    <row r="302" spans="1:19" ht="25.5" x14ac:dyDescent="0.25">
      <c r="A302" s="5" t="s">
        <v>3327</v>
      </c>
      <c r="B302" s="5">
        <v>301</v>
      </c>
      <c r="C302" s="6" t="s">
        <v>2183</v>
      </c>
      <c r="D302" s="6" t="s">
        <v>15</v>
      </c>
      <c r="E302" s="6">
        <v>764</v>
      </c>
      <c r="F302" s="6" t="s">
        <v>124</v>
      </c>
      <c r="G302" s="6">
        <v>1411</v>
      </c>
      <c r="H302" s="6" t="s">
        <v>125</v>
      </c>
      <c r="I302" s="6" t="s">
        <v>126</v>
      </c>
      <c r="J302" s="6" t="s">
        <v>127</v>
      </c>
      <c r="K302" s="6" t="s">
        <v>18</v>
      </c>
      <c r="L302" s="6">
        <v>43726257</v>
      </c>
      <c r="M302" s="6" t="s">
        <v>79</v>
      </c>
      <c r="N302" s="6" t="s">
        <v>88</v>
      </c>
      <c r="O302" s="6">
        <v>143</v>
      </c>
      <c r="P302" s="7">
        <v>33214</v>
      </c>
      <c r="Q302" s="6" t="s">
        <v>22</v>
      </c>
      <c r="R302" s="8" t="s">
        <v>1808</v>
      </c>
      <c r="S302" s="6"/>
    </row>
    <row r="303" spans="1:19" ht="25.5" x14ac:dyDescent="0.25">
      <c r="A303" s="5" t="s">
        <v>3327</v>
      </c>
      <c r="B303" s="5">
        <v>302</v>
      </c>
      <c r="C303" s="6" t="s">
        <v>2315</v>
      </c>
      <c r="D303" s="6" t="s">
        <v>15</v>
      </c>
      <c r="E303" s="6">
        <v>770</v>
      </c>
      <c r="F303" s="6" t="s">
        <v>429</v>
      </c>
      <c r="G303" s="6">
        <v>1535</v>
      </c>
      <c r="H303" s="6" t="s">
        <v>430</v>
      </c>
      <c r="I303" s="6" t="s">
        <v>494</v>
      </c>
      <c r="J303" s="6" t="s">
        <v>495</v>
      </c>
      <c r="K303" s="6" t="s">
        <v>18</v>
      </c>
      <c r="L303" s="6">
        <v>43624618</v>
      </c>
      <c r="M303" s="6" t="s">
        <v>79</v>
      </c>
      <c r="N303" s="6" t="s">
        <v>88</v>
      </c>
      <c r="O303" s="6">
        <v>169</v>
      </c>
      <c r="P303" s="7">
        <v>35986</v>
      </c>
      <c r="Q303" s="6" t="s">
        <v>22</v>
      </c>
      <c r="R303" s="8" t="s">
        <v>1808</v>
      </c>
      <c r="S303" s="6"/>
    </row>
    <row r="304" spans="1:19" ht="25.5" x14ac:dyDescent="0.25">
      <c r="A304" s="5" t="s">
        <v>3327</v>
      </c>
      <c r="B304" s="5">
        <v>303</v>
      </c>
      <c r="C304" s="6" t="s">
        <v>2316</v>
      </c>
      <c r="D304" s="6" t="s">
        <v>15</v>
      </c>
      <c r="E304" s="6">
        <v>770</v>
      </c>
      <c r="F304" s="6" t="s">
        <v>429</v>
      </c>
      <c r="G304" s="6">
        <v>1535</v>
      </c>
      <c r="H304" s="6" t="s">
        <v>430</v>
      </c>
      <c r="I304" s="6" t="s">
        <v>496</v>
      </c>
      <c r="J304" s="6" t="s">
        <v>71</v>
      </c>
      <c r="K304" s="6" t="s">
        <v>18</v>
      </c>
      <c r="L304" s="6">
        <v>43606958</v>
      </c>
      <c r="M304" s="6" t="s">
        <v>79</v>
      </c>
      <c r="N304" s="6" t="s">
        <v>88</v>
      </c>
      <c r="O304" s="6">
        <v>169</v>
      </c>
      <c r="P304" s="7">
        <v>35986</v>
      </c>
      <c r="Q304" s="6" t="s">
        <v>22</v>
      </c>
      <c r="R304" s="8" t="s">
        <v>1808</v>
      </c>
      <c r="S304" s="6"/>
    </row>
    <row r="305" spans="1:19" ht="25.5" x14ac:dyDescent="0.25">
      <c r="A305" s="5" t="s">
        <v>3327</v>
      </c>
      <c r="B305" s="5">
        <v>304</v>
      </c>
      <c r="C305" s="6" t="s">
        <v>2057</v>
      </c>
      <c r="D305" s="6" t="s">
        <v>15</v>
      </c>
      <c r="E305" s="6">
        <v>770</v>
      </c>
      <c r="F305" s="6" t="s">
        <v>429</v>
      </c>
      <c r="G305" s="6">
        <v>1535</v>
      </c>
      <c r="H305" s="6" t="s">
        <v>430</v>
      </c>
      <c r="I305" s="6" t="s">
        <v>431</v>
      </c>
      <c r="J305" s="6" t="s">
        <v>432</v>
      </c>
      <c r="K305" s="6" t="s">
        <v>18</v>
      </c>
      <c r="L305" s="6">
        <v>71705398</v>
      </c>
      <c r="M305" s="6" t="s">
        <v>19</v>
      </c>
      <c r="N305" s="6" t="s">
        <v>61</v>
      </c>
      <c r="O305" s="6">
        <v>137</v>
      </c>
      <c r="P305" s="7">
        <v>33424</v>
      </c>
      <c r="Q305" s="6" t="s">
        <v>22</v>
      </c>
      <c r="R305" s="8" t="s">
        <v>1808</v>
      </c>
      <c r="S305" s="6"/>
    </row>
    <row r="306" spans="1:19" ht="25.5" x14ac:dyDescent="0.25">
      <c r="A306" s="5" t="s">
        <v>3327</v>
      </c>
      <c r="B306" s="5">
        <v>305</v>
      </c>
      <c r="C306" s="6" t="s">
        <v>2059</v>
      </c>
      <c r="D306" s="6" t="s">
        <v>15</v>
      </c>
      <c r="E306" s="6">
        <v>770</v>
      </c>
      <c r="F306" s="6" t="s">
        <v>429</v>
      </c>
      <c r="G306" s="6">
        <v>1535</v>
      </c>
      <c r="H306" s="6" t="s">
        <v>430</v>
      </c>
      <c r="I306" s="6" t="s">
        <v>433</v>
      </c>
      <c r="J306" s="6" t="s">
        <v>434</v>
      </c>
      <c r="K306" s="6" t="s">
        <v>18</v>
      </c>
      <c r="L306" s="6">
        <v>71718952</v>
      </c>
      <c r="M306" s="6" t="s">
        <v>19</v>
      </c>
      <c r="N306" s="6" t="s">
        <v>61</v>
      </c>
      <c r="O306" s="6">
        <v>137</v>
      </c>
      <c r="P306" s="7">
        <v>33424</v>
      </c>
      <c r="Q306" s="6" t="s">
        <v>22</v>
      </c>
      <c r="R306" s="8" t="s">
        <v>1808</v>
      </c>
      <c r="S306" s="6"/>
    </row>
    <row r="307" spans="1:19" ht="25.5" x14ac:dyDescent="0.25">
      <c r="A307" s="5" t="s">
        <v>3327</v>
      </c>
      <c r="B307" s="5">
        <v>306</v>
      </c>
      <c r="C307" s="6" t="s">
        <v>2314</v>
      </c>
      <c r="D307" s="6" t="s">
        <v>15</v>
      </c>
      <c r="E307" s="6">
        <v>770</v>
      </c>
      <c r="F307" s="6" t="s">
        <v>429</v>
      </c>
      <c r="G307" s="6">
        <v>1535</v>
      </c>
      <c r="H307" s="6" t="s">
        <v>430</v>
      </c>
      <c r="I307" s="6" t="s">
        <v>493</v>
      </c>
      <c r="J307" s="6" t="s">
        <v>121</v>
      </c>
      <c r="K307" s="6" t="s">
        <v>18</v>
      </c>
      <c r="L307" s="6">
        <v>39446683</v>
      </c>
      <c r="M307" s="6" t="s">
        <v>79</v>
      </c>
      <c r="N307" s="6" t="s">
        <v>88</v>
      </c>
      <c r="O307" s="6">
        <v>171</v>
      </c>
      <c r="P307" s="7">
        <v>36140</v>
      </c>
      <c r="Q307" s="6" t="s">
        <v>22</v>
      </c>
      <c r="R307" s="8" t="s">
        <v>1808</v>
      </c>
      <c r="S307" s="6"/>
    </row>
    <row r="308" spans="1:19" ht="25.5" x14ac:dyDescent="0.25">
      <c r="A308" s="5" t="s">
        <v>3327</v>
      </c>
      <c r="B308" s="5">
        <v>307</v>
      </c>
      <c r="C308" s="6" t="s">
        <v>2324</v>
      </c>
      <c r="D308" s="6" t="s">
        <v>15</v>
      </c>
      <c r="E308" s="6">
        <v>776</v>
      </c>
      <c r="F308" s="6" t="s">
        <v>508</v>
      </c>
      <c r="G308" s="6">
        <v>1615</v>
      </c>
      <c r="H308" s="6" t="s">
        <v>509</v>
      </c>
      <c r="I308" s="6" t="s">
        <v>510</v>
      </c>
      <c r="J308" s="6" t="s">
        <v>511</v>
      </c>
      <c r="K308" s="6" t="s">
        <v>18</v>
      </c>
      <c r="L308" s="6">
        <v>32443937</v>
      </c>
      <c r="M308" s="6" t="s">
        <v>502</v>
      </c>
      <c r="N308" s="6" t="s">
        <v>505</v>
      </c>
      <c r="O308" s="6">
        <v>86</v>
      </c>
      <c r="P308" s="7">
        <v>27821</v>
      </c>
      <c r="Q308" s="6" t="s">
        <v>22</v>
      </c>
      <c r="R308" s="8" t="s">
        <v>1808</v>
      </c>
      <c r="S308" s="6"/>
    </row>
    <row r="309" spans="1:19" ht="25.5" x14ac:dyDescent="0.25">
      <c r="A309" s="5" t="s">
        <v>3327</v>
      </c>
      <c r="B309" s="5">
        <v>308</v>
      </c>
      <c r="C309" s="6" t="s">
        <v>1933</v>
      </c>
      <c r="D309" s="6" t="s">
        <v>15</v>
      </c>
      <c r="E309" s="6">
        <v>776</v>
      </c>
      <c r="F309" s="6" t="s">
        <v>508</v>
      </c>
      <c r="G309" s="6">
        <v>1615</v>
      </c>
      <c r="H309" s="6" t="s">
        <v>509</v>
      </c>
      <c r="I309" s="6" t="s">
        <v>439</v>
      </c>
      <c r="J309" s="6" t="s">
        <v>52</v>
      </c>
      <c r="K309" s="6" t="s">
        <v>18</v>
      </c>
      <c r="L309" s="6">
        <v>42771579</v>
      </c>
      <c r="M309" s="6" t="s">
        <v>19</v>
      </c>
      <c r="N309" s="6" t="s">
        <v>20</v>
      </c>
      <c r="O309" s="6">
        <v>150</v>
      </c>
      <c r="P309" s="7">
        <v>34310</v>
      </c>
      <c r="Q309" s="6" t="s">
        <v>22</v>
      </c>
      <c r="R309" s="8" t="s">
        <v>1808</v>
      </c>
      <c r="S309" s="6"/>
    </row>
    <row r="310" spans="1:19" ht="25.5" x14ac:dyDescent="0.25">
      <c r="A310" s="5" t="s">
        <v>3327</v>
      </c>
      <c r="B310" s="5">
        <v>309</v>
      </c>
      <c r="C310" s="6" t="s">
        <v>2065</v>
      </c>
      <c r="D310" s="6" t="s">
        <v>15</v>
      </c>
      <c r="E310" s="6">
        <v>779</v>
      </c>
      <c r="F310" s="6" t="s">
        <v>521</v>
      </c>
      <c r="G310" s="6">
        <v>1638</v>
      </c>
      <c r="H310" s="6" t="s">
        <v>522</v>
      </c>
      <c r="I310" s="6" t="s">
        <v>523</v>
      </c>
      <c r="J310" s="6" t="s">
        <v>379</v>
      </c>
      <c r="K310" s="6" t="s">
        <v>18</v>
      </c>
      <c r="L310" s="6">
        <v>72187641</v>
      </c>
      <c r="M310" s="6" t="s">
        <v>19</v>
      </c>
      <c r="N310" s="6" t="s">
        <v>20</v>
      </c>
      <c r="O310" s="6">
        <v>166</v>
      </c>
      <c r="P310" s="7">
        <v>35047</v>
      </c>
      <c r="Q310" s="6" t="s">
        <v>22</v>
      </c>
      <c r="R310" s="8" t="s">
        <v>1808</v>
      </c>
      <c r="S310" s="6"/>
    </row>
    <row r="311" spans="1:19" ht="25.5" x14ac:dyDescent="0.25">
      <c r="A311" s="5" t="s">
        <v>3327</v>
      </c>
      <c r="B311" s="5">
        <v>310</v>
      </c>
      <c r="C311" s="6" t="s">
        <v>1995</v>
      </c>
      <c r="D311" s="6" t="s">
        <v>15</v>
      </c>
      <c r="E311" s="6">
        <v>782</v>
      </c>
      <c r="F311" s="6" t="s">
        <v>524</v>
      </c>
      <c r="G311" s="6">
        <v>1689</v>
      </c>
      <c r="H311" s="6" t="s">
        <v>525</v>
      </c>
      <c r="I311" s="6" t="s">
        <v>526</v>
      </c>
      <c r="J311" s="6" t="s">
        <v>527</v>
      </c>
      <c r="K311" s="6" t="s">
        <v>18</v>
      </c>
      <c r="L311" s="6">
        <v>43088058</v>
      </c>
      <c r="M311" s="6" t="s">
        <v>19</v>
      </c>
      <c r="N311" s="6" t="s">
        <v>61</v>
      </c>
      <c r="O311" s="6">
        <v>111</v>
      </c>
      <c r="P311" s="7">
        <v>32115</v>
      </c>
      <c r="Q311" s="6" t="s">
        <v>22</v>
      </c>
      <c r="R311" s="8" t="s">
        <v>1808</v>
      </c>
      <c r="S311" s="6"/>
    </row>
    <row r="312" spans="1:19" ht="25.5" x14ac:dyDescent="0.25">
      <c r="A312" s="5" t="s">
        <v>3327</v>
      </c>
      <c r="B312" s="5">
        <v>311</v>
      </c>
      <c r="C312" s="6" t="s">
        <v>1966</v>
      </c>
      <c r="D312" s="6" t="s">
        <v>15</v>
      </c>
      <c r="E312" s="6">
        <v>5</v>
      </c>
      <c r="F312" s="6" t="s">
        <v>497</v>
      </c>
      <c r="G312" s="6">
        <v>1849</v>
      </c>
      <c r="H312" s="6" t="s">
        <v>498</v>
      </c>
      <c r="I312" s="6" t="s">
        <v>531</v>
      </c>
      <c r="J312" s="6" t="s">
        <v>62</v>
      </c>
      <c r="K312" s="6" t="s">
        <v>18</v>
      </c>
      <c r="L312" s="6">
        <v>43006107</v>
      </c>
      <c r="M312" s="6" t="s">
        <v>30</v>
      </c>
      <c r="N312" s="6" t="s">
        <v>61</v>
      </c>
      <c r="O312" s="6">
        <v>93</v>
      </c>
      <c r="P312" s="7">
        <v>31233</v>
      </c>
      <c r="Q312" s="6" t="s">
        <v>22</v>
      </c>
      <c r="R312" s="8" t="s">
        <v>1808</v>
      </c>
      <c r="S312" s="6"/>
    </row>
    <row r="313" spans="1:19" ht="25.5" x14ac:dyDescent="0.25">
      <c r="A313" s="5" t="s">
        <v>3327</v>
      </c>
      <c r="B313" s="5">
        <v>312</v>
      </c>
      <c r="C313" s="6" t="s">
        <v>1864</v>
      </c>
      <c r="D313" s="6" t="s">
        <v>15</v>
      </c>
      <c r="E313" s="6">
        <v>2</v>
      </c>
      <c r="F313" s="6" t="s">
        <v>425</v>
      </c>
      <c r="G313" s="6">
        <v>152</v>
      </c>
      <c r="H313" s="6" t="s">
        <v>426</v>
      </c>
      <c r="I313" s="6" t="s">
        <v>427</v>
      </c>
      <c r="J313" s="6" t="s">
        <v>428</v>
      </c>
      <c r="K313" s="6" t="s">
        <v>18</v>
      </c>
      <c r="L313" s="6">
        <v>29394609</v>
      </c>
      <c r="M313" s="6" t="s">
        <v>19</v>
      </c>
      <c r="N313" s="6" t="s">
        <v>20</v>
      </c>
      <c r="O313" s="6">
        <v>123</v>
      </c>
      <c r="P313" s="6" t="s">
        <v>338</v>
      </c>
      <c r="Q313" s="6" t="s">
        <v>22</v>
      </c>
      <c r="R313" s="8" t="s">
        <v>1808</v>
      </c>
      <c r="S313" s="6"/>
    </row>
    <row r="314" spans="1:19" ht="25.5" x14ac:dyDescent="0.25">
      <c r="A314" s="5" t="s">
        <v>3327</v>
      </c>
      <c r="B314" s="5">
        <v>313</v>
      </c>
      <c r="C314" s="6" t="s">
        <v>2018</v>
      </c>
      <c r="D314" s="6" t="s">
        <v>15</v>
      </c>
      <c r="E314" s="6">
        <v>17</v>
      </c>
      <c r="F314" s="6" t="s">
        <v>543</v>
      </c>
      <c r="G314" s="6">
        <v>297</v>
      </c>
      <c r="H314" s="6" t="s">
        <v>544</v>
      </c>
      <c r="I314" s="6" t="s">
        <v>545</v>
      </c>
      <c r="J314" s="6" t="s">
        <v>546</v>
      </c>
      <c r="K314" s="6" t="s">
        <v>18</v>
      </c>
      <c r="L314" s="6">
        <v>43865124</v>
      </c>
      <c r="M314" s="6" t="s">
        <v>547</v>
      </c>
      <c r="N314" s="6" t="s">
        <v>20</v>
      </c>
      <c r="O314" s="6">
        <v>227</v>
      </c>
      <c r="P314" s="6" t="s">
        <v>548</v>
      </c>
      <c r="Q314" s="6" t="s">
        <v>22</v>
      </c>
      <c r="R314" s="8" t="s">
        <v>1808</v>
      </c>
      <c r="S314" s="6"/>
    </row>
    <row r="315" spans="1:19" ht="25.5" x14ac:dyDescent="0.25">
      <c r="A315" s="5" t="s">
        <v>3327</v>
      </c>
      <c r="B315" s="5">
        <v>314</v>
      </c>
      <c r="C315" s="6" t="s">
        <v>2041</v>
      </c>
      <c r="D315" s="6" t="s">
        <v>15</v>
      </c>
      <c r="E315" s="6">
        <v>32</v>
      </c>
      <c r="F315" s="6" t="s">
        <v>549</v>
      </c>
      <c r="G315" s="6">
        <v>617</v>
      </c>
      <c r="H315" s="6" t="s">
        <v>550</v>
      </c>
      <c r="I315" s="6" t="s">
        <v>551</v>
      </c>
      <c r="J315" s="6" t="s">
        <v>552</v>
      </c>
      <c r="K315" s="6" t="s">
        <v>18</v>
      </c>
      <c r="L315" s="6">
        <v>70470907</v>
      </c>
      <c r="M315" s="6" t="s">
        <v>547</v>
      </c>
      <c r="N315" s="6" t="s">
        <v>20</v>
      </c>
      <c r="O315" s="6">
        <v>230</v>
      </c>
      <c r="P315" s="6" t="s">
        <v>553</v>
      </c>
      <c r="Q315" s="6" t="s">
        <v>22</v>
      </c>
      <c r="R315" s="8" t="s">
        <v>1808</v>
      </c>
      <c r="S315" s="6"/>
    </row>
    <row r="316" spans="1:19" ht="25.5" x14ac:dyDescent="0.25">
      <c r="A316" s="5" t="s">
        <v>3327</v>
      </c>
      <c r="B316" s="5">
        <v>315</v>
      </c>
      <c r="C316" s="6" t="s">
        <v>1997</v>
      </c>
      <c r="D316" s="6" t="s">
        <v>15</v>
      </c>
      <c r="E316" s="6">
        <v>43</v>
      </c>
      <c r="F316" s="6" t="s">
        <v>554</v>
      </c>
      <c r="G316" s="6">
        <v>873</v>
      </c>
      <c r="H316" s="6" t="s">
        <v>555</v>
      </c>
      <c r="I316" s="6" t="s">
        <v>556</v>
      </c>
      <c r="J316" s="6" t="s">
        <v>95</v>
      </c>
      <c r="K316" s="6" t="s">
        <v>18</v>
      </c>
      <c r="L316" s="6">
        <v>43161213</v>
      </c>
      <c r="M316" s="6" t="s">
        <v>547</v>
      </c>
      <c r="N316" s="6" t="s">
        <v>20</v>
      </c>
      <c r="O316" s="6">
        <v>233</v>
      </c>
      <c r="P316" s="6" t="s">
        <v>455</v>
      </c>
      <c r="Q316" s="6" t="s">
        <v>22</v>
      </c>
      <c r="R316" s="8" t="s">
        <v>1808</v>
      </c>
      <c r="S316" s="6"/>
    </row>
    <row r="317" spans="1:19" ht="25.5" x14ac:dyDescent="0.25">
      <c r="A317" s="5" t="s">
        <v>3327</v>
      </c>
      <c r="B317" s="5">
        <v>316</v>
      </c>
      <c r="C317" s="6" t="s">
        <v>2098</v>
      </c>
      <c r="D317" s="6" t="s">
        <v>15</v>
      </c>
      <c r="E317" s="6">
        <v>53</v>
      </c>
      <c r="F317" s="6" t="s">
        <v>557</v>
      </c>
      <c r="G317" s="6">
        <v>1151</v>
      </c>
      <c r="H317" s="6" t="s">
        <v>558</v>
      </c>
      <c r="I317" s="6" t="s">
        <v>559</v>
      </c>
      <c r="J317" s="6" t="s">
        <v>560</v>
      </c>
      <c r="K317" s="6" t="s">
        <v>18</v>
      </c>
      <c r="L317" s="6">
        <v>98661567</v>
      </c>
      <c r="M317" s="6" t="s">
        <v>547</v>
      </c>
      <c r="N317" s="6" t="s">
        <v>61</v>
      </c>
      <c r="O317" s="6">
        <v>233</v>
      </c>
      <c r="P317" s="6" t="s">
        <v>455</v>
      </c>
      <c r="Q317" s="6" t="s">
        <v>22</v>
      </c>
      <c r="R317" s="8" t="s">
        <v>1808</v>
      </c>
      <c r="S317" s="6"/>
    </row>
    <row r="318" spans="1:19" ht="25.5" x14ac:dyDescent="0.25">
      <c r="A318" s="5" t="s">
        <v>3327</v>
      </c>
      <c r="B318" s="5">
        <v>317</v>
      </c>
      <c r="C318" s="6" t="s">
        <v>2186</v>
      </c>
      <c r="D318" s="6" t="s">
        <v>15</v>
      </c>
      <c r="E318" s="6">
        <v>7</v>
      </c>
      <c r="F318" s="6" t="s">
        <v>132</v>
      </c>
      <c r="G318" s="6">
        <v>356</v>
      </c>
      <c r="H318" s="6" t="s">
        <v>133</v>
      </c>
      <c r="I318" s="6" t="s">
        <v>134</v>
      </c>
      <c r="J318" s="6" t="s">
        <v>135</v>
      </c>
      <c r="K318" s="6" t="s">
        <v>18</v>
      </c>
      <c r="L318" s="6">
        <v>71083289</v>
      </c>
      <c r="M318" s="6" t="s">
        <v>79</v>
      </c>
      <c r="N318" s="6" t="s">
        <v>88</v>
      </c>
      <c r="O318" s="6">
        <v>173</v>
      </c>
      <c r="P318" s="6" t="s">
        <v>136</v>
      </c>
      <c r="Q318" s="6" t="s">
        <v>22</v>
      </c>
      <c r="R318" s="8" t="s">
        <v>1808</v>
      </c>
      <c r="S318" s="6" t="s">
        <v>3841</v>
      </c>
    </row>
    <row r="319" spans="1:19" ht="25.5" x14ac:dyDescent="0.25">
      <c r="A319" s="5" t="s">
        <v>3327</v>
      </c>
      <c r="B319" s="5">
        <v>318</v>
      </c>
      <c r="C319" s="6" t="s">
        <v>1915</v>
      </c>
      <c r="D319" s="6" t="s">
        <v>15</v>
      </c>
      <c r="E319" s="6">
        <v>13</v>
      </c>
      <c r="F319" s="6" t="s">
        <v>394</v>
      </c>
      <c r="G319" s="6">
        <v>573</v>
      </c>
      <c r="H319" s="6" t="s">
        <v>395</v>
      </c>
      <c r="I319" s="6" t="s">
        <v>408</v>
      </c>
      <c r="J319" s="6" t="s">
        <v>409</v>
      </c>
      <c r="K319" s="6" t="s">
        <v>18</v>
      </c>
      <c r="L319" s="6">
        <v>35602922</v>
      </c>
      <c r="M319" s="6" t="s">
        <v>50</v>
      </c>
      <c r="N319" s="6" t="s">
        <v>34</v>
      </c>
      <c r="O319" s="6">
        <v>215</v>
      </c>
      <c r="P319" s="6" t="s">
        <v>250</v>
      </c>
      <c r="Q319" s="6" t="s">
        <v>22</v>
      </c>
      <c r="R319" s="8" t="s">
        <v>1808</v>
      </c>
      <c r="S319" s="6"/>
    </row>
    <row r="320" spans="1:19" ht="25.5" x14ac:dyDescent="0.25">
      <c r="A320" s="5" t="s">
        <v>3327</v>
      </c>
      <c r="B320" s="5">
        <v>319</v>
      </c>
      <c r="C320" s="6" t="s">
        <v>2187</v>
      </c>
      <c r="D320" s="6" t="s">
        <v>15</v>
      </c>
      <c r="E320" s="6">
        <v>19</v>
      </c>
      <c r="F320" s="6" t="s">
        <v>137</v>
      </c>
      <c r="G320" s="6">
        <v>792</v>
      </c>
      <c r="H320" s="6" t="s">
        <v>138</v>
      </c>
      <c r="I320" s="6" t="s">
        <v>139</v>
      </c>
      <c r="J320" s="6" t="s">
        <v>140</v>
      </c>
      <c r="K320" s="6" t="s">
        <v>18</v>
      </c>
      <c r="L320" s="6">
        <v>11636824</v>
      </c>
      <c r="M320" s="6" t="s">
        <v>79</v>
      </c>
      <c r="N320" s="6" t="s">
        <v>88</v>
      </c>
      <c r="O320" s="6">
        <v>181</v>
      </c>
      <c r="P320" s="6" t="s">
        <v>98</v>
      </c>
      <c r="Q320" s="6" t="s">
        <v>22</v>
      </c>
      <c r="R320" s="8" t="s">
        <v>1808</v>
      </c>
      <c r="S320" s="6" t="s">
        <v>3841</v>
      </c>
    </row>
    <row r="321" spans="1:19" ht="25.5" x14ac:dyDescent="0.25">
      <c r="A321" s="5" t="s">
        <v>3327</v>
      </c>
      <c r="B321" s="5">
        <v>320</v>
      </c>
      <c r="C321" s="6" t="s">
        <v>1928</v>
      </c>
      <c r="D321" s="6" t="s">
        <v>15</v>
      </c>
      <c r="E321" s="6">
        <v>35</v>
      </c>
      <c r="F321" s="6" t="s">
        <v>534</v>
      </c>
      <c r="G321" s="6">
        <v>1287</v>
      </c>
      <c r="H321" s="6" t="s">
        <v>535</v>
      </c>
      <c r="I321" s="6" t="s">
        <v>536</v>
      </c>
      <c r="J321" s="6" t="s">
        <v>537</v>
      </c>
      <c r="K321" s="6" t="s">
        <v>18</v>
      </c>
      <c r="L321" s="6">
        <v>42752263</v>
      </c>
      <c r="M321" s="6" t="s">
        <v>538</v>
      </c>
      <c r="N321" s="6" t="s">
        <v>61</v>
      </c>
      <c r="O321" s="6">
        <v>93</v>
      </c>
      <c r="P321" s="6" t="s">
        <v>539</v>
      </c>
      <c r="Q321" s="6" t="s">
        <v>22</v>
      </c>
      <c r="R321" s="8" t="s">
        <v>1808</v>
      </c>
      <c r="S321" s="6"/>
    </row>
    <row r="322" spans="1:19" ht="25.5" x14ac:dyDescent="0.25">
      <c r="A322" s="5" t="s">
        <v>3327</v>
      </c>
      <c r="B322" s="5">
        <v>321</v>
      </c>
      <c r="C322" s="6" t="s">
        <v>2047</v>
      </c>
      <c r="D322" s="6" t="s">
        <v>15</v>
      </c>
      <c r="E322" s="6">
        <v>10</v>
      </c>
      <c r="F322" s="6" t="s">
        <v>187</v>
      </c>
      <c r="G322" s="6">
        <v>281</v>
      </c>
      <c r="H322" s="6" t="s">
        <v>188</v>
      </c>
      <c r="I322" s="6" t="s">
        <v>189</v>
      </c>
      <c r="J322" s="6" t="s">
        <v>190</v>
      </c>
      <c r="K322" s="6" t="s">
        <v>18</v>
      </c>
      <c r="L322" s="6">
        <v>71376588</v>
      </c>
      <c r="M322" s="6" t="s">
        <v>50</v>
      </c>
      <c r="N322" s="6" t="s">
        <v>34</v>
      </c>
      <c r="O322" s="6">
        <v>205</v>
      </c>
      <c r="P322" s="6" t="s">
        <v>191</v>
      </c>
      <c r="Q322" s="6" t="s">
        <v>22</v>
      </c>
      <c r="R322" s="8" t="s">
        <v>1808</v>
      </c>
      <c r="S322" s="6"/>
    </row>
    <row r="323" spans="1:19" ht="25.5" x14ac:dyDescent="0.25">
      <c r="A323" s="5" t="s">
        <v>3327</v>
      </c>
      <c r="B323" s="5">
        <v>322</v>
      </c>
      <c r="C323" s="6" t="s">
        <v>1814</v>
      </c>
      <c r="D323" s="6" t="s">
        <v>15</v>
      </c>
      <c r="E323" s="6">
        <v>10</v>
      </c>
      <c r="F323" s="6" t="s">
        <v>187</v>
      </c>
      <c r="G323" s="6">
        <v>281</v>
      </c>
      <c r="H323" s="6" t="s">
        <v>188</v>
      </c>
      <c r="I323" s="6" t="s">
        <v>192</v>
      </c>
      <c r="J323" s="6" t="s">
        <v>193</v>
      </c>
      <c r="K323" s="6" t="s">
        <v>18</v>
      </c>
      <c r="L323" s="6">
        <v>8103088</v>
      </c>
      <c r="M323" s="6" t="s">
        <v>50</v>
      </c>
      <c r="N323" s="6" t="s">
        <v>34</v>
      </c>
      <c r="O323" s="6">
        <v>205</v>
      </c>
      <c r="P323" s="6" t="s">
        <v>191</v>
      </c>
      <c r="Q323" s="6" t="s">
        <v>22</v>
      </c>
      <c r="R323" s="8" t="s">
        <v>1808</v>
      </c>
      <c r="S323" s="6"/>
    </row>
    <row r="324" spans="1:19" ht="25.5" x14ac:dyDescent="0.25">
      <c r="A324" s="5" t="s">
        <v>3327</v>
      </c>
      <c r="B324" s="5">
        <v>323</v>
      </c>
      <c r="C324" s="6" t="s">
        <v>1921</v>
      </c>
      <c r="D324" s="6" t="s">
        <v>15</v>
      </c>
      <c r="E324" s="6">
        <v>10</v>
      </c>
      <c r="F324" s="6" t="s">
        <v>187</v>
      </c>
      <c r="G324" s="6">
        <v>281</v>
      </c>
      <c r="H324" s="6" t="s">
        <v>188</v>
      </c>
      <c r="I324" s="6" t="s">
        <v>410</v>
      </c>
      <c r="J324" s="6" t="s">
        <v>411</v>
      </c>
      <c r="K324" s="6" t="s">
        <v>18</v>
      </c>
      <c r="L324" s="6">
        <v>39179363</v>
      </c>
      <c r="M324" s="6" t="s">
        <v>401</v>
      </c>
      <c r="N324" s="6" t="s">
        <v>34</v>
      </c>
      <c r="O324" s="6">
        <v>196</v>
      </c>
      <c r="P324" s="6" t="s">
        <v>412</v>
      </c>
      <c r="Q324" s="6" t="s">
        <v>22</v>
      </c>
      <c r="R324" s="8" t="s">
        <v>1808</v>
      </c>
      <c r="S324" s="6"/>
    </row>
    <row r="325" spans="1:19" ht="25.5" x14ac:dyDescent="0.25">
      <c r="A325" s="5" t="s">
        <v>3327</v>
      </c>
      <c r="B325" s="5">
        <v>324</v>
      </c>
      <c r="C325" s="6" t="s">
        <v>1985</v>
      </c>
      <c r="D325" s="6" t="s">
        <v>15</v>
      </c>
      <c r="E325" s="6">
        <v>17</v>
      </c>
      <c r="F325" s="6" t="s">
        <v>437</v>
      </c>
      <c r="G325" s="6">
        <v>527</v>
      </c>
      <c r="H325" s="6" t="s">
        <v>438</v>
      </c>
      <c r="I325" s="6" t="s">
        <v>439</v>
      </c>
      <c r="J325" s="6" t="s">
        <v>82</v>
      </c>
      <c r="K325" s="6" t="s">
        <v>18</v>
      </c>
      <c r="L325" s="6">
        <v>43071455</v>
      </c>
      <c r="M325" s="6" t="s">
        <v>19</v>
      </c>
      <c r="N325" s="6" t="s">
        <v>61</v>
      </c>
      <c r="O325" s="6">
        <v>118</v>
      </c>
      <c r="P325" s="6" t="s">
        <v>440</v>
      </c>
      <c r="Q325" s="6" t="s">
        <v>22</v>
      </c>
      <c r="R325" s="8" t="s">
        <v>1808</v>
      </c>
      <c r="S325" s="6"/>
    </row>
    <row r="326" spans="1:19" ht="25.5" x14ac:dyDescent="0.25">
      <c r="A326" s="5" t="s">
        <v>3327</v>
      </c>
      <c r="B326" s="5">
        <v>325</v>
      </c>
      <c r="C326" s="6" t="s">
        <v>2188</v>
      </c>
      <c r="D326" s="6" t="s">
        <v>15</v>
      </c>
      <c r="E326" s="6">
        <v>21</v>
      </c>
      <c r="F326" s="6" t="s">
        <v>141</v>
      </c>
      <c r="G326" s="6">
        <v>634</v>
      </c>
      <c r="H326" s="6" t="s">
        <v>142</v>
      </c>
      <c r="I326" s="6" t="s">
        <v>143</v>
      </c>
      <c r="J326" s="6" t="s">
        <v>144</v>
      </c>
      <c r="K326" s="6" t="s">
        <v>18</v>
      </c>
      <c r="L326" s="6">
        <v>43618511</v>
      </c>
      <c r="M326" s="6" t="s">
        <v>79</v>
      </c>
      <c r="N326" s="6" t="s">
        <v>88</v>
      </c>
      <c r="O326" s="6">
        <v>169</v>
      </c>
      <c r="P326" s="6" t="s">
        <v>103</v>
      </c>
      <c r="Q326" s="6" t="s">
        <v>22</v>
      </c>
      <c r="R326" s="8" t="s">
        <v>1808</v>
      </c>
      <c r="S326" s="6"/>
    </row>
    <row r="327" spans="1:19" ht="25.5" x14ac:dyDescent="0.25">
      <c r="A327" s="5" t="s">
        <v>3327</v>
      </c>
      <c r="B327" s="5">
        <v>326</v>
      </c>
      <c r="C327" s="6" t="s">
        <v>2189</v>
      </c>
      <c r="D327" s="6" t="s">
        <v>15</v>
      </c>
      <c r="E327" s="6">
        <v>29</v>
      </c>
      <c r="F327" s="6" t="s">
        <v>145</v>
      </c>
      <c r="G327" s="6">
        <v>793</v>
      </c>
      <c r="H327" s="6" t="s">
        <v>146</v>
      </c>
      <c r="I327" s="6" t="s">
        <v>147</v>
      </c>
      <c r="J327" s="6" t="s">
        <v>148</v>
      </c>
      <c r="K327" s="6" t="s">
        <v>18</v>
      </c>
      <c r="L327" s="6">
        <v>71729955</v>
      </c>
      <c r="M327" s="6" t="s">
        <v>79</v>
      </c>
      <c r="N327" s="6" t="s">
        <v>88</v>
      </c>
      <c r="O327" s="6">
        <v>155</v>
      </c>
      <c r="P327" s="6" t="s">
        <v>149</v>
      </c>
      <c r="Q327" s="6" t="s">
        <v>22</v>
      </c>
      <c r="R327" s="8" t="s">
        <v>1808</v>
      </c>
      <c r="S327" s="6"/>
    </row>
    <row r="328" spans="1:19" ht="25.5" x14ac:dyDescent="0.25">
      <c r="A328" s="5" t="s">
        <v>3327</v>
      </c>
      <c r="B328" s="5">
        <v>327</v>
      </c>
      <c r="C328" s="6" t="s">
        <v>2094</v>
      </c>
      <c r="D328" s="6" t="s">
        <v>15</v>
      </c>
      <c r="E328" s="6">
        <v>29</v>
      </c>
      <c r="F328" s="6" t="s">
        <v>145</v>
      </c>
      <c r="G328" s="6">
        <v>793</v>
      </c>
      <c r="H328" s="6" t="s">
        <v>146</v>
      </c>
      <c r="I328" s="6" t="s">
        <v>441</v>
      </c>
      <c r="J328" s="6" t="s">
        <v>55</v>
      </c>
      <c r="K328" s="6" t="s">
        <v>18</v>
      </c>
      <c r="L328" s="6">
        <v>98541049</v>
      </c>
      <c r="M328" s="6" t="s">
        <v>19</v>
      </c>
      <c r="N328" s="6" t="s">
        <v>61</v>
      </c>
      <c r="O328" s="6">
        <v>131</v>
      </c>
      <c r="P328" s="6" t="s">
        <v>424</v>
      </c>
      <c r="Q328" s="6" t="s">
        <v>22</v>
      </c>
      <c r="R328" s="8"/>
      <c r="S328" s="6" t="s">
        <v>3842</v>
      </c>
    </row>
    <row r="329" spans="1:19" ht="25.5" x14ac:dyDescent="0.25">
      <c r="A329" s="5" t="s">
        <v>3327</v>
      </c>
      <c r="B329" s="5">
        <v>328</v>
      </c>
      <c r="C329" s="6" t="s">
        <v>2122</v>
      </c>
      <c r="D329" s="6" t="s">
        <v>15</v>
      </c>
      <c r="E329" s="6">
        <v>33</v>
      </c>
      <c r="F329" s="6" t="s">
        <v>194</v>
      </c>
      <c r="G329" s="6">
        <v>953</v>
      </c>
      <c r="H329" s="6" t="s">
        <v>195</v>
      </c>
      <c r="I329" s="6" t="s">
        <v>196</v>
      </c>
      <c r="J329" s="6" t="s">
        <v>45</v>
      </c>
      <c r="K329" s="6" t="s">
        <v>18</v>
      </c>
      <c r="L329" s="6">
        <v>1128406337</v>
      </c>
      <c r="M329" s="6" t="s">
        <v>50</v>
      </c>
      <c r="N329" s="6" t="s">
        <v>34</v>
      </c>
      <c r="O329" s="6">
        <v>209</v>
      </c>
      <c r="P329" s="6" t="s">
        <v>197</v>
      </c>
      <c r="Q329" s="6" t="s">
        <v>22</v>
      </c>
      <c r="R329" s="8" t="s">
        <v>1808</v>
      </c>
      <c r="S329" s="6"/>
    </row>
    <row r="330" spans="1:19" ht="25.5" x14ac:dyDescent="0.25">
      <c r="A330" s="5" t="s">
        <v>3327</v>
      </c>
      <c r="B330" s="5">
        <v>329</v>
      </c>
      <c r="C330" s="6" t="s">
        <v>2106</v>
      </c>
      <c r="D330" s="6" t="s">
        <v>15</v>
      </c>
      <c r="E330" s="6">
        <v>33</v>
      </c>
      <c r="F330" s="6" t="s">
        <v>194</v>
      </c>
      <c r="G330" s="6">
        <v>953</v>
      </c>
      <c r="H330" s="6" t="s">
        <v>195</v>
      </c>
      <c r="I330" s="6" t="s">
        <v>198</v>
      </c>
      <c r="J330" s="6" t="s">
        <v>199</v>
      </c>
      <c r="K330" s="6" t="s">
        <v>18</v>
      </c>
      <c r="L330" s="6">
        <v>1020400779</v>
      </c>
      <c r="M330" s="6" t="s">
        <v>50</v>
      </c>
      <c r="N330" s="6" t="s">
        <v>34</v>
      </c>
      <c r="O330" s="6">
        <v>229</v>
      </c>
      <c r="P330" s="6" t="s">
        <v>200</v>
      </c>
      <c r="Q330" s="6" t="s">
        <v>22</v>
      </c>
      <c r="R330" s="8" t="s">
        <v>1808</v>
      </c>
      <c r="S330" s="6"/>
    </row>
    <row r="331" spans="1:19" ht="25.5" x14ac:dyDescent="0.25">
      <c r="A331" s="5" t="s">
        <v>3327</v>
      </c>
      <c r="B331" s="5">
        <v>330</v>
      </c>
      <c r="C331" s="6" t="s">
        <v>2101</v>
      </c>
      <c r="D331" s="6" t="s">
        <v>15</v>
      </c>
      <c r="E331" s="6">
        <v>44</v>
      </c>
      <c r="F331" s="6" t="s">
        <v>201</v>
      </c>
      <c r="G331" s="6">
        <v>1265</v>
      </c>
      <c r="H331" s="6" t="s">
        <v>202</v>
      </c>
      <c r="I331" s="6" t="s">
        <v>203</v>
      </c>
      <c r="J331" s="6" t="s">
        <v>204</v>
      </c>
      <c r="K331" s="6" t="s">
        <v>18</v>
      </c>
      <c r="L331" s="6">
        <v>98643134</v>
      </c>
      <c r="M331" s="6" t="s">
        <v>50</v>
      </c>
      <c r="N331" s="6" t="s">
        <v>34</v>
      </c>
      <c r="O331" s="6">
        <v>233</v>
      </c>
      <c r="P331" s="6" t="s">
        <v>205</v>
      </c>
      <c r="Q331" s="6" t="s">
        <v>22</v>
      </c>
      <c r="R331" s="8" t="s">
        <v>1808</v>
      </c>
      <c r="S331" s="6"/>
    </row>
    <row r="332" spans="1:19" ht="25.5" x14ac:dyDescent="0.25">
      <c r="A332" s="5" t="s">
        <v>3327</v>
      </c>
      <c r="B332" s="5">
        <v>331</v>
      </c>
      <c r="C332" s="6" t="s">
        <v>2062</v>
      </c>
      <c r="D332" s="6" t="s">
        <v>15</v>
      </c>
      <c r="E332" s="6">
        <v>47</v>
      </c>
      <c r="F332" s="6" t="s">
        <v>442</v>
      </c>
      <c r="G332" s="6">
        <v>1383</v>
      </c>
      <c r="H332" s="6" t="s">
        <v>443</v>
      </c>
      <c r="I332" s="6" t="s">
        <v>444</v>
      </c>
      <c r="J332" s="6" t="s">
        <v>445</v>
      </c>
      <c r="K332" s="6" t="s">
        <v>18</v>
      </c>
      <c r="L332" s="6">
        <v>71783219</v>
      </c>
      <c r="M332" s="6" t="s">
        <v>19</v>
      </c>
      <c r="N332" s="6" t="s">
        <v>446</v>
      </c>
      <c r="O332" s="6">
        <v>194</v>
      </c>
      <c r="P332" s="6" t="s">
        <v>447</v>
      </c>
      <c r="Q332" s="6" t="s">
        <v>22</v>
      </c>
      <c r="R332" s="8" t="s">
        <v>1808</v>
      </c>
      <c r="S332" s="6"/>
    </row>
    <row r="333" spans="1:19" ht="25.5" x14ac:dyDescent="0.25">
      <c r="A333" s="5" t="s">
        <v>3327</v>
      </c>
      <c r="B333" s="5">
        <v>332</v>
      </c>
      <c r="C333" s="6" t="s">
        <v>1923</v>
      </c>
      <c r="D333" s="6" t="s">
        <v>15</v>
      </c>
      <c r="E333" s="6">
        <v>52</v>
      </c>
      <c r="F333" s="6" t="s">
        <v>206</v>
      </c>
      <c r="G333" s="6">
        <v>1541</v>
      </c>
      <c r="H333" s="6" t="s">
        <v>207</v>
      </c>
      <c r="I333" s="6" t="s">
        <v>208</v>
      </c>
      <c r="J333" s="6" t="s">
        <v>209</v>
      </c>
      <c r="K333" s="6" t="s">
        <v>18</v>
      </c>
      <c r="L333" s="6">
        <v>39287075</v>
      </c>
      <c r="M333" s="6" t="s">
        <v>50</v>
      </c>
      <c r="N333" s="6" t="s">
        <v>34</v>
      </c>
      <c r="O333" s="6">
        <v>229</v>
      </c>
      <c r="P333" s="6" t="s">
        <v>200</v>
      </c>
      <c r="Q333" s="6" t="s">
        <v>22</v>
      </c>
      <c r="R333" s="8" t="s">
        <v>1808</v>
      </c>
      <c r="S333" s="6"/>
    </row>
    <row r="334" spans="1:19" ht="25.5" x14ac:dyDescent="0.25">
      <c r="A334" s="5" t="s">
        <v>3327</v>
      </c>
      <c r="B334" s="5">
        <v>333</v>
      </c>
      <c r="C334" s="6" t="s">
        <v>2123</v>
      </c>
      <c r="D334" s="6" t="s">
        <v>15</v>
      </c>
      <c r="E334" s="6">
        <v>52</v>
      </c>
      <c r="F334" s="6" t="s">
        <v>206</v>
      </c>
      <c r="G334" s="6">
        <v>1541</v>
      </c>
      <c r="H334" s="6" t="s">
        <v>207</v>
      </c>
      <c r="I334" s="6" t="s">
        <v>210</v>
      </c>
      <c r="J334" s="6" t="s">
        <v>211</v>
      </c>
      <c r="K334" s="6" t="s">
        <v>18</v>
      </c>
      <c r="L334" s="6">
        <v>1128414219</v>
      </c>
      <c r="M334" s="6" t="s">
        <v>50</v>
      </c>
      <c r="N334" s="6" t="s">
        <v>34</v>
      </c>
      <c r="O334" s="6">
        <v>222</v>
      </c>
      <c r="P334" s="6" t="s">
        <v>212</v>
      </c>
      <c r="Q334" s="6" t="s">
        <v>22</v>
      </c>
      <c r="R334" s="8" t="s">
        <v>1808</v>
      </c>
      <c r="S334" s="6"/>
    </row>
    <row r="335" spans="1:19" ht="25.5" x14ac:dyDescent="0.25">
      <c r="A335" s="5" t="s">
        <v>3327</v>
      </c>
      <c r="B335" s="5">
        <v>334</v>
      </c>
      <c r="C335" s="6" t="s">
        <v>2190</v>
      </c>
      <c r="D335" s="6" t="s">
        <v>15</v>
      </c>
      <c r="E335" s="6">
        <v>26</v>
      </c>
      <c r="F335" s="6" t="s">
        <v>150</v>
      </c>
      <c r="G335" s="6">
        <v>652</v>
      </c>
      <c r="H335" s="6" t="s">
        <v>151</v>
      </c>
      <c r="I335" s="6" t="s">
        <v>152</v>
      </c>
      <c r="J335" s="6" t="s">
        <v>153</v>
      </c>
      <c r="K335" s="6" t="s">
        <v>18</v>
      </c>
      <c r="L335" s="6">
        <v>43433140</v>
      </c>
      <c r="M335" s="6" t="s">
        <v>79</v>
      </c>
      <c r="N335" s="6" t="s">
        <v>88</v>
      </c>
      <c r="O335" s="6">
        <v>138</v>
      </c>
      <c r="P335" s="6" t="s">
        <v>154</v>
      </c>
      <c r="Q335" s="6" t="s">
        <v>22</v>
      </c>
      <c r="R335" s="8" t="s">
        <v>1808</v>
      </c>
      <c r="S335" s="6" t="s">
        <v>3841</v>
      </c>
    </row>
    <row r="336" spans="1:19" ht="25.5" x14ac:dyDescent="0.25">
      <c r="A336" s="5" t="s">
        <v>3327</v>
      </c>
      <c r="B336" s="5">
        <v>335</v>
      </c>
      <c r="C336" s="6" t="s">
        <v>2044</v>
      </c>
      <c r="D336" s="6" t="s">
        <v>15</v>
      </c>
      <c r="E336" s="6">
        <v>30</v>
      </c>
      <c r="F336" s="6" t="s">
        <v>155</v>
      </c>
      <c r="G336" s="6">
        <v>855</v>
      </c>
      <c r="H336" s="6" t="s">
        <v>156</v>
      </c>
      <c r="I336" s="6" t="s">
        <v>213</v>
      </c>
      <c r="J336" s="6" t="s">
        <v>214</v>
      </c>
      <c r="K336" s="6" t="s">
        <v>18</v>
      </c>
      <c r="L336" s="6">
        <v>70878707</v>
      </c>
      <c r="M336" s="6" t="s">
        <v>50</v>
      </c>
      <c r="N336" s="6" t="s">
        <v>34</v>
      </c>
      <c r="O336" s="6">
        <v>205</v>
      </c>
      <c r="P336" s="6" t="s">
        <v>191</v>
      </c>
      <c r="Q336" s="6" t="s">
        <v>22</v>
      </c>
      <c r="R336" s="8" t="s">
        <v>1808</v>
      </c>
      <c r="S336" s="6"/>
    </row>
    <row r="337" spans="1:19" ht="25.5" x14ac:dyDescent="0.25">
      <c r="A337" s="5" t="s">
        <v>3327</v>
      </c>
      <c r="B337" s="5">
        <v>336</v>
      </c>
      <c r="C337" s="6" t="s">
        <v>2191</v>
      </c>
      <c r="D337" s="6" t="s">
        <v>15</v>
      </c>
      <c r="E337" s="6">
        <v>30</v>
      </c>
      <c r="F337" s="6" t="s">
        <v>155</v>
      </c>
      <c r="G337" s="6">
        <v>855</v>
      </c>
      <c r="H337" s="6" t="s">
        <v>156</v>
      </c>
      <c r="I337" s="6" t="s">
        <v>157</v>
      </c>
      <c r="J337" s="6" t="s">
        <v>158</v>
      </c>
      <c r="K337" s="6" t="s">
        <v>18</v>
      </c>
      <c r="L337" s="6">
        <v>71762324</v>
      </c>
      <c r="M337" s="6" t="s">
        <v>79</v>
      </c>
      <c r="N337" s="6" t="s">
        <v>34</v>
      </c>
      <c r="O337" s="6">
        <v>191</v>
      </c>
      <c r="P337" s="6" t="s">
        <v>159</v>
      </c>
      <c r="Q337" s="6" t="s">
        <v>22</v>
      </c>
      <c r="R337" s="8" t="s">
        <v>1808</v>
      </c>
      <c r="S337" s="6"/>
    </row>
    <row r="338" spans="1:19" ht="25.5" x14ac:dyDescent="0.25">
      <c r="A338" s="5" t="s">
        <v>3327</v>
      </c>
      <c r="B338" s="5">
        <v>337</v>
      </c>
      <c r="C338" s="6" t="s">
        <v>2015</v>
      </c>
      <c r="D338" s="6" t="s">
        <v>15</v>
      </c>
      <c r="E338" s="6">
        <v>37</v>
      </c>
      <c r="F338" s="6" t="s">
        <v>448</v>
      </c>
      <c r="G338" s="6">
        <v>1057</v>
      </c>
      <c r="H338" s="6" t="s">
        <v>449</v>
      </c>
      <c r="I338" s="6" t="s">
        <v>450</v>
      </c>
      <c r="J338" s="6" t="s">
        <v>451</v>
      </c>
      <c r="K338" s="6" t="s">
        <v>18</v>
      </c>
      <c r="L338" s="6">
        <v>43748521</v>
      </c>
      <c r="M338" s="6" t="s">
        <v>19</v>
      </c>
      <c r="N338" s="6" t="s">
        <v>446</v>
      </c>
      <c r="O338" s="6">
        <v>194</v>
      </c>
      <c r="P338" s="6" t="s">
        <v>447</v>
      </c>
      <c r="Q338" s="6" t="s">
        <v>22</v>
      </c>
      <c r="R338" s="8" t="s">
        <v>1808</v>
      </c>
      <c r="S338" s="6"/>
    </row>
    <row r="339" spans="1:19" ht="25.5" x14ac:dyDescent="0.25">
      <c r="A339" s="5" t="s">
        <v>3327</v>
      </c>
      <c r="B339" s="5">
        <v>338</v>
      </c>
      <c r="C339" s="6" t="s">
        <v>2061</v>
      </c>
      <c r="D339" s="6" t="s">
        <v>15</v>
      </c>
      <c r="E339" s="6">
        <v>77</v>
      </c>
      <c r="F339" s="6" t="s">
        <v>452</v>
      </c>
      <c r="G339" s="6">
        <v>1879</v>
      </c>
      <c r="H339" s="6" t="s">
        <v>215</v>
      </c>
      <c r="I339" s="6" t="s">
        <v>453</v>
      </c>
      <c r="J339" s="6" t="s">
        <v>454</v>
      </c>
      <c r="K339" s="6" t="s">
        <v>18</v>
      </c>
      <c r="L339" s="6">
        <v>71738169</v>
      </c>
      <c r="M339" s="6" t="s">
        <v>19</v>
      </c>
      <c r="N339" s="6" t="s">
        <v>446</v>
      </c>
      <c r="O339" s="6">
        <v>233</v>
      </c>
      <c r="P339" s="6" t="s">
        <v>455</v>
      </c>
      <c r="Q339" s="6" t="s">
        <v>22</v>
      </c>
      <c r="R339" s="8" t="s">
        <v>1808</v>
      </c>
      <c r="S339" s="6"/>
    </row>
    <row r="340" spans="1:19" ht="25.5" x14ac:dyDescent="0.25">
      <c r="A340" s="5" t="s">
        <v>3327</v>
      </c>
      <c r="B340" s="5">
        <v>339</v>
      </c>
      <c r="C340" s="6" t="s">
        <v>2063</v>
      </c>
      <c r="D340" s="6" t="s">
        <v>15</v>
      </c>
      <c r="E340" s="6">
        <v>81</v>
      </c>
      <c r="F340" s="6" t="s">
        <v>215</v>
      </c>
      <c r="G340" s="6">
        <v>1957</v>
      </c>
      <c r="H340" s="6" t="s">
        <v>216</v>
      </c>
      <c r="I340" s="6" t="s">
        <v>217</v>
      </c>
      <c r="J340" s="6" t="s">
        <v>218</v>
      </c>
      <c r="K340" s="6" t="s">
        <v>18</v>
      </c>
      <c r="L340" s="6">
        <v>71799321</v>
      </c>
      <c r="M340" s="6" t="s">
        <v>50</v>
      </c>
      <c r="N340" s="6" t="s">
        <v>34</v>
      </c>
      <c r="O340" s="6">
        <v>235</v>
      </c>
      <c r="P340" s="6" t="s">
        <v>195</v>
      </c>
      <c r="Q340" s="6" t="s">
        <v>22</v>
      </c>
      <c r="R340" s="8" t="s">
        <v>1808</v>
      </c>
      <c r="S340" s="6"/>
    </row>
    <row r="341" spans="1:19" ht="25.5" x14ac:dyDescent="0.25">
      <c r="A341" s="5" t="s">
        <v>3327</v>
      </c>
      <c r="B341" s="5">
        <v>340</v>
      </c>
      <c r="C341" s="6" t="s">
        <v>2050</v>
      </c>
      <c r="D341" s="6" t="s">
        <v>15</v>
      </c>
      <c r="E341" s="6">
        <v>22</v>
      </c>
      <c r="F341" s="6" t="s">
        <v>219</v>
      </c>
      <c r="G341" s="6">
        <v>614</v>
      </c>
      <c r="H341" s="6" t="s">
        <v>220</v>
      </c>
      <c r="I341" s="6" t="s">
        <v>540</v>
      </c>
      <c r="J341" s="6" t="s">
        <v>541</v>
      </c>
      <c r="K341" s="6" t="s">
        <v>18</v>
      </c>
      <c r="L341" s="6">
        <v>71624122</v>
      </c>
      <c r="M341" s="6" t="s">
        <v>30</v>
      </c>
      <c r="N341" s="6" t="s">
        <v>27</v>
      </c>
      <c r="O341" s="6">
        <v>2</v>
      </c>
      <c r="P341" s="6" t="s">
        <v>542</v>
      </c>
      <c r="Q341" s="6" t="s">
        <v>22</v>
      </c>
      <c r="R341" s="8" t="s">
        <v>1808</v>
      </c>
      <c r="S341" s="6"/>
    </row>
    <row r="342" spans="1:19" ht="25.5" x14ac:dyDescent="0.25">
      <c r="A342" s="5" t="s">
        <v>3327</v>
      </c>
      <c r="B342" s="5">
        <v>341</v>
      </c>
      <c r="C342" s="6" t="s">
        <v>2105</v>
      </c>
      <c r="D342" s="6" t="s">
        <v>15</v>
      </c>
      <c r="E342" s="6">
        <v>22</v>
      </c>
      <c r="F342" s="6" t="s">
        <v>219</v>
      </c>
      <c r="G342" s="6">
        <v>614</v>
      </c>
      <c r="H342" s="6" t="s">
        <v>220</v>
      </c>
      <c r="I342" s="6" t="s">
        <v>221</v>
      </c>
      <c r="J342" s="6" t="s">
        <v>222</v>
      </c>
      <c r="K342" s="6" t="s">
        <v>18</v>
      </c>
      <c r="L342" s="6">
        <v>1017198820</v>
      </c>
      <c r="M342" s="6" t="s">
        <v>50</v>
      </c>
      <c r="N342" s="6" t="s">
        <v>34</v>
      </c>
      <c r="O342" s="6">
        <v>245</v>
      </c>
      <c r="P342" s="6" t="s">
        <v>223</v>
      </c>
      <c r="Q342" s="6" t="s">
        <v>22</v>
      </c>
      <c r="R342" s="8" t="s">
        <v>1808</v>
      </c>
      <c r="S342" s="6"/>
    </row>
    <row r="343" spans="1:19" ht="25.5" x14ac:dyDescent="0.25">
      <c r="A343" s="5" t="s">
        <v>3327</v>
      </c>
      <c r="B343" s="5">
        <v>342</v>
      </c>
      <c r="C343" s="6" t="s">
        <v>1938</v>
      </c>
      <c r="D343" s="6" t="s">
        <v>15</v>
      </c>
      <c r="E343" s="6">
        <v>28</v>
      </c>
      <c r="F343" s="6" t="s">
        <v>163</v>
      </c>
      <c r="G343" s="6">
        <v>798</v>
      </c>
      <c r="H343" s="6" t="s">
        <v>164</v>
      </c>
      <c r="I343" s="6" t="s">
        <v>456</v>
      </c>
      <c r="J343" s="6" t="s">
        <v>85</v>
      </c>
      <c r="K343" s="6" t="s">
        <v>18</v>
      </c>
      <c r="L343" s="6">
        <v>42796788</v>
      </c>
      <c r="M343" s="6" t="s">
        <v>19</v>
      </c>
      <c r="N343" s="6" t="s">
        <v>61</v>
      </c>
      <c r="O343" s="6">
        <v>107</v>
      </c>
      <c r="P343" s="6" t="s">
        <v>457</v>
      </c>
      <c r="Q343" s="6" t="s">
        <v>22</v>
      </c>
      <c r="R343" s="8" t="s">
        <v>1808</v>
      </c>
      <c r="S343" s="6"/>
    </row>
    <row r="344" spans="1:19" ht="25.5" x14ac:dyDescent="0.25">
      <c r="A344" s="5" t="s">
        <v>3327</v>
      </c>
      <c r="B344" s="5">
        <v>343</v>
      </c>
      <c r="C344" s="6" t="s">
        <v>1847</v>
      </c>
      <c r="D344" s="6" t="s">
        <v>15</v>
      </c>
      <c r="E344" s="6">
        <v>37</v>
      </c>
      <c r="F344" s="6" t="s">
        <v>458</v>
      </c>
      <c r="G344" s="6">
        <v>1038</v>
      </c>
      <c r="H344" s="6" t="s">
        <v>459</v>
      </c>
      <c r="I344" s="6" t="s">
        <v>460</v>
      </c>
      <c r="J344" s="6" t="s">
        <v>461</v>
      </c>
      <c r="K344" s="6" t="s">
        <v>18</v>
      </c>
      <c r="L344" s="6">
        <v>15425437</v>
      </c>
      <c r="M344" s="6" t="s">
        <v>19</v>
      </c>
      <c r="N344" s="6" t="s">
        <v>27</v>
      </c>
      <c r="O344" s="6">
        <v>9</v>
      </c>
      <c r="P344" s="6" t="s">
        <v>462</v>
      </c>
      <c r="Q344" s="6" t="s">
        <v>22</v>
      </c>
      <c r="R344" s="8" t="s">
        <v>1808</v>
      </c>
      <c r="S344" s="6"/>
    </row>
    <row r="345" spans="1:19" ht="25.5" x14ac:dyDescent="0.25">
      <c r="A345" s="5" t="s">
        <v>3327</v>
      </c>
      <c r="B345" s="5">
        <v>344</v>
      </c>
      <c r="C345" s="6" t="s">
        <v>2289</v>
      </c>
      <c r="D345" s="6" t="s">
        <v>15</v>
      </c>
      <c r="E345" s="6">
        <v>53</v>
      </c>
      <c r="F345" s="6" t="s">
        <v>165</v>
      </c>
      <c r="G345" s="6">
        <v>1407</v>
      </c>
      <c r="H345" s="6" t="s">
        <v>166</v>
      </c>
      <c r="I345" s="6" t="s">
        <v>388</v>
      </c>
      <c r="J345" s="6" t="s">
        <v>35</v>
      </c>
      <c r="K345" s="6" t="s">
        <v>18</v>
      </c>
      <c r="L345" s="6">
        <v>42878387</v>
      </c>
      <c r="M345" s="6" t="s">
        <v>377</v>
      </c>
      <c r="N345" s="6" t="s">
        <v>27</v>
      </c>
      <c r="O345" s="6">
        <v>1</v>
      </c>
      <c r="P345" s="6" t="s">
        <v>378</v>
      </c>
      <c r="Q345" s="6" t="s">
        <v>22</v>
      </c>
      <c r="R345" s="8" t="s">
        <v>1808</v>
      </c>
      <c r="S345" s="6" t="s">
        <v>3843</v>
      </c>
    </row>
    <row r="346" spans="1:19" ht="25.5" x14ac:dyDescent="0.25">
      <c r="A346" s="5" t="s">
        <v>3327</v>
      </c>
      <c r="B346" s="5">
        <v>345</v>
      </c>
      <c r="C346" s="6" t="s">
        <v>2104</v>
      </c>
      <c r="D346" s="6" t="s">
        <v>15</v>
      </c>
      <c r="E346" s="6">
        <v>73</v>
      </c>
      <c r="F346" s="6" t="s">
        <v>224</v>
      </c>
      <c r="G346" s="6">
        <v>1824</v>
      </c>
      <c r="H346" s="6" t="s">
        <v>225</v>
      </c>
      <c r="I346" s="6" t="s">
        <v>226</v>
      </c>
      <c r="J346" s="6" t="s">
        <v>227</v>
      </c>
      <c r="K346" s="6" t="s">
        <v>18</v>
      </c>
      <c r="L346" s="6">
        <v>1017149269</v>
      </c>
      <c r="M346" s="6" t="s">
        <v>50</v>
      </c>
      <c r="N346" s="6" t="s">
        <v>34</v>
      </c>
      <c r="O346" s="6">
        <v>239</v>
      </c>
      <c r="P346" s="6" t="s">
        <v>228</v>
      </c>
      <c r="Q346" s="6" t="s">
        <v>22</v>
      </c>
      <c r="R346" s="8" t="s">
        <v>1808</v>
      </c>
      <c r="S346" s="6"/>
    </row>
    <row r="347" spans="1:19" ht="25.5" x14ac:dyDescent="0.25">
      <c r="A347" s="5" t="s">
        <v>3327</v>
      </c>
      <c r="B347" s="5">
        <v>346</v>
      </c>
      <c r="C347" s="6" t="s">
        <v>2325</v>
      </c>
      <c r="D347" s="6" t="s">
        <v>15</v>
      </c>
      <c r="E347" s="6">
        <v>81</v>
      </c>
      <c r="F347" s="6" t="s">
        <v>512</v>
      </c>
      <c r="G347" s="6">
        <v>1986</v>
      </c>
      <c r="H347" s="6" t="s">
        <v>513</v>
      </c>
      <c r="I347" s="6" t="s">
        <v>514</v>
      </c>
      <c r="J347" s="6" t="s">
        <v>48</v>
      </c>
      <c r="K347" s="6" t="s">
        <v>18</v>
      </c>
      <c r="L347" s="6">
        <v>32544960</v>
      </c>
      <c r="M347" s="6" t="s">
        <v>502</v>
      </c>
      <c r="N347" s="6" t="s">
        <v>503</v>
      </c>
      <c r="O347" s="6">
        <v>16</v>
      </c>
      <c r="P347" s="6" t="s">
        <v>515</v>
      </c>
      <c r="Q347" s="6" t="s">
        <v>22</v>
      </c>
      <c r="R347" s="8" t="s">
        <v>1808</v>
      </c>
      <c r="S347" s="6" t="s">
        <v>3844</v>
      </c>
    </row>
    <row r="348" spans="1:19" ht="25.5" x14ac:dyDescent="0.25">
      <c r="A348" s="5" t="s">
        <v>3327</v>
      </c>
      <c r="B348" s="5">
        <v>347</v>
      </c>
      <c r="C348" s="6" t="s">
        <v>2045</v>
      </c>
      <c r="D348" s="6" t="s">
        <v>15</v>
      </c>
      <c r="E348" s="6">
        <v>94</v>
      </c>
      <c r="F348" s="6" t="s">
        <v>229</v>
      </c>
      <c r="G348" s="6">
        <v>2273</v>
      </c>
      <c r="H348" s="6" t="s">
        <v>230</v>
      </c>
      <c r="I348" s="6" t="s">
        <v>231</v>
      </c>
      <c r="J348" s="6" t="s">
        <v>232</v>
      </c>
      <c r="K348" s="6" t="s">
        <v>18</v>
      </c>
      <c r="L348" s="6">
        <v>71290664</v>
      </c>
      <c r="M348" s="6" t="s">
        <v>50</v>
      </c>
      <c r="N348" s="6" t="s">
        <v>34</v>
      </c>
      <c r="O348" s="6">
        <v>216</v>
      </c>
      <c r="P348" s="6" t="s">
        <v>233</v>
      </c>
      <c r="Q348" s="6" t="s">
        <v>22</v>
      </c>
      <c r="R348" s="8" t="s">
        <v>1808</v>
      </c>
      <c r="S348" s="6"/>
    </row>
    <row r="349" spans="1:19" ht="25.5" x14ac:dyDescent="0.25">
      <c r="A349" s="5" t="s">
        <v>3327</v>
      </c>
      <c r="B349" s="5">
        <v>348</v>
      </c>
      <c r="C349" s="6" t="s">
        <v>2005</v>
      </c>
      <c r="D349" s="6" t="s">
        <v>15</v>
      </c>
      <c r="E349" s="6">
        <v>3</v>
      </c>
      <c r="F349" s="6" t="s">
        <v>463</v>
      </c>
      <c r="G349" s="6">
        <v>91</v>
      </c>
      <c r="H349" s="6" t="s">
        <v>464</v>
      </c>
      <c r="I349" s="6" t="s">
        <v>465</v>
      </c>
      <c r="J349" s="6" t="s">
        <v>466</v>
      </c>
      <c r="K349" s="6" t="s">
        <v>18</v>
      </c>
      <c r="L349" s="6">
        <v>43534987</v>
      </c>
      <c r="M349" s="6" t="s">
        <v>19</v>
      </c>
      <c r="N349" s="6" t="s">
        <v>61</v>
      </c>
      <c r="O349" s="6">
        <v>140</v>
      </c>
      <c r="P349" s="6" t="s">
        <v>467</v>
      </c>
      <c r="Q349" s="6" t="s">
        <v>22</v>
      </c>
      <c r="R349" s="8" t="s">
        <v>1808</v>
      </c>
      <c r="S349" s="6"/>
    </row>
    <row r="350" spans="1:19" ht="25.5" x14ac:dyDescent="0.25">
      <c r="A350" s="5" t="s">
        <v>3327</v>
      </c>
      <c r="B350" s="5">
        <v>349</v>
      </c>
      <c r="C350" s="6" t="s">
        <v>2011</v>
      </c>
      <c r="D350" s="6" t="s">
        <v>15</v>
      </c>
      <c r="E350" s="6">
        <v>7</v>
      </c>
      <c r="F350" s="6" t="s">
        <v>468</v>
      </c>
      <c r="G350" s="6">
        <v>180</v>
      </c>
      <c r="H350" s="6" t="s">
        <v>469</v>
      </c>
      <c r="I350" s="6" t="s">
        <v>470</v>
      </c>
      <c r="J350" s="6" t="s">
        <v>52</v>
      </c>
      <c r="K350" s="6" t="s">
        <v>18</v>
      </c>
      <c r="L350" s="6">
        <v>43677337</v>
      </c>
      <c r="M350" s="6" t="s">
        <v>19</v>
      </c>
      <c r="N350" s="6" t="s">
        <v>446</v>
      </c>
      <c r="O350" s="6">
        <v>166</v>
      </c>
      <c r="P350" s="6" t="s">
        <v>417</v>
      </c>
      <c r="Q350" s="6" t="s">
        <v>22</v>
      </c>
      <c r="R350" s="8" t="s">
        <v>1808</v>
      </c>
      <c r="S350" s="6"/>
    </row>
    <row r="351" spans="1:19" ht="25.5" x14ac:dyDescent="0.25">
      <c r="A351" s="5" t="s">
        <v>3327</v>
      </c>
      <c r="B351" s="5">
        <v>350</v>
      </c>
      <c r="C351" s="6" t="s">
        <v>1998</v>
      </c>
      <c r="D351" s="6" t="s">
        <v>15</v>
      </c>
      <c r="E351" s="6">
        <v>11</v>
      </c>
      <c r="F351" s="6" t="s">
        <v>1809</v>
      </c>
      <c r="G351" s="6">
        <v>269</v>
      </c>
      <c r="H351" s="6" t="s">
        <v>734</v>
      </c>
      <c r="I351" s="6" t="s">
        <v>3301</v>
      </c>
      <c r="J351" s="6" t="s">
        <v>3302</v>
      </c>
      <c r="K351" s="6" t="s">
        <v>18</v>
      </c>
      <c r="L351" s="6">
        <v>43210515</v>
      </c>
      <c r="M351" s="6" t="s">
        <v>3303</v>
      </c>
      <c r="N351" s="6" t="s">
        <v>446</v>
      </c>
      <c r="O351" s="6">
        <v>307</v>
      </c>
      <c r="P351" s="6" t="s">
        <v>3304</v>
      </c>
      <c r="Q351" s="6" t="s">
        <v>22</v>
      </c>
      <c r="R351" s="8" t="s">
        <v>1808</v>
      </c>
      <c r="S351" s="6"/>
    </row>
    <row r="352" spans="1:19" ht="25.5" x14ac:dyDescent="0.25">
      <c r="A352" s="5" t="s">
        <v>3327</v>
      </c>
      <c r="B352" s="5">
        <v>351</v>
      </c>
      <c r="C352" s="6" t="s">
        <v>2128</v>
      </c>
      <c r="D352" s="6" t="s">
        <v>15</v>
      </c>
      <c r="E352" s="6">
        <v>28</v>
      </c>
      <c r="F352" s="6" t="s">
        <v>234</v>
      </c>
      <c r="G352" s="6">
        <v>609</v>
      </c>
      <c r="H352" s="6" t="s">
        <v>235</v>
      </c>
      <c r="I352" s="6" t="s">
        <v>236</v>
      </c>
      <c r="J352" s="6" t="s">
        <v>48</v>
      </c>
      <c r="K352" s="6" t="s">
        <v>18</v>
      </c>
      <c r="L352" s="6">
        <v>1152197951</v>
      </c>
      <c r="M352" s="6" t="s">
        <v>178</v>
      </c>
      <c r="N352" s="6" t="s">
        <v>34</v>
      </c>
      <c r="O352" s="6">
        <v>252</v>
      </c>
      <c r="P352" s="6" t="s">
        <v>238</v>
      </c>
      <c r="Q352" s="6" t="s">
        <v>22</v>
      </c>
      <c r="R352" s="8" t="s">
        <v>1808</v>
      </c>
      <c r="S352" s="6" t="s">
        <v>3845</v>
      </c>
    </row>
    <row r="353" spans="1:19" ht="25.5" x14ac:dyDescent="0.25">
      <c r="A353" s="5" t="s">
        <v>3327</v>
      </c>
      <c r="B353" s="5">
        <v>352</v>
      </c>
      <c r="C353" s="6" t="s">
        <v>2205</v>
      </c>
      <c r="D353" s="6" t="s">
        <v>15</v>
      </c>
      <c r="E353" s="6">
        <v>28</v>
      </c>
      <c r="F353" s="6" t="s">
        <v>234</v>
      </c>
      <c r="G353" s="6">
        <v>609</v>
      </c>
      <c r="H353" s="6" t="s">
        <v>235</v>
      </c>
      <c r="I353" s="6" t="s">
        <v>267</v>
      </c>
      <c r="J353" s="6" t="s">
        <v>268</v>
      </c>
      <c r="K353" s="6" t="s">
        <v>18</v>
      </c>
      <c r="L353" s="6">
        <v>71005715</v>
      </c>
      <c r="M353" s="6" t="s">
        <v>269</v>
      </c>
      <c r="N353" s="6" t="s">
        <v>270</v>
      </c>
      <c r="O353" s="6">
        <v>2401893</v>
      </c>
      <c r="P353" s="6" t="s">
        <v>271</v>
      </c>
      <c r="Q353" s="6" t="s">
        <v>22</v>
      </c>
      <c r="R353" s="8" t="s">
        <v>1808</v>
      </c>
      <c r="S353" s="6"/>
    </row>
    <row r="354" spans="1:19" ht="25.5" x14ac:dyDescent="0.25">
      <c r="A354" s="5" t="s">
        <v>3327</v>
      </c>
      <c r="B354" s="5">
        <v>353</v>
      </c>
      <c r="C354" s="6" t="s">
        <v>2124</v>
      </c>
      <c r="D354" s="6" t="s">
        <v>15</v>
      </c>
      <c r="E354" s="6">
        <v>40</v>
      </c>
      <c r="F354" s="6" t="s">
        <v>239</v>
      </c>
      <c r="G354" s="6">
        <v>884</v>
      </c>
      <c r="H354" s="6" t="s">
        <v>240</v>
      </c>
      <c r="I354" s="6" t="s">
        <v>241</v>
      </c>
      <c r="J354" s="6" t="s">
        <v>242</v>
      </c>
      <c r="K354" s="6" t="s">
        <v>18</v>
      </c>
      <c r="L354" s="6">
        <v>1128433751</v>
      </c>
      <c r="M354" s="6" t="s">
        <v>237</v>
      </c>
      <c r="N354" s="6" t="s">
        <v>34</v>
      </c>
      <c r="O354" s="6">
        <v>233</v>
      </c>
      <c r="P354" s="6" t="s">
        <v>205</v>
      </c>
      <c r="Q354" s="6" t="s">
        <v>22</v>
      </c>
      <c r="R354" s="8" t="s">
        <v>1808</v>
      </c>
      <c r="S354" s="6"/>
    </row>
    <row r="355" spans="1:19" ht="25.5" x14ac:dyDescent="0.25">
      <c r="A355" s="5" t="s">
        <v>3327</v>
      </c>
      <c r="B355" s="5">
        <v>354</v>
      </c>
      <c r="C355" s="6" t="s">
        <v>2206</v>
      </c>
      <c r="D355" s="6" t="s">
        <v>15</v>
      </c>
      <c r="E355" s="6">
        <v>40</v>
      </c>
      <c r="F355" s="6" t="s">
        <v>239</v>
      </c>
      <c r="G355" s="6">
        <v>884</v>
      </c>
      <c r="H355" s="6" t="s">
        <v>240</v>
      </c>
      <c r="I355" s="6" t="s">
        <v>272</v>
      </c>
      <c r="J355" s="6" t="s">
        <v>264</v>
      </c>
      <c r="K355" s="6" t="s">
        <v>18</v>
      </c>
      <c r="L355" s="6">
        <v>1037071322</v>
      </c>
      <c r="M355" s="6" t="s">
        <v>269</v>
      </c>
      <c r="N355" s="6" t="s">
        <v>270</v>
      </c>
      <c r="O355" s="6">
        <v>2402044</v>
      </c>
      <c r="P355" s="6" t="s">
        <v>271</v>
      </c>
      <c r="Q355" s="6" t="s">
        <v>22</v>
      </c>
      <c r="R355" s="8" t="s">
        <v>1808</v>
      </c>
      <c r="S355" s="6"/>
    </row>
    <row r="356" spans="1:19" ht="25.5" x14ac:dyDescent="0.25">
      <c r="A356" s="5" t="s">
        <v>3327</v>
      </c>
      <c r="B356" s="5">
        <v>355</v>
      </c>
      <c r="C356" s="6" t="s">
        <v>2107</v>
      </c>
      <c r="D356" s="6" t="s">
        <v>15</v>
      </c>
      <c r="E356" s="6">
        <v>40</v>
      </c>
      <c r="F356" s="6" t="s">
        <v>239</v>
      </c>
      <c r="G356" s="6">
        <v>884</v>
      </c>
      <c r="H356" s="6" t="s">
        <v>240</v>
      </c>
      <c r="I356" s="6" t="s">
        <v>243</v>
      </c>
      <c r="J356" s="6" t="s">
        <v>244</v>
      </c>
      <c r="K356" s="6" t="s">
        <v>18</v>
      </c>
      <c r="L356" s="6">
        <v>1040740341</v>
      </c>
      <c r="M356" s="6" t="s">
        <v>237</v>
      </c>
      <c r="N356" s="6" t="s">
        <v>34</v>
      </c>
      <c r="O356" s="6">
        <v>249</v>
      </c>
      <c r="P356" s="6" t="s">
        <v>245</v>
      </c>
      <c r="Q356" s="6" t="s">
        <v>22</v>
      </c>
      <c r="R356" s="8" t="s">
        <v>1808</v>
      </c>
      <c r="S356" s="6"/>
    </row>
    <row r="357" spans="1:19" ht="25.5" x14ac:dyDescent="0.25">
      <c r="A357" s="5" t="s">
        <v>3327</v>
      </c>
      <c r="B357" s="5">
        <v>356</v>
      </c>
      <c r="C357" s="6" t="s">
        <v>2207</v>
      </c>
      <c r="D357" s="6" t="s">
        <v>15</v>
      </c>
      <c r="E357" s="6">
        <v>76</v>
      </c>
      <c r="F357" s="6" t="s">
        <v>169</v>
      </c>
      <c r="G357" s="6">
        <v>1732</v>
      </c>
      <c r="H357" s="6" t="s">
        <v>170</v>
      </c>
      <c r="I357" s="6" t="s">
        <v>273</v>
      </c>
      <c r="J357" s="6" t="s">
        <v>274</v>
      </c>
      <c r="K357" s="6" t="s">
        <v>18</v>
      </c>
      <c r="L357" s="6">
        <v>80235553</v>
      </c>
      <c r="M357" s="6" t="s">
        <v>269</v>
      </c>
      <c r="N357" s="6" t="s">
        <v>270</v>
      </c>
      <c r="O357" s="6">
        <v>3954108</v>
      </c>
      <c r="P357" s="6" t="s">
        <v>275</v>
      </c>
      <c r="Q357" s="6" t="s">
        <v>22</v>
      </c>
      <c r="R357" s="8" t="s">
        <v>1808</v>
      </c>
      <c r="S357" s="6"/>
    </row>
    <row r="358" spans="1:19" ht="25.5" x14ac:dyDescent="0.25">
      <c r="A358" s="5" t="s">
        <v>3327</v>
      </c>
      <c r="B358" s="5">
        <v>357</v>
      </c>
      <c r="C358" s="6" t="s">
        <v>2208</v>
      </c>
      <c r="D358" s="6" t="s">
        <v>15</v>
      </c>
      <c r="E358" s="6">
        <v>76</v>
      </c>
      <c r="F358" s="6" t="s">
        <v>169</v>
      </c>
      <c r="G358" s="6">
        <v>1732</v>
      </c>
      <c r="H358" s="6" t="s">
        <v>170</v>
      </c>
      <c r="I358" s="6" t="s">
        <v>276</v>
      </c>
      <c r="J358" s="6" t="s">
        <v>277</v>
      </c>
      <c r="K358" s="6" t="s">
        <v>18</v>
      </c>
      <c r="L358" s="6">
        <v>1037072084</v>
      </c>
      <c r="M358" s="6" t="s">
        <v>269</v>
      </c>
      <c r="N358" s="6" t="s">
        <v>270</v>
      </c>
      <c r="O358" s="6">
        <v>2401749</v>
      </c>
      <c r="P358" s="6" t="s">
        <v>271</v>
      </c>
      <c r="Q358" s="6" t="s">
        <v>22</v>
      </c>
      <c r="R358" s="8" t="s">
        <v>1808</v>
      </c>
      <c r="S358" s="6"/>
    </row>
    <row r="359" spans="1:19" ht="25.5" x14ac:dyDescent="0.25">
      <c r="A359" s="5" t="s">
        <v>3327</v>
      </c>
      <c r="B359" s="5">
        <v>358</v>
      </c>
      <c r="C359" s="6" t="s">
        <v>2196</v>
      </c>
      <c r="D359" s="6" t="s">
        <v>15</v>
      </c>
      <c r="E359" s="6">
        <v>76</v>
      </c>
      <c r="F359" s="6" t="s">
        <v>169</v>
      </c>
      <c r="G359" s="6">
        <v>1732</v>
      </c>
      <c r="H359" s="6" t="s">
        <v>170</v>
      </c>
      <c r="I359" s="6" t="s">
        <v>171</v>
      </c>
      <c r="J359" s="6" t="s">
        <v>172</v>
      </c>
      <c r="K359" s="6" t="s">
        <v>18</v>
      </c>
      <c r="L359" s="6">
        <v>98663309</v>
      </c>
      <c r="M359" s="6" t="s">
        <v>79</v>
      </c>
      <c r="N359" s="6" t="s">
        <v>88</v>
      </c>
      <c r="O359" s="6">
        <v>178</v>
      </c>
      <c r="P359" s="6" t="s">
        <v>173</v>
      </c>
      <c r="Q359" s="6" t="s">
        <v>22</v>
      </c>
      <c r="R359" s="8" t="s">
        <v>1808</v>
      </c>
      <c r="S359" s="6"/>
    </row>
    <row r="360" spans="1:19" ht="25.5" x14ac:dyDescent="0.25">
      <c r="A360" s="5" t="s">
        <v>3327</v>
      </c>
      <c r="B360" s="5">
        <v>359</v>
      </c>
      <c r="C360" s="6" t="s">
        <v>2209</v>
      </c>
      <c r="D360" s="6" t="s">
        <v>15</v>
      </c>
      <c r="E360" s="6">
        <v>76</v>
      </c>
      <c r="F360" s="6" t="s">
        <v>169</v>
      </c>
      <c r="G360" s="6">
        <v>1732</v>
      </c>
      <c r="H360" s="6" t="s">
        <v>170</v>
      </c>
      <c r="I360" s="6" t="s">
        <v>278</v>
      </c>
      <c r="J360" s="6" t="s">
        <v>190</v>
      </c>
      <c r="K360" s="6" t="s">
        <v>18</v>
      </c>
      <c r="L360" s="6">
        <v>92258868</v>
      </c>
      <c r="M360" s="6" t="s">
        <v>269</v>
      </c>
      <c r="N360" s="6" t="s">
        <v>270</v>
      </c>
      <c r="O360" s="6">
        <v>1932258</v>
      </c>
      <c r="P360" s="6" t="s">
        <v>279</v>
      </c>
      <c r="Q360" s="6" t="s">
        <v>22</v>
      </c>
      <c r="R360" s="8" t="s">
        <v>1808</v>
      </c>
      <c r="S360" s="6"/>
    </row>
    <row r="361" spans="1:19" ht="25.5" x14ac:dyDescent="0.25">
      <c r="A361" s="5" t="s">
        <v>3327</v>
      </c>
      <c r="B361" s="5">
        <v>360</v>
      </c>
      <c r="C361" s="6" t="s">
        <v>2210</v>
      </c>
      <c r="D361" s="6" t="s">
        <v>15</v>
      </c>
      <c r="E361" s="6">
        <v>80</v>
      </c>
      <c r="F361" s="6" t="s">
        <v>170</v>
      </c>
      <c r="G361" s="6">
        <v>1795</v>
      </c>
      <c r="H361" s="6" t="s">
        <v>246</v>
      </c>
      <c r="I361" s="6" t="s">
        <v>280</v>
      </c>
      <c r="J361" s="6" t="s">
        <v>281</v>
      </c>
      <c r="K361" s="6" t="s">
        <v>18</v>
      </c>
      <c r="L361" s="6">
        <v>70787117</v>
      </c>
      <c r="M361" s="6" t="s">
        <v>269</v>
      </c>
      <c r="N361" s="6" t="s">
        <v>270</v>
      </c>
      <c r="O361" s="6">
        <v>40601</v>
      </c>
      <c r="P361" s="6" t="s">
        <v>150</v>
      </c>
      <c r="Q361" s="6" t="s">
        <v>22</v>
      </c>
      <c r="R361" s="8" t="s">
        <v>1808</v>
      </c>
      <c r="S361" s="6"/>
    </row>
    <row r="362" spans="1:19" ht="25.5" x14ac:dyDescent="0.25">
      <c r="A362" s="5" t="s">
        <v>3327</v>
      </c>
      <c r="B362" s="5">
        <v>361</v>
      </c>
      <c r="C362" s="6" t="s">
        <v>2211</v>
      </c>
      <c r="D362" s="6" t="s">
        <v>15</v>
      </c>
      <c r="E362" s="6">
        <v>83</v>
      </c>
      <c r="F362" s="6" t="s">
        <v>246</v>
      </c>
      <c r="G362" s="6">
        <v>1865</v>
      </c>
      <c r="H362" s="6" t="s">
        <v>247</v>
      </c>
      <c r="I362" s="6" t="s">
        <v>282</v>
      </c>
      <c r="J362" s="6" t="s">
        <v>49</v>
      </c>
      <c r="K362" s="6" t="s">
        <v>18</v>
      </c>
      <c r="L362" s="6">
        <v>1040740344</v>
      </c>
      <c r="M362" s="6" t="s">
        <v>269</v>
      </c>
      <c r="N362" s="6" t="s">
        <v>270</v>
      </c>
      <c r="O362" s="6">
        <v>1931110</v>
      </c>
      <c r="P362" s="6" t="s">
        <v>283</v>
      </c>
      <c r="Q362" s="6" t="s">
        <v>22</v>
      </c>
      <c r="R362" s="8" t="s">
        <v>1808</v>
      </c>
      <c r="S362" s="6"/>
    </row>
    <row r="363" spans="1:19" ht="25.5" x14ac:dyDescent="0.25">
      <c r="A363" s="5" t="s">
        <v>3327</v>
      </c>
      <c r="B363" s="5">
        <v>362</v>
      </c>
      <c r="C363" s="6" t="s">
        <v>2054</v>
      </c>
      <c r="D363" s="6" t="s">
        <v>15</v>
      </c>
      <c r="E363" s="6">
        <v>83</v>
      </c>
      <c r="F363" s="6" t="s">
        <v>246</v>
      </c>
      <c r="G363" s="6">
        <v>1865</v>
      </c>
      <c r="H363" s="6" t="s">
        <v>247</v>
      </c>
      <c r="I363" s="6" t="s">
        <v>471</v>
      </c>
      <c r="J363" s="6" t="s">
        <v>472</v>
      </c>
      <c r="K363" s="6" t="s">
        <v>18</v>
      </c>
      <c r="L363" s="6">
        <v>71665059</v>
      </c>
      <c r="M363" s="6" t="s">
        <v>19</v>
      </c>
      <c r="N363" s="6" t="s">
        <v>446</v>
      </c>
      <c r="O363" s="6">
        <v>119</v>
      </c>
      <c r="P363" s="6" t="s">
        <v>440</v>
      </c>
      <c r="Q363" s="6" t="s">
        <v>22</v>
      </c>
      <c r="R363" s="8" t="s">
        <v>1808</v>
      </c>
      <c r="S363" s="6"/>
    </row>
    <row r="364" spans="1:19" ht="25.5" x14ac:dyDescent="0.25">
      <c r="A364" s="5" t="s">
        <v>3327</v>
      </c>
      <c r="B364" s="5">
        <v>363</v>
      </c>
      <c r="C364" s="6" t="s">
        <v>2212</v>
      </c>
      <c r="D364" s="6" t="s">
        <v>15</v>
      </c>
      <c r="E364" s="6">
        <v>91</v>
      </c>
      <c r="F364" s="6" t="s">
        <v>174</v>
      </c>
      <c r="G364" s="6">
        <v>1964</v>
      </c>
      <c r="H364" s="6" t="s">
        <v>175</v>
      </c>
      <c r="I364" s="6" t="s">
        <v>284</v>
      </c>
      <c r="J364" s="6" t="s">
        <v>285</v>
      </c>
      <c r="K364" s="6" t="s">
        <v>18</v>
      </c>
      <c r="L364" s="6">
        <v>1128457340</v>
      </c>
      <c r="M364" s="6" t="s">
        <v>269</v>
      </c>
      <c r="N364" s="6" t="s">
        <v>270</v>
      </c>
      <c r="O364" s="6">
        <v>1931115</v>
      </c>
      <c r="P364" s="6" t="s">
        <v>286</v>
      </c>
      <c r="Q364" s="6" t="s">
        <v>22</v>
      </c>
      <c r="R364" s="8" t="s">
        <v>1808</v>
      </c>
      <c r="S364" s="6"/>
    </row>
    <row r="365" spans="1:19" ht="25.5" x14ac:dyDescent="0.25">
      <c r="A365" s="5" t="s">
        <v>3327</v>
      </c>
      <c r="B365" s="5">
        <v>364</v>
      </c>
      <c r="C365" s="6" t="s">
        <v>2213</v>
      </c>
      <c r="D365" s="6" t="s">
        <v>15</v>
      </c>
      <c r="E365" s="6">
        <v>91</v>
      </c>
      <c r="F365" s="6" t="s">
        <v>174</v>
      </c>
      <c r="G365" s="6">
        <v>1964</v>
      </c>
      <c r="H365" s="6" t="s">
        <v>175</v>
      </c>
      <c r="I365" s="6" t="s">
        <v>287</v>
      </c>
      <c r="J365" s="6" t="s">
        <v>108</v>
      </c>
      <c r="K365" s="6" t="s">
        <v>18</v>
      </c>
      <c r="L365" s="6">
        <v>1128274409</v>
      </c>
      <c r="M365" s="6" t="s">
        <v>269</v>
      </c>
      <c r="N365" s="6" t="s">
        <v>270</v>
      </c>
      <c r="O365" s="6">
        <v>3250057</v>
      </c>
      <c r="P365" s="6" t="s">
        <v>288</v>
      </c>
      <c r="Q365" s="6" t="s">
        <v>22</v>
      </c>
      <c r="R365" s="8" t="s">
        <v>1808</v>
      </c>
      <c r="S365" s="6"/>
    </row>
    <row r="366" spans="1:19" ht="25.5" x14ac:dyDescent="0.25">
      <c r="A366" s="5" t="s">
        <v>3327</v>
      </c>
      <c r="B366" s="5">
        <v>365</v>
      </c>
      <c r="C366" s="6" t="s">
        <v>2008</v>
      </c>
      <c r="D366" s="6" t="s">
        <v>15</v>
      </c>
      <c r="E366" s="6">
        <v>100</v>
      </c>
      <c r="F366" s="6" t="s">
        <v>177</v>
      </c>
      <c r="G366" s="6">
        <v>2111</v>
      </c>
      <c r="H366" s="6" t="s">
        <v>289</v>
      </c>
      <c r="I366" s="6" t="s">
        <v>473</v>
      </c>
      <c r="J366" s="6" t="s">
        <v>46</v>
      </c>
      <c r="K366" s="6" t="s">
        <v>18</v>
      </c>
      <c r="L366" s="6">
        <v>43589381</v>
      </c>
      <c r="M366" s="6" t="s">
        <v>19</v>
      </c>
      <c r="N366" s="6" t="s">
        <v>446</v>
      </c>
      <c r="O366" s="6">
        <v>174</v>
      </c>
      <c r="P366" s="6" t="s">
        <v>474</v>
      </c>
      <c r="Q366" s="6" t="s">
        <v>22</v>
      </c>
      <c r="R366" s="8" t="s">
        <v>1808</v>
      </c>
      <c r="S366" s="6"/>
    </row>
    <row r="367" spans="1:19" ht="25.5" x14ac:dyDescent="0.25">
      <c r="A367" s="5" t="s">
        <v>3327</v>
      </c>
      <c r="B367" s="5">
        <v>366</v>
      </c>
      <c r="C367" s="6" t="s">
        <v>2214</v>
      </c>
      <c r="D367" s="6" t="s">
        <v>15</v>
      </c>
      <c r="E367" s="6">
        <v>100</v>
      </c>
      <c r="F367" s="6" t="s">
        <v>177</v>
      </c>
      <c r="G367" s="6">
        <v>2111</v>
      </c>
      <c r="H367" s="6" t="s">
        <v>289</v>
      </c>
      <c r="I367" s="6" t="s">
        <v>290</v>
      </c>
      <c r="J367" s="6" t="s">
        <v>291</v>
      </c>
      <c r="K367" s="6" t="s">
        <v>18</v>
      </c>
      <c r="L367" s="6">
        <v>98632315</v>
      </c>
      <c r="M367" s="6" t="s">
        <v>269</v>
      </c>
      <c r="N367" s="6" t="s">
        <v>270</v>
      </c>
      <c r="O367" s="6">
        <v>40670</v>
      </c>
      <c r="P367" s="6" t="s">
        <v>292</v>
      </c>
      <c r="Q367" s="6" t="s">
        <v>22</v>
      </c>
      <c r="R367" s="8" t="s">
        <v>1808</v>
      </c>
      <c r="S367" s="6"/>
    </row>
    <row r="368" spans="1:19" ht="25.5" x14ac:dyDescent="0.25">
      <c r="A368" s="5" t="s">
        <v>3327</v>
      </c>
      <c r="B368" s="5">
        <v>367</v>
      </c>
      <c r="C368" s="6" t="s">
        <v>2215</v>
      </c>
      <c r="D368" s="6" t="s">
        <v>15</v>
      </c>
      <c r="E368" s="6">
        <v>100</v>
      </c>
      <c r="F368" s="6" t="s">
        <v>177</v>
      </c>
      <c r="G368" s="6">
        <v>2111</v>
      </c>
      <c r="H368" s="6" t="s">
        <v>289</v>
      </c>
      <c r="I368" s="6" t="s">
        <v>293</v>
      </c>
      <c r="J368" s="6" t="s">
        <v>291</v>
      </c>
      <c r="K368" s="6" t="s">
        <v>18</v>
      </c>
      <c r="L368" s="6">
        <v>1082892995</v>
      </c>
      <c r="M368" s="6" t="s">
        <v>269</v>
      </c>
      <c r="N368" s="6" t="s">
        <v>270</v>
      </c>
      <c r="O368" s="6">
        <v>1931334</v>
      </c>
      <c r="P368" s="6" t="s">
        <v>294</v>
      </c>
      <c r="Q368" s="6" t="s">
        <v>22</v>
      </c>
      <c r="R368" s="8" t="s">
        <v>1808</v>
      </c>
      <c r="S368" s="6"/>
    </row>
    <row r="369" spans="1:19" ht="25.5" x14ac:dyDescent="0.25">
      <c r="A369" s="5" t="s">
        <v>3327</v>
      </c>
      <c r="B369" s="5">
        <v>368</v>
      </c>
      <c r="C369" s="6" t="s">
        <v>2216</v>
      </c>
      <c r="D369" s="6" t="s">
        <v>15</v>
      </c>
      <c r="E369" s="6">
        <v>104</v>
      </c>
      <c r="F369" s="6" t="s">
        <v>295</v>
      </c>
      <c r="G369" s="6">
        <v>2211</v>
      </c>
      <c r="H369" s="6" t="s">
        <v>265</v>
      </c>
      <c r="I369" s="6" t="s">
        <v>296</v>
      </c>
      <c r="J369" s="6" t="s">
        <v>48</v>
      </c>
      <c r="K369" s="6" t="s">
        <v>18</v>
      </c>
      <c r="L369" s="6">
        <v>1037072232</v>
      </c>
      <c r="M369" s="6" t="s">
        <v>269</v>
      </c>
      <c r="N369" s="6" t="s">
        <v>270</v>
      </c>
      <c r="O369" s="6">
        <v>2401684</v>
      </c>
      <c r="P369" s="6" t="s">
        <v>271</v>
      </c>
      <c r="Q369" s="6" t="s">
        <v>22</v>
      </c>
      <c r="R369" s="8" t="s">
        <v>1808</v>
      </c>
      <c r="S369" s="6"/>
    </row>
    <row r="370" spans="1:19" ht="25.5" x14ac:dyDescent="0.25">
      <c r="A370" s="5" t="s">
        <v>3327</v>
      </c>
      <c r="B370" s="5">
        <v>369</v>
      </c>
      <c r="C370" s="6" t="s">
        <v>2046</v>
      </c>
      <c r="D370" s="6" t="s">
        <v>15</v>
      </c>
      <c r="E370" s="6">
        <v>83</v>
      </c>
      <c r="F370" s="6" t="s">
        <v>246</v>
      </c>
      <c r="G370" s="6">
        <v>1865</v>
      </c>
      <c r="H370" s="6" t="s">
        <v>247</v>
      </c>
      <c r="I370" s="6" t="s">
        <v>248</v>
      </c>
      <c r="J370" s="6" t="s">
        <v>249</v>
      </c>
      <c r="K370" s="6" t="s">
        <v>18</v>
      </c>
      <c r="L370" s="6">
        <v>71338023</v>
      </c>
      <c r="M370" s="6" t="s">
        <v>50</v>
      </c>
      <c r="N370" s="6" t="s">
        <v>34</v>
      </c>
      <c r="O370" s="6">
        <v>215</v>
      </c>
      <c r="P370" s="6" t="s">
        <v>250</v>
      </c>
      <c r="Q370" s="6" t="s">
        <v>22</v>
      </c>
      <c r="R370" s="8" t="s">
        <v>1808</v>
      </c>
      <c r="S370" s="6"/>
    </row>
    <row r="371" spans="1:19" ht="25.5" x14ac:dyDescent="0.25">
      <c r="A371" s="5" t="s">
        <v>3327</v>
      </c>
      <c r="B371" s="5">
        <v>370</v>
      </c>
      <c r="C371" s="6" t="s">
        <v>2217</v>
      </c>
      <c r="D371" s="6" t="s">
        <v>15</v>
      </c>
      <c r="E371" s="6">
        <v>3</v>
      </c>
      <c r="F371" s="6" t="s">
        <v>297</v>
      </c>
      <c r="G371" s="6">
        <v>92</v>
      </c>
      <c r="H371" s="6" t="s">
        <v>298</v>
      </c>
      <c r="I371" s="6" t="s">
        <v>299</v>
      </c>
      <c r="J371" s="6" t="s">
        <v>300</v>
      </c>
      <c r="K371" s="6" t="s">
        <v>18</v>
      </c>
      <c r="L371" s="6">
        <v>1017176453</v>
      </c>
      <c r="M371" s="6" t="s">
        <v>269</v>
      </c>
      <c r="N371" s="6" t="s">
        <v>270</v>
      </c>
      <c r="O371" s="6">
        <v>10755</v>
      </c>
      <c r="P371" s="6" t="s">
        <v>301</v>
      </c>
      <c r="Q371" s="6" t="s">
        <v>22</v>
      </c>
      <c r="R371" s="8" t="s">
        <v>1808</v>
      </c>
      <c r="S371" s="6"/>
    </row>
    <row r="372" spans="1:19" ht="25.5" x14ac:dyDescent="0.25">
      <c r="A372" s="5" t="s">
        <v>3327</v>
      </c>
      <c r="B372" s="5">
        <v>371</v>
      </c>
      <c r="C372" s="6" t="s">
        <v>2121</v>
      </c>
      <c r="D372" s="6" t="s">
        <v>15</v>
      </c>
      <c r="E372" s="6">
        <v>9</v>
      </c>
      <c r="F372" s="6" t="s">
        <v>179</v>
      </c>
      <c r="G372" s="6">
        <v>216</v>
      </c>
      <c r="H372" s="6" t="s">
        <v>180</v>
      </c>
      <c r="I372" s="6" t="s">
        <v>251</v>
      </c>
      <c r="J372" s="6" t="s">
        <v>252</v>
      </c>
      <c r="K372" s="6" t="s">
        <v>18</v>
      </c>
      <c r="L372" s="6">
        <v>1128400427</v>
      </c>
      <c r="M372" s="6" t="s">
        <v>50</v>
      </c>
      <c r="N372" s="6" t="s">
        <v>34</v>
      </c>
      <c r="O372" s="6">
        <v>252</v>
      </c>
      <c r="P372" s="6" t="s">
        <v>238</v>
      </c>
      <c r="Q372" s="6" t="s">
        <v>22</v>
      </c>
      <c r="R372" s="8" t="s">
        <v>1808</v>
      </c>
      <c r="S372" s="6"/>
    </row>
    <row r="373" spans="1:19" ht="25.5" x14ac:dyDescent="0.25">
      <c r="A373" s="5" t="s">
        <v>3327</v>
      </c>
      <c r="B373" s="5">
        <v>372</v>
      </c>
      <c r="C373" s="6" t="s">
        <v>2126</v>
      </c>
      <c r="D373" s="6" t="s">
        <v>15</v>
      </c>
      <c r="E373" s="6">
        <v>13</v>
      </c>
      <c r="F373" s="6" t="s">
        <v>182</v>
      </c>
      <c r="G373" s="6">
        <v>285</v>
      </c>
      <c r="H373" s="6" t="s">
        <v>183</v>
      </c>
      <c r="I373" s="6" t="s">
        <v>253</v>
      </c>
      <c r="J373" s="6" t="s">
        <v>254</v>
      </c>
      <c r="K373" s="6" t="s">
        <v>18</v>
      </c>
      <c r="L373" s="6">
        <v>1128446354</v>
      </c>
      <c r="M373" s="6" t="s">
        <v>50</v>
      </c>
      <c r="N373" s="6" t="s">
        <v>34</v>
      </c>
      <c r="O373" s="6">
        <v>239</v>
      </c>
      <c r="P373" s="6" t="s">
        <v>228</v>
      </c>
      <c r="Q373" s="6" t="s">
        <v>22</v>
      </c>
      <c r="R373" s="8" t="s">
        <v>1808</v>
      </c>
      <c r="S373" s="6"/>
    </row>
    <row r="374" spans="1:19" ht="25.5" x14ac:dyDescent="0.25">
      <c r="A374" s="5" t="s">
        <v>3327</v>
      </c>
      <c r="B374" s="5">
        <v>373</v>
      </c>
      <c r="C374" s="6" t="s">
        <v>1863</v>
      </c>
      <c r="D374" s="6" t="s">
        <v>15</v>
      </c>
      <c r="E374" s="6">
        <v>30</v>
      </c>
      <c r="F374" s="6" t="s">
        <v>183</v>
      </c>
      <c r="G374" s="6">
        <v>368</v>
      </c>
      <c r="H374" s="6" t="s">
        <v>255</v>
      </c>
      <c r="I374" s="6" t="s">
        <v>256</v>
      </c>
      <c r="J374" s="6" t="s">
        <v>92</v>
      </c>
      <c r="K374" s="6" t="s">
        <v>18</v>
      </c>
      <c r="L374" s="6">
        <v>25102552</v>
      </c>
      <c r="M374" s="6" t="s">
        <v>50</v>
      </c>
      <c r="N374" s="6" t="s">
        <v>34</v>
      </c>
      <c r="O374" s="6">
        <v>255</v>
      </c>
      <c r="P374" s="6" t="s">
        <v>257</v>
      </c>
      <c r="Q374" s="6" t="s">
        <v>22</v>
      </c>
      <c r="R374" s="8" t="s">
        <v>1808</v>
      </c>
      <c r="S374" s="6"/>
    </row>
    <row r="375" spans="1:19" ht="25.5" x14ac:dyDescent="0.25">
      <c r="A375" s="5" t="s">
        <v>3327</v>
      </c>
      <c r="B375" s="5">
        <v>374</v>
      </c>
      <c r="C375" s="6" t="s">
        <v>2218</v>
      </c>
      <c r="D375" s="6" t="s">
        <v>15</v>
      </c>
      <c r="E375" s="6">
        <v>30</v>
      </c>
      <c r="F375" s="6" t="s">
        <v>183</v>
      </c>
      <c r="G375" s="6">
        <v>368</v>
      </c>
      <c r="H375" s="6" t="s">
        <v>255</v>
      </c>
      <c r="I375" s="6" t="s">
        <v>302</v>
      </c>
      <c r="J375" s="6" t="s">
        <v>303</v>
      </c>
      <c r="K375" s="6" t="s">
        <v>18</v>
      </c>
      <c r="L375" s="6">
        <v>1128267368</v>
      </c>
      <c r="M375" s="6" t="s">
        <v>269</v>
      </c>
      <c r="N375" s="6" t="s">
        <v>270</v>
      </c>
      <c r="O375" s="6">
        <v>3954072</v>
      </c>
      <c r="P375" s="6" t="s">
        <v>304</v>
      </c>
      <c r="Q375" s="6" t="s">
        <v>22</v>
      </c>
      <c r="R375" s="8" t="s">
        <v>1808</v>
      </c>
      <c r="S375" s="6"/>
    </row>
    <row r="376" spans="1:19" ht="25.5" x14ac:dyDescent="0.25">
      <c r="A376" s="5" t="s">
        <v>3327</v>
      </c>
      <c r="B376" s="5">
        <v>375</v>
      </c>
      <c r="C376" s="6" t="s">
        <v>2219</v>
      </c>
      <c r="D376" s="6" t="s">
        <v>15</v>
      </c>
      <c r="E376" s="6">
        <v>35</v>
      </c>
      <c r="F376" s="6" t="s">
        <v>255</v>
      </c>
      <c r="G376" s="6">
        <v>444</v>
      </c>
      <c r="H376" s="6" t="s">
        <v>258</v>
      </c>
      <c r="I376" s="6" t="s">
        <v>305</v>
      </c>
      <c r="J376" s="6" t="s">
        <v>306</v>
      </c>
      <c r="K376" s="6" t="s">
        <v>18</v>
      </c>
      <c r="L376" s="6">
        <v>42791509</v>
      </c>
      <c r="M376" s="6" t="s">
        <v>269</v>
      </c>
      <c r="N376" s="6" t="s">
        <v>270</v>
      </c>
      <c r="O376" s="6">
        <v>6479789</v>
      </c>
      <c r="P376" s="6" t="s">
        <v>307</v>
      </c>
      <c r="Q376" s="6" t="s">
        <v>22</v>
      </c>
      <c r="R376" s="8" t="s">
        <v>1808</v>
      </c>
      <c r="S376" s="6"/>
    </row>
    <row r="377" spans="1:19" ht="25.5" x14ac:dyDescent="0.25">
      <c r="A377" s="5" t="s">
        <v>3327</v>
      </c>
      <c r="B377" s="5">
        <v>376</v>
      </c>
      <c r="C377" s="6" t="s">
        <v>2220</v>
      </c>
      <c r="D377" s="6" t="s">
        <v>15</v>
      </c>
      <c r="E377" s="6">
        <v>35</v>
      </c>
      <c r="F377" s="6" t="s">
        <v>255</v>
      </c>
      <c r="G377" s="6">
        <v>444</v>
      </c>
      <c r="H377" s="6" t="s">
        <v>258</v>
      </c>
      <c r="I377" s="6" t="s">
        <v>308</v>
      </c>
      <c r="J377" s="6" t="s">
        <v>309</v>
      </c>
      <c r="K377" s="6" t="s">
        <v>18</v>
      </c>
      <c r="L377" s="6">
        <v>1026143755</v>
      </c>
      <c r="M377" s="6" t="s">
        <v>269</v>
      </c>
      <c r="N377" s="6" t="s">
        <v>270</v>
      </c>
      <c r="O377" s="6">
        <v>40599</v>
      </c>
      <c r="P377" s="6" t="s">
        <v>310</v>
      </c>
      <c r="Q377" s="6" t="s">
        <v>22</v>
      </c>
      <c r="R377" s="8" t="s">
        <v>1808</v>
      </c>
      <c r="S377" s="6"/>
    </row>
    <row r="378" spans="1:19" ht="25.5" x14ac:dyDescent="0.25">
      <c r="A378" s="5" t="s">
        <v>3327</v>
      </c>
      <c r="B378" s="5">
        <v>377</v>
      </c>
      <c r="C378" s="6" t="s">
        <v>2199</v>
      </c>
      <c r="D378" s="6" t="s">
        <v>15</v>
      </c>
      <c r="E378" s="6">
        <v>9</v>
      </c>
      <c r="F378" s="6" t="s">
        <v>179</v>
      </c>
      <c r="G378" s="6">
        <v>216</v>
      </c>
      <c r="H378" s="6" t="s">
        <v>180</v>
      </c>
      <c r="I378" s="6" t="s">
        <v>181</v>
      </c>
      <c r="J378" s="6" t="s">
        <v>48</v>
      </c>
      <c r="K378" s="6" t="s">
        <v>18</v>
      </c>
      <c r="L378" s="6">
        <v>43595791</v>
      </c>
      <c r="M378" s="6" t="s">
        <v>79</v>
      </c>
      <c r="N378" s="6" t="s">
        <v>88</v>
      </c>
      <c r="O378" s="6">
        <v>169</v>
      </c>
      <c r="P378" s="6" t="s">
        <v>103</v>
      </c>
      <c r="Q378" s="6" t="s">
        <v>22</v>
      </c>
      <c r="R378" s="8" t="s">
        <v>1808</v>
      </c>
      <c r="S378" s="6"/>
    </row>
    <row r="379" spans="1:19" ht="25.5" x14ac:dyDescent="0.25">
      <c r="A379" s="5" t="s">
        <v>3327</v>
      </c>
      <c r="B379" s="5">
        <v>378</v>
      </c>
      <c r="C379" s="6" t="s">
        <v>2048</v>
      </c>
      <c r="D379" s="6" t="s">
        <v>15</v>
      </c>
      <c r="E379" s="6">
        <v>13</v>
      </c>
      <c r="F379" s="6" t="s">
        <v>182</v>
      </c>
      <c r="G379" s="6">
        <v>285</v>
      </c>
      <c r="H379" s="6" t="s">
        <v>183</v>
      </c>
      <c r="I379" s="6" t="s">
        <v>184</v>
      </c>
      <c r="J379" s="6" t="s">
        <v>158</v>
      </c>
      <c r="K379" s="6" t="s">
        <v>18</v>
      </c>
      <c r="L379" s="6">
        <v>71376604</v>
      </c>
      <c r="M379" s="6" t="s">
        <v>79</v>
      </c>
      <c r="N379" s="6" t="s">
        <v>88</v>
      </c>
      <c r="O379" s="6">
        <v>183</v>
      </c>
      <c r="P379" s="6" t="s">
        <v>176</v>
      </c>
      <c r="Q379" s="6" t="s">
        <v>22</v>
      </c>
      <c r="R379" s="8" t="s">
        <v>1808</v>
      </c>
      <c r="S379" s="6"/>
    </row>
    <row r="380" spans="1:19" ht="25.5" x14ac:dyDescent="0.25">
      <c r="A380" s="5" t="s">
        <v>3327</v>
      </c>
      <c r="B380" s="5">
        <v>379</v>
      </c>
      <c r="C380" s="6" t="s">
        <v>2222</v>
      </c>
      <c r="D380" s="6" t="s">
        <v>15</v>
      </c>
      <c r="E380" s="6">
        <v>42</v>
      </c>
      <c r="F380" s="6" t="s">
        <v>259</v>
      </c>
      <c r="G380" s="6">
        <v>584</v>
      </c>
      <c r="H380" s="6" t="s">
        <v>262</v>
      </c>
      <c r="I380" s="6" t="s">
        <v>313</v>
      </c>
      <c r="J380" s="6" t="s">
        <v>314</v>
      </c>
      <c r="K380" s="6" t="s">
        <v>18</v>
      </c>
      <c r="L380" s="6">
        <v>43841740</v>
      </c>
      <c r="M380" s="6" t="s">
        <v>269</v>
      </c>
      <c r="N380" s="6" t="s">
        <v>270</v>
      </c>
      <c r="O380" s="6">
        <v>3954092</v>
      </c>
      <c r="P380" s="6" t="s">
        <v>304</v>
      </c>
      <c r="Q380" s="6" t="s">
        <v>22</v>
      </c>
      <c r="R380" s="8" t="s">
        <v>1808</v>
      </c>
      <c r="S380" s="6"/>
    </row>
    <row r="381" spans="1:19" ht="25.5" x14ac:dyDescent="0.25">
      <c r="A381" s="5" t="s">
        <v>3327</v>
      </c>
      <c r="B381" s="5">
        <v>380</v>
      </c>
      <c r="C381" s="6" t="s">
        <v>2223</v>
      </c>
      <c r="D381" s="6" t="s">
        <v>15</v>
      </c>
      <c r="E381" s="6">
        <v>42</v>
      </c>
      <c r="F381" s="6" t="s">
        <v>259</v>
      </c>
      <c r="G381" s="6">
        <v>584</v>
      </c>
      <c r="H381" s="6" t="s">
        <v>262</v>
      </c>
      <c r="I381" s="6" t="s">
        <v>315</v>
      </c>
      <c r="J381" s="6" t="s">
        <v>316</v>
      </c>
      <c r="K381" s="6" t="s">
        <v>18</v>
      </c>
      <c r="L381" s="6">
        <v>1036644264</v>
      </c>
      <c r="M381" s="6" t="s">
        <v>269</v>
      </c>
      <c r="N381" s="6" t="s">
        <v>270</v>
      </c>
      <c r="O381" s="6">
        <v>1931814</v>
      </c>
      <c r="P381" s="6" t="s">
        <v>317</v>
      </c>
      <c r="Q381" s="6" t="s">
        <v>22</v>
      </c>
      <c r="R381" s="8" t="s">
        <v>1808</v>
      </c>
      <c r="S381" s="6"/>
    </row>
    <row r="382" spans="1:19" ht="25.5" x14ac:dyDescent="0.25">
      <c r="A382" s="5" t="s">
        <v>3327</v>
      </c>
      <c r="B382" s="5">
        <v>381</v>
      </c>
      <c r="C382" s="6" t="s">
        <v>2125</v>
      </c>
      <c r="D382" s="6" t="s">
        <v>15</v>
      </c>
      <c r="E382" s="6">
        <v>42</v>
      </c>
      <c r="F382" s="6" t="s">
        <v>259</v>
      </c>
      <c r="G382" s="6">
        <v>584</v>
      </c>
      <c r="H382" s="6" t="s">
        <v>262</v>
      </c>
      <c r="I382" s="6" t="s">
        <v>263</v>
      </c>
      <c r="J382" s="6" t="s">
        <v>264</v>
      </c>
      <c r="K382" s="6" t="s">
        <v>18</v>
      </c>
      <c r="L382" s="6">
        <v>1128443884</v>
      </c>
      <c r="M382" s="6" t="s">
        <v>50</v>
      </c>
      <c r="N382" s="6" t="s">
        <v>34</v>
      </c>
      <c r="O382" s="6">
        <v>258</v>
      </c>
      <c r="P382" s="6" t="s">
        <v>265</v>
      </c>
      <c r="Q382" s="6" t="s">
        <v>22</v>
      </c>
      <c r="R382" s="8" t="s">
        <v>1808</v>
      </c>
      <c r="S382" s="6"/>
    </row>
    <row r="383" spans="1:19" ht="25.5" x14ac:dyDescent="0.25">
      <c r="A383" s="5" t="s">
        <v>3327</v>
      </c>
      <c r="B383" s="5">
        <v>382</v>
      </c>
      <c r="C383" s="6" t="s">
        <v>2221</v>
      </c>
      <c r="D383" s="6" t="s">
        <v>15</v>
      </c>
      <c r="E383" s="6">
        <v>39</v>
      </c>
      <c r="F383" s="6" t="s">
        <v>258</v>
      </c>
      <c r="G383" s="6">
        <v>507</v>
      </c>
      <c r="H383" s="6" t="s">
        <v>259</v>
      </c>
      <c r="I383" s="6" t="s">
        <v>311</v>
      </c>
      <c r="J383" s="6" t="s">
        <v>312</v>
      </c>
      <c r="K383" s="6" t="s">
        <v>18</v>
      </c>
      <c r="L383" s="6">
        <v>43740057</v>
      </c>
      <c r="M383" s="6" t="s">
        <v>269</v>
      </c>
      <c r="N383" s="6" t="s">
        <v>270</v>
      </c>
      <c r="O383" s="6">
        <v>6479796</v>
      </c>
      <c r="P383" s="6" t="s">
        <v>307</v>
      </c>
      <c r="Q383" s="6" t="s">
        <v>22</v>
      </c>
      <c r="R383" s="8" t="s">
        <v>1808</v>
      </c>
      <c r="S383" s="6"/>
    </row>
    <row r="384" spans="1:19" ht="25.5" x14ac:dyDescent="0.25">
      <c r="A384" s="5" t="s">
        <v>3327</v>
      </c>
      <c r="B384" s="5">
        <v>383</v>
      </c>
      <c r="C384" s="6" t="s">
        <v>1885</v>
      </c>
      <c r="D384" s="6" t="s">
        <v>15</v>
      </c>
      <c r="E384" s="6">
        <v>39</v>
      </c>
      <c r="F384" s="6" t="s">
        <v>258</v>
      </c>
      <c r="G384" s="6">
        <v>507</v>
      </c>
      <c r="H384" s="6" t="s">
        <v>259</v>
      </c>
      <c r="I384" s="6" t="s">
        <v>260</v>
      </c>
      <c r="J384" s="6" t="s">
        <v>261</v>
      </c>
      <c r="K384" s="6" t="s">
        <v>18</v>
      </c>
      <c r="L384" s="6">
        <v>32323813</v>
      </c>
      <c r="M384" s="6" t="s">
        <v>237</v>
      </c>
      <c r="N384" s="6" t="s">
        <v>34</v>
      </c>
      <c r="O384" s="6">
        <v>233</v>
      </c>
      <c r="P384" s="6" t="s">
        <v>205</v>
      </c>
      <c r="Q384" s="6" t="s">
        <v>22</v>
      </c>
      <c r="R384" s="8" t="s">
        <v>1808</v>
      </c>
      <c r="S384" s="6"/>
    </row>
    <row r="385" spans="1:19" ht="25.5" x14ac:dyDescent="0.25">
      <c r="A385" s="5" t="s">
        <v>3327</v>
      </c>
      <c r="B385" s="5">
        <v>384</v>
      </c>
      <c r="C385" s="6" t="s">
        <v>2224</v>
      </c>
      <c r="D385" s="6" t="s">
        <v>15</v>
      </c>
      <c r="E385" s="6">
        <v>55</v>
      </c>
      <c r="F385" s="6" t="s">
        <v>318</v>
      </c>
      <c r="G385" s="6">
        <v>845</v>
      </c>
      <c r="H385" s="6" t="s">
        <v>319</v>
      </c>
      <c r="I385" s="6" t="s">
        <v>320</v>
      </c>
      <c r="J385" s="6" t="s">
        <v>321</v>
      </c>
      <c r="K385" s="6" t="s">
        <v>18</v>
      </c>
      <c r="L385" s="6">
        <v>71374931</v>
      </c>
      <c r="M385" s="6" t="s">
        <v>269</v>
      </c>
      <c r="N385" s="6" t="s">
        <v>270</v>
      </c>
      <c r="O385" s="6">
        <v>119599</v>
      </c>
      <c r="P385" s="6" t="s">
        <v>322</v>
      </c>
      <c r="Q385" s="6" t="s">
        <v>22</v>
      </c>
      <c r="R385" s="8" t="s">
        <v>1808</v>
      </c>
      <c r="S385" s="6"/>
    </row>
    <row r="386" spans="1:19" ht="25.5" x14ac:dyDescent="0.25">
      <c r="A386" s="5" t="s">
        <v>3327</v>
      </c>
      <c r="B386" s="5">
        <v>385</v>
      </c>
      <c r="C386" s="6" t="s">
        <v>2299</v>
      </c>
      <c r="D386" s="6" t="s">
        <v>15</v>
      </c>
      <c r="E386" s="6">
        <v>55</v>
      </c>
      <c r="F386" s="6" t="s">
        <v>318</v>
      </c>
      <c r="G386" s="6">
        <v>845</v>
      </c>
      <c r="H386" s="6" t="s">
        <v>319</v>
      </c>
      <c r="I386" s="6" t="s">
        <v>390</v>
      </c>
      <c r="J386" s="6" t="s">
        <v>391</v>
      </c>
      <c r="K386" s="6" t="s">
        <v>18</v>
      </c>
      <c r="L386" s="6">
        <v>71784164</v>
      </c>
      <c r="M386" s="6" t="s">
        <v>392</v>
      </c>
      <c r="N386" s="6" t="s">
        <v>270</v>
      </c>
      <c r="O386" s="6">
        <v>2958748</v>
      </c>
      <c r="P386" s="6" t="s">
        <v>393</v>
      </c>
      <c r="Q386" s="6" t="s">
        <v>22</v>
      </c>
      <c r="R386" s="8" t="s">
        <v>1808</v>
      </c>
      <c r="S386" s="6"/>
    </row>
    <row r="387" spans="1:19" ht="25.5" x14ac:dyDescent="0.25">
      <c r="A387" s="5" t="s">
        <v>3327</v>
      </c>
      <c r="B387" s="5">
        <v>386</v>
      </c>
      <c r="C387" s="6" t="s">
        <v>2225</v>
      </c>
      <c r="D387" s="6" t="s">
        <v>15</v>
      </c>
      <c r="E387" s="6">
        <v>68</v>
      </c>
      <c r="F387" s="6" t="s">
        <v>323</v>
      </c>
      <c r="G387" s="6">
        <v>1133</v>
      </c>
      <c r="H387" s="6" t="s">
        <v>324</v>
      </c>
      <c r="I387" s="6" t="s">
        <v>325</v>
      </c>
      <c r="J387" s="6" t="s">
        <v>326</v>
      </c>
      <c r="K387" s="6" t="s">
        <v>18</v>
      </c>
      <c r="L387" s="6">
        <v>1026133973</v>
      </c>
      <c r="M387" s="6" t="s">
        <v>269</v>
      </c>
      <c r="N387" s="6" t="s">
        <v>270</v>
      </c>
      <c r="O387" s="6">
        <v>7864301</v>
      </c>
      <c r="P387" s="6" t="s">
        <v>327</v>
      </c>
      <c r="Q387" s="6" t="s">
        <v>22</v>
      </c>
      <c r="R387" s="8" t="s">
        <v>1808</v>
      </c>
      <c r="S387" s="6"/>
    </row>
    <row r="388" spans="1:19" ht="25.5" x14ac:dyDescent="0.25">
      <c r="A388" s="5" t="s">
        <v>3327</v>
      </c>
      <c r="B388" s="5">
        <v>387</v>
      </c>
      <c r="C388" s="6" t="s">
        <v>2103</v>
      </c>
      <c r="D388" s="6" t="s">
        <v>3328</v>
      </c>
      <c r="E388" s="6">
        <v>50</v>
      </c>
      <c r="F388" s="6" t="s">
        <v>342</v>
      </c>
      <c r="G388" s="6">
        <v>830</v>
      </c>
      <c r="H388" s="6" t="s">
        <v>343</v>
      </c>
      <c r="I388" s="6" t="s">
        <v>3846</v>
      </c>
      <c r="J388" s="6" t="s">
        <v>3847</v>
      </c>
      <c r="K388" s="6" t="s">
        <v>3331</v>
      </c>
      <c r="L388" s="6">
        <v>98659255</v>
      </c>
      <c r="M388" s="6" t="s">
        <v>562</v>
      </c>
      <c r="N388" s="6" t="s">
        <v>446</v>
      </c>
      <c r="O388" s="6">
        <v>206</v>
      </c>
      <c r="P388" s="6" t="s">
        <v>563</v>
      </c>
      <c r="Q388" s="6" t="s">
        <v>3332</v>
      </c>
      <c r="R388" s="8">
        <v>6</v>
      </c>
      <c r="S388" s="6"/>
    </row>
    <row r="389" spans="1:19" ht="25.5" x14ac:dyDescent="0.25">
      <c r="A389" s="5" t="s">
        <v>3327</v>
      </c>
      <c r="B389" s="5">
        <v>388</v>
      </c>
      <c r="C389" s="6" t="s">
        <v>2102</v>
      </c>
      <c r="D389" s="6" t="s">
        <v>3328</v>
      </c>
      <c r="E389" s="6">
        <v>2</v>
      </c>
      <c r="F389" s="6" t="s">
        <v>425</v>
      </c>
      <c r="G389" s="6">
        <v>152</v>
      </c>
      <c r="H389" s="6" t="s">
        <v>426</v>
      </c>
      <c r="I389" s="6" t="s">
        <v>3848</v>
      </c>
      <c r="J389" s="6" t="s">
        <v>3470</v>
      </c>
      <c r="K389" s="6" t="s">
        <v>3331</v>
      </c>
      <c r="L389" s="6">
        <v>98580703</v>
      </c>
      <c r="M389" s="6" t="s">
        <v>562</v>
      </c>
      <c r="N389" s="6" t="s">
        <v>446</v>
      </c>
      <c r="O389" s="6">
        <v>151</v>
      </c>
      <c r="P389" s="6" t="s">
        <v>564</v>
      </c>
      <c r="Q389" s="6" t="s">
        <v>3332</v>
      </c>
      <c r="R389" s="8">
        <v>6</v>
      </c>
      <c r="S389" s="6"/>
    </row>
    <row r="390" spans="1:19" ht="25.5" x14ac:dyDescent="0.25">
      <c r="A390" s="5" t="s">
        <v>3327</v>
      </c>
      <c r="B390" s="5">
        <v>389</v>
      </c>
      <c r="C390" s="6" t="s">
        <v>2100</v>
      </c>
      <c r="D390" s="6" t="s">
        <v>3328</v>
      </c>
      <c r="E390" s="6">
        <v>16</v>
      </c>
      <c r="F390" s="6" t="s">
        <v>565</v>
      </c>
      <c r="G390" s="6">
        <v>699</v>
      </c>
      <c r="H390" s="6" t="s">
        <v>566</v>
      </c>
      <c r="I390" s="6" t="s">
        <v>3849</v>
      </c>
      <c r="J390" s="6" t="s">
        <v>3829</v>
      </c>
      <c r="K390" s="6" t="s">
        <v>3331</v>
      </c>
      <c r="L390" s="6">
        <v>98566631</v>
      </c>
      <c r="M390" s="6" t="s">
        <v>562</v>
      </c>
      <c r="N390" s="6" t="s">
        <v>61</v>
      </c>
      <c r="O390" s="6">
        <v>185</v>
      </c>
      <c r="P390" s="6" t="s">
        <v>567</v>
      </c>
      <c r="Q390" s="6" t="s">
        <v>3332</v>
      </c>
      <c r="R390" s="8">
        <v>4</v>
      </c>
      <c r="S390" s="6"/>
    </row>
    <row r="391" spans="1:19" ht="25.5" x14ac:dyDescent="0.25">
      <c r="A391" s="5" t="s">
        <v>3327</v>
      </c>
      <c r="B391" s="5">
        <v>390</v>
      </c>
      <c r="C391" s="6" t="s">
        <v>1907</v>
      </c>
      <c r="D391" s="6" t="s">
        <v>568</v>
      </c>
      <c r="E391" s="6">
        <v>2111</v>
      </c>
      <c r="F391" s="6" t="s">
        <v>575</v>
      </c>
      <c r="G391" s="6">
        <v>5</v>
      </c>
      <c r="H391" s="6" t="s">
        <v>576</v>
      </c>
      <c r="I391" s="6" t="s">
        <v>577</v>
      </c>
      <c r="J391" s="6" t="s">
        <v>578</v>
      </c>
      <c r="K391" s="6" t="s">
        <v>18</v>
      </c>
      <c r="L391" s="6">
        <v>32622433</v>
      </c>
      <c r="M391" s="6" t="s">
        <v>3850</v>
      </c>
      <c r="N391" s="6" t="s">
        <v>592</v>
      </c>
      <c r="O391" s="6">
        <v>109</v>
      </c>
      <c r="P391" s="7">
        <v>31253</v>
      </c>
      <c r="Q391" s="6" t="s">
        <v>22</v>
      </c>
      <c r="R391" s="8" t="s">
        <v>1808</v>
      </c>
      <c r="S391" s="6"/>
    </row>
    <row r="392" spans="1:19" ht="25.5" x14ac:dyDescent="0.25">
      <c r="A392" s="5" t="s">
        <v>3327</v>
      </c>
      <c r="B392" s="5">
        <v>391</v>
      </c>
      <c r="C392" s="6" t="s">
        <v>2075</v>
      </c>
      <c r="D392" s="6" t="s">
        <v>568</v>
      </c>
      <c r="E392" s="6">
        <v>2174</v>
      </c>
      <c r="F392" s="6" t="s">
        <v>589</v>
      </c>
      <c r="G392" s="6">
        <v>326</v>
      </c>
      <c r="H392" s="6" t="s">
        <v>84</v>
      </c>
      <c r="I392" s="6" t="s">
        <v>590</v>
      </c>
      <c r="J392" s="6" t="s">
        <v>591</v>
      </c>
      <c r="K392" s="6" t="s">
        <v>18</v>
      </c>
      <c r="L392" s="6">
        <v>77016994</v>
      </c>
      <c r="M392" s="6" t="s">
        <v>3851</v>
      </c>
      <c r="N392" s="6" t="s">
        <v>592</v>
      </c>
      <c r="O392" s="6">
        <v>116</v>
      </c>
      <c r="P392" s="7">
        <v>32492</v>
      </c>
      <c r="Q392" s="6" t="s">
        <v>22</v>
      </c>
      <c r="R392" s="8" t="s">
        <v>1808</v>
      </c>
      <c r="S392" s="6"/>
    </row>
    <row r="393" spans="1:19" ht="25.5" x14ac:dyDescent="0.25">
      <c r="A393" s="5" t="s">
        <v>3327</v>
      </c>
      <c r="B393" s="5">
        <v>392</v>
      </c>
      <c r="C393" s="6" t="s">
        <v>1815</v>
      </c>
      <c r="D393" s="6" t="s">
        <v>568</v>
      </c>
      <c r="E393" s="6">
        <v>2184</v>
      </c>
      <c r="F393" s="6" t="s">
        <v>579</v>
      </c>
      <c r="G393" s="6">
        <v>414</v>
      </c>
      <c r="H393" s="6" t="s">
        <v>580</v>
      </c>
      <c r="I393" s="6" t="s">
        <v>581</v>
      </c>
      <c r="J393" s="6" t="s">
        <v>582</v>
      </c>
      <c r="K393" s="6" t="s">
        <v>18</v>
      </c>
      <c r="L393" s="6">
        <v>8533164</v>
      </c>
      <c r="M393" s="6" t="s">
        <v>19</v>
      </c>
      <c r="N393" s="6" t="s">
        <v>583</v>
      </c>
      <c r="O393" s="6">
        <v>30</v>
      </c>
      <c r="P393" s="7">
        <v>34243</v>
      </c>
      <c r="Q393" s="6" t="s">
        <v>22</v>
      </c>
      <c r="R393" s="8" t="s">
        <v>1808</v>
      </c>
      <c r="S393" s="6"/>
    </row>
    <row r="394" spans="1:19" ht="25.5" x14ac:dyDescent="0.25">
      <c r="A394" s="5" t="s">
        <v>3327</v>
      </c>
      <c r="B394" s="5">
        <v>393</v>
      </c>
      <c r="C394" s="6" t="s">
        <v>2084</v>
      </c>
      <c r="D394" s="6" t="s">
        <v>568</v>
      </c>
      <c r="E394" s="6">
        <v>13</v>
      </c>
      <c r="F394" s="6" t="s">
        <v>633</v>
      </c>
      <c r="G394" s="6">
        <v>2071</v>
      </c>
      <c r="H394" s="6" t="s">
        <v>634</v>
      </c>
      <c r="I394" s="6" t="s">
        <v>635</v>
      </c>
      <c r="J394" s="6" t="s">
        <v>636</v>
      </c>
      <c r="K394" s="6" t="s">
        <v>18</v>
      </c>
      <c r="L394" s="6">
        <v>92497891</v>
      </c>
      <c r="M394" s="6" t="s">
        <v>19</v>
      </c>
      <c r="N394" s="6" t="s">
        <v>583</v>
      </c>
      <c r="O394" s="6">
        <v>22</v>
      </c>
      <c r="P394" s="7">
        <v>32759</v>
      </c>
      <c r="Q394" s="6" t="s">
        <v>22</v>
      </c>
      <c r="R394" s="8" t="s">
        <v>1808</v>
      </c>
      <c r="S394" s="6"/>
    </row>
    <row r="395" spans="1:19" ht="25.5" x14ac:dyDescent="0.25">
      <c r="A395" s="5" t="s">
        <v>3327</v>
      </c>
      <c r="B395" s="5">
        <v>394</v>
      </c>
      <c r="C395" s="6" t="s">
        <v>2076</v>
      </c>
      <c r="D395" s="6" t="s">
        <v>568</v>
      </c>
      <c r="E395" s="6">
        <v>13</v>
      </c>
      <c r="F395" s="6" t="s">
        <v>633</v>
      </c>
      <c r="G395" s="6">
        <v>2071</v>
      </c>
      <c r="H395" s="6" t="s">
        <v>634</v>
      </c>
      <c r="I395" s="6" t="s">
        <v>637</v>
      </c>
      <c r="J395" s="6" t="s">
        <v>638</v>
      </c>
      <c r="K395" s="6" t="s">
        <v>18</v>
      </c>
      <c r="L395" s="6">
        <v>85435810</v>
      </c>
      <c r="M395" s="6" t="s">
        <v>19</v>
      </c>
      <c r="N395" s="6" t="s">
        <v>583</v>
      </c>
      <c r="O395" s="6">
        <v>30</v>
      </c>
      <c r="P395" s="7">
        <v>34243</v>
      </c>
      <c r="Q395" s="6" t="s">
        <v>22</v>
      </c>
      <c r="R395" s="8" t="s">
        <v>1808</v>
      </c>
      <c r="S395" s="6"/>
    </row>
    <row r="396" spans="1:19" ht="25.5" x14ac:dyDescent="0.25">
      <c r="A396" s="5" t="s">
        <v>3327</v>
      </c>
      <c r="B396" s="5">
        <v>395</v>
      </c>
      <c r="C396" s="6" t="s">
        <v>1845</v>
      </c>
      <c r="D396" s="6" t="s">
        <v>568</v>
      </c>
      <c r="E396" s="6">
        <v>16</v>
      </c>
      <c r="F396" s="6" t="s">
        <v>625</v>
      </c>
      <c r="G396" s="6">
        <v>247</v>
      </c>
      <c r="H396" s="6" t="s">
        <v>488</v>
      </c>
      <c r="I396" s="6" t="s">
        <v>626</v>
      </c>
      <c r="J396" s="6" t="s">
        <v>627</v>
      </c>
      <c r="K396" s="6" t="s">
        <v>18</v>
      </c>
      <c r="L396" s="6">
        <v>15043952</v>
      </c>
      <c r="M396" s="6" t="s">
        <v>19</v>
      </c>
      <c r="N396" s="6" t="s">
        <v>583</v>
      </c>
      <c r="O396" s="6">
        <v>20</v>
      </c>
      <c r="P396" s="6" t="s">
        <v>628</v>
      </c>
      <c r="Q396" s="6" t="s">
        <v>22</v>
      </c>
      <c r="R396" s="8" t="s">
        <v>1808</v>
      </c>
      <c r="S396" s="6"/>
    </row>
    <row r="397" spans="1:19" ht="25.5" x14ac:dyDescent="0.25">
      <c r="A397" s="5" t="s">
        <v>3327</v>
      </c>
      <c r="B397" s="5">
        <v>396</v>
      </c>
      <c r="C397" s="6" t="s">
        <v>2077</v>
      </c>
      <c r="D397" s="6" t="s">
        <v>568</v>
      </c>
      <c r="E397" s="6">
        <v>26</v>
      </c>
      <c r="F397" s="6" t="s">
        <v>629</v>
      </c>
      <c r="G397" s="6">
        <v>1383</v>
      </c>
      <c r="H397" s="6" t="s">
        <v>443</v>
      </c>
      <c r="I397" s="6" t="s">
        <v>630</v>
      </c>
      <c r="J397" s="6" t="s">
        <v>631</v>
      </c>
      <c r="K397" s="6" t="s">
        <v>18</v>
      </c>
      <c r="L397" s="6">
        <v>85462531</v>
      </c>
      <c r="M397" s="6" t="s">
        <v>19</v>
      </c>
      <c r="N397" s="6" t="s">
        <v>583</v>
      </c>
      <c r="O397" s="6">
        <v>29</v>
      </c>
      <c r="P397" s="6" t="s">
        <v>632</v>
      </c>
      <c r="Q397" s="6" t="s">
        <v>22</v>
      </c>
      <c r="R397" s="8" t="s">
        <v>1808</v>
      </c>
      <c r="S397" s="6"/>
    </row>
    <row r="398" spans="1:19" ht="25.5" x14ac:dyDescent="0.25">
      <c r="A398" s="5" t="s">
        <v>3327</v>
      </c>
      <c r="B398" s="5">
        <v>397</v>
      </c>
      <c r="C398" s="6" t="s">
        <v>1816</v>
      </c>
      <c r="D398" s="6" t="s">
        <v>568</v>
      </c>
      <c r="E398" s="6">
        <v>12</v>
      </c>
      <c r="F398" s="6" t="s">
        <v>639</v>
      </c>
      <c r="G398" s="6">
        <v>515</v>
      </c>
      <c r="H398" s="6" t="s">
        <v>640</v>
      </c>
      <c r="I398" s="6" t="s">
        <v>641</v>
      </c>
      <c r="J398" s="6" t="s">
        <v>642</v>
      </c>
      <c r="K398" s="6" t="s">
        <v>18</v>
      </c>
      <c r="L398" s="6">
        <v>8694330</v>
      </c>
      <c r="M398" s="6" t="s">
        <v>30</v>
      </c>
      <c r="N398" s="6" t="s">
        <v>583</v>
      </c>
      <c r="O398" s="6">
        <v>9</v>
      </c>
      <c r="P398" s="6" t="s">
        <v>643</v>
      </c>
      <c r="Q398" s="6" t="s">
        <v>22</v>
      </c>
      <c r="R398" s="8" t="s">
        <v>1808</v>
      </c>
      <c r="S398" s="6" t="s">
        <v>3852</v>
      </c>
    </row>
    <row r="399" spans="1:19" ht="25.5" x14ac:dyDescent="0.25">
      <c r="A399" s="5" t="s">
        <v>3327</v>
      </c>
      <c r="B399" s="5">
        <v>398</v>
      </c>
      <c r="C399" s="6" t="s">
        <v>2327</v>
      </c>
      <c r="D399" s="6" t="s">
        <v>568</v>
      </c>
      <c r="E399" s="6">
        <v>33</v>
      </c>
      <c r="F399" s="6" t="s">
        <v>584</v>
      </c>
      <c r="G399" s="6">
        <v>1249</v>
      </c>
      <c r="H399" s="6" t="s">
        <v>585</v>
      </c>
      <c r="I399" s="6" t="s">
        <v>586</v>
      </c>
      <c r="J399" s="6" t="s">
        <v>587</v>
      </c>
      <c r="K399" s="6" t="s">
        <v>18</v>
      </c>
      <c r="L399" s="6">
        <v>1143131130</v>
      </c>
      <c r="M399" s="6" t="s">
        <v>269</v>
      </c>
      <c r="N399" s="6" t="s">
        <v>270</v>
      </c>
      <c r="O399" s="6">
        <v>288107</v>
      </c>
      <c r="P399" s="6" t="s">
        <v>588</v>
      </c>
      <c r="Q399" s="6" t="s">
        <v>22</v>
      </c>
      <c r="R399" s="8" t="s">
        <v>1808</v>
      </c>
      <c r="S399" s="6"/>
    </row>
    <row r="400" spans="1:19" ht="25.5" x14ac:dyDescent="0.25">
      <c r="A400" s="5" t="s">
        <v>3327</v>
      </c>
      <c r="B400" s="5">
        <v>399</v>
      </c>
      <c r="C400" s="6" t="s">
        <v>2326</v>
      </c>
      <c r="D400" s="6" t="s">
        <v>568</v>
      </c>
      <c r="E400" s="6">
        <v>60</v>
      </c>
      <c r="F400" s="6" t="s">
        <v>569</v>
      </c>
      <c r="G400" s="6">
        <v>2111</v>
      </c>
      <c r="H400" s="6" t="s">
        <v>289</v>
      </c>
      <c r="I400" s="6" t="s">
        <v>570</v>
      </c>
      <c r="J400" s="6" t="s">
        <v>571</v>
      </c>
      <c r="K400" s="6" t="s">
        <v>18</v>
      </c>
      <c r="L400" s="6">
        <v>1129537922</v>
      </c>
      <c r="M400" s="6" t="s">
        <v>572</v>
      </c>
      <c r="N400" s="6" t="s">
        <v>270</v>
      </c>
      <c r="O400" s="6" t="s">
        <v>573</v>
      </c>
      <c r="P400" s="6" t="s">
        <v>574</v>
      </c>
      <c r="Q400" s="6" t="s">
        <v>22</v>
      </c>
      <c r="R400" s="8" t="s">
        <v>1808</v>
      </c>
      <c r="S400" s="6"/>
    </row>
    <row r="401" spans="1:19" ht="25.5" x14ac:dyDescent="0.25">
      <c r="A401" s="5" t="s">
        <v>3327</v>
      </c>
      <c r="B401" s="5">
        <v>400</v>
      </c>
      <c r="C401" s="6" t="s">
        <v>2329</v>
      </c>
      <c r="D401" s="6" t="s">
        <v>568</v>
      </c>
      <c r="E401" s="6">
        <v>2218</v>
      </c>
      <c r="F401" s="6" t="s">
        <v>600</v>
      </c>
      <c r="G401" s="6">
        <v>732</v>
      </c>
      <c r="H401" s="6" t="s">
        <v>100</v>
      </c>
      <c r="I401" s="6" t="s">
        <v>601</v>
      </c>
      <c r="J401" s="6" t="s">
        <v>602</v>
      </c>
      <c r="K401" s="6" t="s">
        <v>18</v>
      </c>
      <c r="L401" s="6">
        <v>8662404</v>
      </c>
      <c r="M401" s="6" t="s">
        <v>603</v>
      </c>
      <c r="N401" s="6" t="s">
        <v>592</v>
      </c>
      <c r="O401" s="6">
        <v>95</v>
      </c>
      <c r="P401" s="7">
        <v>29979</v>
      </c>
      <c r="Q401" s="6" t="s">
        <v>22</v>
      </c>
      <c r="R401" s="8" t="s">
        <v>1808</v>
      </c>
      <c r="S401" s="6" t="s">
        <v>3853</v>
      </c>
    </row>
    <row r="402" spans="1:19" ht="25.5" x14ac:dyDescent="0.25">
      <c r="A402" s="5" t="s">
        <v>3327</v>
      </c>
      <c r="B402" s="5">
        <v>401</v>
      </c>
      <c r="C402" s="6" t="s">
        <v>2331</v>
      </c>
      <c r="D402" s="6" t="s">
        <v>568</v>
      </c>
      <c r="E402" s="6">
        <v>2247</v>
      </c>
      <c r="F402" s="6" t="s">
        <v>597</v>
      </c>
      <c r="G402" s="6">
        <v>951</v>
      </c>
      <c r="H402" s="6" t="s">
        <v>111</v>
      </c>
      <c r="I402" s="6" t="s">
        <v>606</v>
      </c>
      <c r="J402" s="6" t="s">
        <v>607</v>
      </c>
      <c r="K402" s="6" t="s">
        <v>18</v>
      </c>
      <c r="L402" s="6">
        <v>92153117</v>
      </c>
      <c r="M402" s="6" t="s">
        <v>3851</v>
      </c>
      <c r="N402" s="6" t="s">
        <v>592</v>
      </c>
      <c r="O402" s="6">
        <v>132</v>
      </c>
      <c r="P402" s="7">
        <v>35454</v>
      </c>
      <c r="Q402" s="6" t="s">
        <v>22</v>
      </c>
      <c r="R402" s="8" t="s">
        <v>1808</v>
      </c>
      <c r="S402" s="6"/>
    </row>
    <row r="403" spans="1:19" ht="25.5" x14ac:dyDescent="0.25">
      <c r="A403" s="5" t="s">
        <v>3327</v>
      </c>
      <c r="B403" s="5">
        <v>402</v>
      </c>
      <c r="C403" s="6" t="s">
        <v>2334</v>
      </c>
      <c r="D403" s="6" t="s">
        <v>568</v>
      </c>
      <c r="E403" s="6">
        <v>5</v>
      </c>
      <c r="F403" s="6" t="s">
        <v>614</v>
      </c>
      <c r="G403" s="6">
        <v>1119</v>
      </c>
      <c r="H403" s="6" t="s">
        <v>384</v>
      </c>
      <c r="I403" s="6" t="s">
        <v>615</v>
      </c>
      <c r="J403" s="6" t="s">
        <v>616</v>
      </c>
      <c r="K403" s="6" t="s">
        <v>18</v>
      </c>
      <c r="L403" s="6">
        <v>72205884</v>
      </c>
      <c r="M403" s="6" t="s">
        <v>3851</v>
      </c>
      <c r="N403" s="6" t="s">
        <v>592</v>
      </c>
      <c r="O403" s="6">
        <v>133</v>
      </c>
      <c r="P403" s="7">
        <v>35671</v>
      </c>
      <c r="Q403" s="6" t="s">
        <v>22</v>
      </c>
      <c r="R403" s="8" t="s">
        <v>1808</v>
      </c>
      <c r="S403" s="6"/>
    </row>
    <row r="404" spans="1:19" ht="25.5" x14ac:dyDescent="0.25">
      <c r="A404" s="5" t="s">
        <v>3327</v>
      </c>
      <c r="B404" s="5">
        <v>403</v>
      </c>
      <c r="C404" s="6" t="s">
        <v>2064</v>
      </c>
      <c r="D404" s="6" t="s">
        <v>568</v>
      </c>
      <c r="E404" s="6">
        <v>27</v>
      </c>
      <c r="F404" s="6" t="s">
        <v>593</v>
      </c>
      <c r="G404" s="6">
        <v>1255</v>
      </c>
      <c r="H404" s="6" t="s">
        <v>594</v>
      </c>
      <c r="I404" s="6" t="s">
        <v>595</v>
      </c>
      <c r="J404" s="6" t="s">
        <v>596</v>
      </c>
      <c r="K404" s="6" t="s">
        <v>18</v>
      </c>
      <c r="L404" s="6">
        <v>72173511</v>
      </c>
      <c r="M404" s="6" t="s">
        <v>3851</v>
      </c>
      <c r="N404" s="6" t="s">
        <v>592</v>
      </c>
      <c r="O404" s="6">
        <v>136</v>
      </c>
      <c r="P404" s="7">
        <v>35832</v>
      </c>
      <c r="Q404" s="6" t="s">
        <v>22</v>
      </c>
      <c r="R404" s="8" t="s">
        <v>1808</v>
      </c>
      <c r="S404" s="6"/>
    </row>
    <row r="405" spans="1:19" ht="25.5" x14ac:dyDescent="0.25">
      <c r="A405" s="5" t="s">
        <v>3327</v>
      </c>
      <c r="B405" s="5">
        <v>404</v>
      </c>
      <c r="C405" s="6" t="s">
        <v>2330</v>
      </c>
      <c r="D405" s="6" t="s">
        <v>568</v>
      </c>
      <c r="E405" s="6">
        <v>2218</v>
      </c>
      <c r="F405" s="6" t="s">
        <v>600</v>
      </c>
      <c r="G405" s="6">
        <v>732</v>
      </c>
      <c r="H405" s="6" t="s">
        <v>100</v>
      </c>
      <c r="I405" s="6" t="s">
        <v>604</v>
      </c>
      <c r="J405" s="6" t="s">
        <v>605</v>
      </c>
      <c r="K405" s="6" t="s">
        <v>18</v>
      </c>
      <c r="L405" s="6">
        <v>72175085</v>
      </c>
      <c r="M405" s="6" t="s">
        <v>3851</v>
      </c>
      <c r="N405" s="6" t="s">
        <v>592</v>
      </c>
      <c r="O405" s="6">
        <v>129</v>
      </c>
      <c r="P405" s="7">
        <v>34915</v>
      </c>
      <c r="Q405" s="6" t="s">
        <v>22</v>
      </c>
      <c r="R405" s="8" t="s">
        <v>1808</v>
      </c>
      <c r="S405" s="6"/>
    </row>
    <row r="406" spans="1:19" ht="25.5" x14ac:dyDescent="0.25">
      <c r="A406" s="5" t="s">
        <v>3327</v>
      </c>
      <c r="B406" s="5">
        <v>405</v>
      </c>
      <c r="C406" s="6" t="s">
        <v>2335</v>
      </c>
      <c r="D406" s="6" t="s">
        <v>568</v>
      </c>
      <c r="E406" s="6">
        <v>9</v>
      </c>
      <c r="F406" s="6" t="s">
        <v>617</v>
      </c>
      <c r="G406" s="6">
        <v>1146</v>
      </c>
      <c r="H406" s="6" t="s">
        <v>618</v>
      </c>
      <c r="I406" s="6" t="s">
        <v>619</v>
      </c>
      <c r="J406" s="6" t="s">
        <v>620</v>
      </c>
      <c r="K406" s="6" t="s">
        <v>18</v>
      </c>
      <c r="L406" s="6">
        <v>92228368</v>
      </c>
      <c r="M406" s="6" t="s">
        <v>3851</v>
      </c>
      <c r="N406" s="6" t="s">
        <v>592</v>
      </c>
      <c r="O406" s="6">
        <v>133</v>
      </c>
      <c r="P406" s="7">
        <v>35671</v>
      </c>
      <c r="Q406" s="6" t="s">
        <v>22</v>
      </c>
      <c r="R406" s="8" t="s">
        <v>1808</v>
      </c>
      <c r="S406" s="6"/>
    </row>
    <row r="407" spans="1:19" ht="25.5" x14ac:dyDescent="0.25">
      <c r="A407" s="5" t="s">
        <v>3327</v>
      </c>
      <c r="B407" s="5">
        <v>406</v>
      </c>
      <c r="C407" s="6" t="s">
        <v>2336</v>
      </c>
      <c r="D407" s="6" t="s">
        <v>568</v>
      </c>
      <c r="E407" s="6">
        <v>38</v>
      </c>
      <c r="F407" s="6" t="s">
        <v>621</v>
      </c>
      <c r="G407" s="6">
        <v>1325</v>
      </c>
      <c r="H407" s="6" t="s">
        <v>622</v>
      </c>
      <c r="I407" s="6" t="s">
        <v>623</v>
      </c>
      <c r="J407" s="6" t="s">
        <v>624</v>
      </c>
      <c r="K407" s="6" t="s">
        <v>18</v>
      </c>
      <c r="L407" s="6">
        <v>8746913</v>
      </c>
      <c r="M407" s="6" t="s">
        <v>3851</v>
      </c>
      <c r="N407" s="6" t="s">
        <v>592</v>
      </c>
      <c r="O407" s="6">
        <v>115</v>
      </c>
      <c r="P407" s="7">
        <v>32374</v>
      </c>
      <c r="Q407" s="6" t="s">
        <v>22</v>
      </c>
      <c r="R407" s="8" t="s">
        <v>1808</v>
      </c>
      <c r="S407" s="6" t="s">
        <v>3854</v>
      </c>
    </row>
    <row r="408" spans="1:19" ht="25.5" x14ac:dyDescent="0.25">
      <c r="A408" s="5" t="s">
        <v>3327</v>
      </c>
      <c r="B408" s="5">
        <v>407</v>
      </c>
      <c r="C408" s="6" t="s">
        <v>2332</v>
      </c>
      <c r="D408" s="6" t="s">
        <v>568</v>
      </c>
      <c r="E408" s="6">
        <v>2256</v>
      </c>
      <c r="F408" s="6" t="s">
        <v>608</v>
      </c>
      <c r="G408" s="6">
        <v>1003</v>
      </c>
      <c r="H408" s="6" t="s">
        <v>115</v>
      </c>
      <c r="I408" s="6" t="s">
        <v>609</v>
      </c>
      <c r="J408" s="6" t="s">
        <v>610</v>
      </c>
      <c r="K408" s="6" t="s">
        <v>18</v>
      </c>
      <c r="L408" s="6">
        <v>77176335</v>
      </c>
      <c r="M408" s="6" t="s">
        <v>3851</v>
      </c>
      <c r="N408" s="6" t="s">
        <v>592</v>
      </c>
      <c r="O408" s="6">
        <v>132</v>
      </c>
      <c r="P408" s="7">
        <v>35454</v>
      </c>
      <c r="Q408" s="6" t="s">
        <v>22</v>
      </c>
      <c r="R408" s="8" t="s">
        <v>1808</v>
      </c>
      <c r="S408" s="6"/>
    </row>
    <row r="409" spans="1:19" ht="25.5" x14ac:dyDescent="0.25">
      <c r="A409" s="5" t="s">
        <v>3327</v>
      </c>
      <c r="B409" s="5">
        <v>408</v>
      </c>
      <c r="C409" s="6" t="s">
        <v>2333</v>
      </c>
      <c r="D409" s="6" t="s">
        <v>568</v>
      </c>
      <c r="E409" s="6">
        <v>2261</v>
      </c>
      <c r="F409" s="6" t="s">
        <v>611</v>
      </c>
      <c r="G409" s="6">
        <v>1060</v>
      </c>
      <c r="H409" s="6" t="s">
        <v>362</v>
      </c>
      <c r="I409" s="6" t="s">
        <v>612</v>
      </c>
      <c r="J409" s="6" t="s">
        <v>613</v>
      </c>
      <c r="K409" s="6" t="s">
        <v>18</v>
      </c>
      <c r="L409" s="6">
        <v>32873220</v>
      </c>
      <c r="M409" s="6" t="s">
        <v>3851</v>
      </c>
      <c r="N409" s="6" t="s">
        <v>592</v>
      </c>
      <c r="O409" s="6">
        <v>133</v>
      </c>
      <c r="P409" s="7">
        <v>35671</v>
      </c>
      <c r="Q409" s="6" t="s">
        <v>22</v>
      </c>
      <c r="R409" s="8" t="s">
        <v>1808</v>
      </c>
      <c r="S409" s="6"/>
    </row>
    <row r="410" spans="1:19" ht="25.5" x14ac:dyDescent="0.25">
      <c r="A410" s="5" t="s">
        <v>3327</v>
      </c>
      <c r="B410" s="5">
        <v>409</v>
      </c>
      <c r="C410" s="6" t="s">
        <v>2339</v>
      </c>
      <c r="D410" s="6" t="s">
        <v>644</v>
      </c>
      <c r="E410" s="6">
        <v>8</v>
      </c>
      <c r="F410" s="6" t="s">
        <v>645</v>
      </c>
      <c r="G410" s="6">
        <v>45</v>
      </c>
      <c r="H410" s="6" t="s">
        <v>646</v>
      </c>
      <c r="I410" s="6" t="s">
        <v>652</v>
      </c>
      <c r="J410" s="6" t="s">
        <v>653</v>
      </c>
      <c r="K410" s="6" t="s">
        <v>18</v>
      </c>
      <c r="L410" s="6">
        <v>34994952</v>
      </c>
      <c r="M410" s="6" t="s">
        <v>50</v>
      </c>
      <c r="N410" s="6" t="s">
        <v>686</v>
      </c>
      <c r="O410" s="6">
        <v>114</v>
      </c>
      <c r="P410" s="7">
        <v>33207</v>
      </c>
      <c r="Q410" s="6" t="s">
        <v>22</v>
      </c>
      <c r="R410" s="8" t="s">
        <v>1808</v>
      </c>
      <c r="S410" s="6"/>
    </row>
    <row r="411" spans="1:19" ht="25.5" x14ac:dyDescent="0.25">
      <c r="A411" s="5" t="s">
        <v>3327</v>
      </c>
      <c r="B411" s="5">
        <v>410</v>
      </c>
      <c r="C411" s="6" t="s">
        <v>2338</v>
      </c>
      <c r="D411" s="6" t="s">
        <v>644</v>
      </c>
      <c r="E411" s="6">
        <v>8</v>
      </c>
      <c r="F411" s="6" t="s">
        <v>645</v>
      </c>
      <c r="G411" s="6">
        <v>45</v>
      </c>
      <c r="H411" s="6" t="s">
        <v>646</v>
      </c>
      <c r="I411" s="6" t="s">
        <v>650</v>
      </c>
      <c r="J411" s="6" t="s">
        <v>651</v>
      </c>
      <c r="K411" s="6" t="s">
        <v>18</v>
      </c>
      <c r="L411" s="6">
        <v>45471042</v>
      </c>
      <c r="M411" s="6" t="s">
        <v>401</v>
      </c>
      <c r="N411" s="6" t="s">
        <v>686</v>
      </c>
      <c r="O411" s="6" t="s">
        <v>21</v>
      </c>
      <c r="P411" s="7">
        <v>33060</v>
      </c>
      <c r="Q411" s="6" t="s">
        <v>22</v>
      </c>
      <c r="R411" s="8" t="s">
        <v>1808</v>
      </c>
      <c r="S411" s="6"/>
    </row>
    <row r="412" spans="1:19" ht="25.5" x14ac:dyDescent="0.25">
      <c r="A412" s="5" t="s">
        <v>3327</v>
      </c>
      <c r="B412" s="5">
        <v>411</v>
      </c>
      <c r="C412" s="6" t="s">
        <v>2340</v>
      </c>
      <c r="D412" s="6" t="s">
        <v>644</v>
      </c>
      <c r="E412" s="6">
        <v>8</v>
      </c>
      <c r="F412" s="6" t="s">
        <v>645</v>
      </c>
      <c r="G412" s="6">
        <v>45</v>
      </c>
      <c r="H412" s="6" t="s">
        <v>646</v>
      </c>
      <c r="I412" s="6" t="s">
        <v>654</v>
      </c>
      <c r="J412" s="6" t="s">
        <v>655</v>
      </c>
      <c r="K412" s="6" t="s">
        <v>18</v>
      </c>
      <c r="L412" s="6">
        <v>45470997</v>
      </c>
      <c r="M412" s="6" t="s">
        <v>50</v>
      </c>
      <c r="N412" s="6" t="s">
        <v>686</v>
      </c>
      <c r="O412" s="6">
        <v>43</v>
      </c>
      <c r="P412" s="7">
        <v>33417</v>
      </c>
      <c r="Q412" s="6" t="s">
        <v>22</v>
      </c>
      <c r="R412" s="8" t="s">
        <v>1808</v>
      </c>
      <c r="S412" s="6"/>
    </row>
    <row r="413" spans="1:19" ht="25.5" x14ac:dyDescent="0.25">
      <c r="A413" s="5" t="s">
        <v>3327</v>
      </c>
      <c r="B413" s="5">
        <v>412</v>
      </c>
      <c r="C413" s="6" t="s">
        <v>2337</v>
      </c>
      <c r="D413" s="6" t="s">
        <v>644</v>
      </c>
      <c r="E413" s="6">
        <v>8</v>
      </c>
      <c r="F413" s="6" t="s">
        <v>645</v>
      </c>
      <c r="G413" s="6">
        <v>45</v>
      </c>
      <c r="H413" s="6" t="s">
        <v>646</v>
      </c>
      <c r="I413" s="6" t="s">
        <v>647</v>
      </c>
      <c r="J413" s="6" t="s">
        <v>648</v>
      </c>
      <c r="K413" s="6" t="s">
        <v>18</v>
      </c>
      <c r="L413" s="6">
        <v>33143049</v>
      </c>
      <c r="M413" s="6" t="s">
        <v>186</v>
      </c>
      <c r="N413" s="6" t="s">
        <v>649</v>
      </c>
      <c r="O413" s="6" t="s">
        <v>21</v>
      </c>
      <c r="P413" s="7">
        <v>27815</v>
      </c>
      <c r="Q413" s="6" t="s">
        <v>22</v>
      </c>
      <c r="R413" s="8" t="s">
        <v>1808</v>
      </c>
      <c r="S413" s="6"/>
    </row>
    <row r="414" spans="1:19" ht="25.5" x14ac:dyDescent="0.25">
      <c r="A414" s="5" t="s">
        <v>3327</v>
      </c>
      <c r="B414" s="5">
        <v>413</v>
      </c>
      <c r="C414" s="6" t="s">
        <v>2342</v>
      </c>
      <c r="D414" s="6" t="s">
        <v>644</v>
      </c>
      <c r="E414" s="6">
        <v>8</v>
      </c>
      <c r="F414" s="6" t="s">
        <v>645</v>
      </c>
      <c r="G414" s="6">
        <v>45</v>
      </c>
      <c r="H414" s="6" t="s">
        <v>646</v>
      </c>
      <c r="I414" s="6" t="s">
        <v>658</v>
      </c>
      <c r="J414" s="6" t="s">
        <v>659</v>
      </c>
      <c r="K414" s="6" t="s">
        <v>18</v>
      </c>
      <c r="L414" s="6">
        <v>45445272</v>
      </c>
      <c r="M414" s="6" t="s">
        <v>50</v>
      </c>
      <c r="N414" s="6" t="s">
        <v>686</v>
      </c>
      <c r="O414" s="6">
        <v>1602</v>
      </c>
      <c r="P414" s="7">
        <v>31961</v>
      </c>
      <c r="Q414" s="6" t="s">
        <v>22</v>
      </c>
      <c r="R414" s="8" t="s">
        <v>1808</v>
      </c>
      <c r="S414" s="6"/>
    </row>
    <row r="415" spans="1:19" ht="25.5" x14ac:dyDescent="0.25">
      <c r="A415" s="5" t="s">
        <v>3327</v>
      </c>
      <c r="B415" s="5">
        <v>414</v>
      </c>
      <c r="C415" s="6" t="s">
        <v>2341</v>
      </c>
      <c r="D415" s="6" t="s">
        <v>644</v>
      </c>
      <c r="E415" s="6">
        <v>8</v>
      </c>
      <c r="F415" s="6" t="s">
        <v>645</v>
      </c>
      <c r="G415" s="6">
        <v>45</v>
      </c>
      <c r="H415" s="6" t="s">
        <v>646</v>
      </c>
      <c r="I415" s="6" t="s">
        <v>656</v>
      </c>
      <c r="J415" s="6" t="s">
        <v>657</v>
      </c>
      <c r="K415" s="6" t="s">
        <v>18</v>
      </c>
      <c r="L415" s="6">
        <v>45424687</v>
      </c>
      <c r="M415" s="6" t="s">
        <v>50</v>
      </c>
      <c r="N415" s="6" t="s">
        <v>686</v>
      </c>
      <c r="O415" s="6" t="s">
        <v>21</v>
      </c>
      <c r="P415" s="7">
        <v>29875</v>
      </c>
      <c r="Q415" s="6" t="s">
        <v>22</v>
      </c>
      <c r="R415" s="8" t="s">
        <v>1808</v>
      </c>
      <c r="S415" s="6"/>
    </row>
    <row r="416" spans="1:19" ht="25.5" x14ac:dyDescent="0.25">
      <c r="A416" s="5" t="s">
        <v>3327</v>
      </c>
      <c r="B416" s="5">
        <v>415</v>
      </c>
      <c r="C416" s="6" t="s">
        <v>2343</v>
      </c>
      <c r="D416" s="6" t="s">
        <v>644</v>
      </c>
      <c r="E416" s="6">
        <v>12</v>
      </c>
      <c r="F416" s="6" t="s">
        <v>51</v>
      </c>
      <c r="G416" s="6">
        <v>37</v>
      </c>
      <c r="H416" s="6" t="s">
        <v>57</v>
      </c>
      <c r="I416" s="6" t="s">
        <v>660</v>
      </c>
      <c r="J416" s="6" t="s">
        <v>661</v>
      </c>
      <c r="K416" s="6" t="s">
        <v>18</v>
      </c>
      <c r="L416" s="6">
        <v>45430350</v>
      </c>
      <c r="M416" s="6" t="s">
        <v>50</v>
      </c>
      <c r="N416" s="6" t="s">
        <v>686</v>
      </c>
      <c r="O416" s="6" t="s">
        <v>21</v>
      </c>
      <c r="P416" s="7">
        <v>29937</v>
      </c>
      <c r="Q416" s="6" t="s">
        <v>22</v>
      </c>
      <c r="R416" s="8" t="s">
        <v>1808</v>
      </c>
      <c r="S416" s="6"/>
    </row>
    <row r="417" spans="1:19" ht="25.5" x14ac:dyDescent="0.25">
      <c r="A417" s="5" t="s">
        <v>3327</v>
      </c>
      <c r="B417" s="5">
        <v>416</v>
      </c>
      <c r="C417" s="6" t="s">
        <v>2344</v>
      </c>
      <c r="D417" s="6" t="s">
        <v>644</v>
      </c>
      <c r="E417" s="6">
        <v>3</v>
      </c>
      <c r="F417" s="6" t="s">
        <v>662</v>
      </c>
      <c r="G417" s="6">
        <v>66</v>
      </c>
      <c r="H417" s="6" t="s">
        <v>60</v>
      </c>
      <c r="I417" s="6" t="s">
        <v>663</v>
      </c>
      <c r="J417" s="6" t="s">
        <v>664</v>
      </c>
      <c r="K417" s="6" t="s">
        <v>18</v>
      </c>
      <c r="L417" s="6">
        <v>886248</v>
      </c>
      <c r="M417" s="6" t="s">
        <v>50</v>
      </c>
      <c r="N417" s="6" t="s">
        <v>686</v>
      </c>
      <c r="O417" s="6" t="s">
        <v>21</v>
      </c>
      <c r="P417" s="7">
        <v>31667</v>
      </c>
      <c r="Q417" s="6" t="s">
        <v>22</v>
      </c>
      <c r="R417" s="8" t="s">
        <v>1808</v>
      </c>
      <c r="S417" s="6"/>
    </row>
    <row r="418" spans="1:19" ht="25.5" x14ac:dyDescent="0.25">
      <c r="A418" s="5" t="s">
        <v>3327</v>
      </c>
      <c r="B418" s="5">
        <v>417</v>
      </c>
      <c r="C418" s="6" t="s">
        <v>2345</v>
      </c>
      <c r="D418" s="6" t="s">
        <v>644</v>
      </c>
      <c r="E418" s="6">
        <v>6</v>
      </c>
      <c r="F418" s="6" t="s">
        <v>665</v>
      </c>
      <c r="G418" s="6">
        <v>113</v>
      </c>
      <c r="H418" s="6" t="s">
        <v>666</v>
      </c>
      <c r="I418" s="6" t="s">
        <v>667</v>
      </c>
      <c r="J418" s="6" t="s">
        <v>668</v>
      </c>
      <c r="K418" s="6" t="s">
        <v>18</v>
      </c>
      <c r="L418" s="6">
        <v>22776567</v>
      </c>
      <c r="M418" s="6" t="s">
        <v>50</v>
      </c>
      <c r="N418" s="6" t="s">
        <v>686</v>
      </c>
      <c r="O418" s="6" t="s">
        <v>21</v>
      </c>
      <c r="P418" s="7">
        <v>31526</v>
      </c>
      <c r="Q418" s="6" t="s">
        <v>22</v>
      </c>
      <c r="R418" s="8" t="s">
        <v>1808</v>
      </c>
      <c r="S418" s="6"/>
    </row>
    <row r="419" spans="1:19" ht="25.5" x14ac:dyDescent="0.25">
      <c r="A419" s="5" t="s">
        <v>3327</v>
      </c>
      <c r="B419" s="5">
        <v>418</v>
      </c>
      <c r="C419" s="6" t="s">
        <v>2346</v>
      </c>
      <c r="D419" s="6" t="s">
        <v>644</v>
      </c>
      <c r="E419" s="6">
        <v>6</v>
      </c>
      <c r="F419" s="6" t="s">
        <v>665</v>
      </c>
      <c r="G419" s="6">
        <v>113</v>
      </c>
      <c r="H419" s="6" t="s">
        <v>666</v>
      </c>
      <c r="I419" s="6" t="s">
        <v>669</v>
      </c>
      <c r="J419" s="6" t="s">
        <v>670</v>
      </c>
      <c r="K419" s="6" t="s">
        <v>18</v>
      </c>
      <c r="L419" s="6">
        <v>45495420</v>
      </c>
      <c r="M419" s="6" t="s">
        <v>50</v>
      </c>
      <c r="N419" s="6" t="s">
        <v>686</v>
      </c>
      <c r="O419" s="6">
        <v>98</v>
      </c>
      <c r="P419" s="7">
        <v>33578</v>
      </c>
      <c r="Q419" s="6" t="s">
        <v>22</v>
      </c>
      <c r="R419" s="8" t="s">
        <v>1808</v>
      </c>
      <c r="S419" s="6" t="s">
        <v>3842</v>
      </c>
    </row>
    <row r="420" spans="1:19" ht="25.5" x14ac:dyDescent="0.25">
      <c r="A420" s="5" t="s">
        <v>3327</v>
      </c>
      <c r="B420" s="5">
        <v>419</v>
      </c>
      <c r="C420" s="6" t="s">
        <v>2349</v>
      </c>
      <c r="D420" s="6" t="s">
        <v>644</v>
      </c>
      <c r="E420" s="6">
        <v>10</v>
      </c>
      <c r="F420" s="6" t="s">
        <v>671</v>
      </c>
      <c r="G420" s="6">
        <v>218</v>
      </c>
      <c r="H420" s="6" t="s">
        <v>672</v>
      </c>
      <c r="I420" s="6" t="s">
        <v>677</v>
      </c>
      <c r="J420" s="6" t="s">
        <v>678</v>
      </c>
      <c r="K420" s="6" t="s">
        <v>18</v>
      </c>
      <c r="L420" s="6">
        <v>34988146</v>
      </c>
      <c r="M420" s="6" t="s">
        <v>50</v>
      </c>
      <c r="N420" s="6" t="s">
        <v>686</v>
      </c>
      <c r="O420" s="6">
        <v>94</v>
      </c>
      <c r="P420" s="7">
        <v>33942</v>
      </c>
      <c r="Q420" s="6" t="s">
        <v>22</v>
      </c>
      <c r="R420" s="8" t="s">
        <v>1808</v>
      </c>
      <c r="S420" s="6"/>
    </row>
    <row r="421" spans="1:19" ht="25.5" x14ac:dyDescent="0.25">
      <c r="A421" s="5" t="s">
        <v>3327</v>
      </c>
      <c r="B421" s="5">
        <v>420</v>
      </c>
      <c r="C421" s="6" t="s">
        <v>2347</v>
      </c>
      <c r="D421" s="6" t="s">
        <v>644</v>
      </c>
      <c r="E421" s="6">
        <v>10</v>
      </c>
      <c r="F421" s="6" t="s">
        <v>671</v>
      </c>
      <c r="G421" s="6">
        <v>218</v>
      </c>
      <c r="H421" s="6" t="s">
        <v>672</v>
      </c>
      <c r="I421" s="6" t="s">
        <v>673</v>
      </c>
      <c r="J421" s="6" t="s">
        <v>674</v>
      </c>
      <c r="K421" s="6" t="s">
        <v>18</v>
      </c>
      <c r="L421" s="6">
        <v>45452100</v>
      </c>
      <c r="M421" s="6" t="s">
        <v>50</v>
      </c>
      <c r="N421" s="6" t="s">
        <v>686</v>
      </c>
      <c r="O421" s="6" t="s">
        <v>21</v>
      </c>
      <c r="P421" s="7">
        <v>32318</v>
      </c>
      <c r="Q421" s="6" t="s">
        <v>22</v>
      </c>
      <c r="R421" s="8" t="s">
        <v>1808</v>
      </c>
      <c r="S421" s="6"/>
    </row>
    <row r="422" spans="1:19" ht="25.5" x14ac:dyDescent="0.25">
      <c r="A422" s="5" t="s">
        <v>3327</v>
      </c>
      <c r="B422" s="5">
        <v>421</v>
      </c>
      <c r="C422" s="6" t="s">
        <v>2348</v>
      </c>
      <c r="D422" s="6" t="s">
        <v>644</v>
      </c>
      <c r="E422" s="6">
        <v>10</v>
      </c>
      <c r="F422" s="6" t="s">
        <v>671</v>
      </c>
      <c r="G422" s="6">
        <v>218</v>
      </c>
      <c r="H422" s="6" t="s">
        <v>672</v>
      </c>
      <c r="I422" s="6" t="s">
        <v>675</v>
      </c>
      <c r="J422" s="6" t="s">
        <v>676</v>
      </c>
      <c r="K422" s="6" t="s">
        <v>18</v>
      </c>
      <c r="L422" s="6">
        <v>45460091</v>
      </c>
      <c r="M422" s="6" t="s">
        <v>50</v>
      </c>
      <c r="N422" s="6" t="s">
        <v>686</v>
      </c>
      <c r="O422" s="6">
        <v>1821</v>
      </c>
      <c r="P422" s="7">
        <v>32318</v>
      </c>
      <c r="Q422" s="6" t="s">
        <v>22</v>
      </c>
      <c r="R422" s="8" t="s">
        <v>1808</v>
      </c>
      <c r="S422" s="6"/>
    </row>
    <row r="423" spans="1:19" ht="25.5" x14ac:dyDescent="0.25">
      <c r="A423" s="5" t="s">
        <v>3327</v>
      </c>
      <c r="B423" s="5">
        <v>422</v>
      </c>
      <c r="C423" s="6" t="s">
        <v>2352</v>
      </c>
      <c r="D423" s="6" t="s">
        <v>644</v>
      </c>
      <c r="E423" s="6">
        <v>17</v>
      </c>
      <c r="F423" s="6" t="s">
        <v>682</v>
      </c>
      <c r="G423" s="6">
        <v>654</v>
      </c>
      <c r="H423" s="6" t="s">
        <v>683</v>
      </c>
      <c r="I423" s="6" t="s">
        <v>687</v>
      </c>
      <c r="J423" s="6" t="s">
        <v>688</v>
      </c>
      <c r="K423" s="6" t="s">
        <v>18</v>
      </c>
      <c r="L423" s="6">
        <v>45485773</v>
      </c>
      <c r="M423" s="6" t="s">
        <v>50</v>
      </c>
      <c r="N423" s="6" t="s">
        <v>686</v>
      </c>
      <c r="O423" s="6">
        <v>94</v>
      </c>
      <c r="P423" s="7">
        <v>33942</v>
      </c>
      <c r="Q423" s="6" t="s">
        <v>22</v>
      </c>
      <c r="R423" s="8" t="s">
        <v>1808</v>
      </c>
      <c r="S423" s="6"/>
    </row>
    <row r="424" spans="1:19" ht="25.5" x14ac:dyDescent="0.25">
      <c r="A424" s="5" t="s">
        <v>3327</v>
      </c>
      <c r="B424" s="5">
        <v>423</v>
      </c>
      <c r="C424" s="6" t="s">
        <v>2351</v>
      </c>
      <c r="D424" s="6" t="s">
        <v>644</v>
      </c>
      <c r="E424" s="6">
        <v>17</v>
      </c>
      <c r="F424" s="6" t="s">
        <v>682</v>
      </c>
      <c r="G424" s="6">
        <v>654</v>
      </c>
      <c r="H424" s="6" t="s">
        <v>683</v>
      </c>
      <c r="I424" s="6" t="s">
        <v>684</v>
      </c>
      <c r="J424" s="6" t="s">
        <v>685</v>
      </c>
      <c r="K424" s="6" t="s">
        <v>18</v>
      </c>
      <c r="L424" s="6">
        <v>30773651</v>
      </c>
      <c r="M424" s="6" t="s">
        <v>50</v>
      </c>
      <c r="N424" s="6" t="s">
        <v>686</v>
      </c>
      <c r="O424" s="6">
        <v>98</v>
      </c>
      <c r="P424" s="7">
        <v>33578</v>
      </c>
      <c r="Q424" s="6" t="s">
        <v>22</v>
      </c>
      <c r="R424" s="8" t="s">
        <v>1808</v>
      </c>
      <c r="S424" s="6"/>
    </row>
    <row r="425" spans="1:19" ht="25.5" x14ac:dyDescent="0.25">
      <c r="A425" s="5" t="s">
        <v>3327</v>
      </c>
      <c r="B425" s="5">
        <v>424</v>
      </c>
      <c r="C425" s="6" t="s">
        <v>2354</v>
      </c>
      <c r="D425" s="6" t="s">
        <v>644</v>
      </c>
      <c r="E425" s="6">
        <v>14</v>
      </c>
      <c r="F425" s="6" t="s">
        <v>786</v>
      </c>
      <c r="G425" s="6">
        <v>891</v>
      </c>
      <c r="H425" s="6" t="s">
        <v>787</v>
      </c>
      <c r="I425" s="6" t="s">
        <v>788</v>
      </c>
      <c r="J425" s="6" t="s">
        <v>789</v>
      </c>
      <c r="K425" s="6" t="s">
        <v>18</v>
      </c>
      <c r="L425" s="6">
        <v>64867731</v>
      </c>
      <c r="M425" s="6" t="s">
        <v>790</v>
      </c>
      <c r="N425" s="6" t="s">
        <v>782</v>
      </c>
      <c r="O425" s="6">
        <v>4422</v>
      </c>
      <c r="P425" s="7">
        <v>35258</v>
      </c>
      <c r="Q425" s="6" t="s">
        <v>22</v>
      </c>
      <c r="R425" s="8" t="s">
        <v>1808</v>
      </c>
      <c r="S425" s="6"/>
    </row>
    <row r="426" spans="1:19" ht="25.5" x14ac:dyDescent="0.25">
      <c r="A426" s="5" t="s">
        <v>3327</v>
      </c>
      <c r="B426" s="5">
        <v>425</v>
      </c>
      <c r="C426" s="6" t="s">
        <v>2067</v>
      </c>
      <c r="D426" s="6" t="s">
        <v>644</v>
      </c>
      <c r="E426" s="6">
        <v>8</v>
      </c>
      <c r="F426" s="6" t="s">
        <v>791</v>
      </c>
      <c r="G426" s="6">
        <v>3428</v>
      </c>
      <c r="H426" s="6" t="s">
        <v>792</v>
      </c>
      <c r="I426" s="6" t="s">
        <v>793</v>
      </c>
      <c r="J426" s="6" t="s">
        <v>794</v>
      </c>
      <c r="K426" s="6" t="s">
        <v>18</v>
      </c>
      <c r="L426" s="6">
        <v>73127431</v>
      </c>
      <c r="M426" s="6" t="s">
        <v>50</v>
      </c>
      <c r="N426" s="6" t="s">
        <v>686</v>
      </c>
      <c r="O426" s="6">
        <v>51</v>
      </c>
      <c r="P426" s="7">
        <v>34516</v>
      </c>
      <c r="Q426" s="6" t="s">
        <v>22</v>
      </c>
      <c r="R426" s="8" t="s">
        <v>1808</v>
      </c>
      <c r="S426" s="6" t="s">
        <v>3842</v>
      </c>
    </row>
    <row r="427" spans="1:19" ht="25.5" x14ac:dyDescent="0.25">
      <c r="A427" s="5" t="s">
        <v>3327</v>
      </c>
      <c r="B427" s="5">
        <v>426</v>
      </c>
      <c r="C427" s="6" t="s">
        <v>2069</v>
      </c>
      <c r="D427" s="6" t="s">
        <v>644</v>
      </c>
      <c r="E427" s="6">
        <v>12</v>
      </c>
      <c r="F427" s="6" t="s">
        <v>795</v>
      </c>
      <c r="G427" s="6">
        <v>321</v>
      </c>
      <c r="H427" s="6" t="s">
        <v>492</v>
      </c>
      <c r="I427" s="6" t="s">
        <v>796</v>
      </c>
      <c r="J427" s="6" t="s">
        <v>797</v>
      </c>
      <c r="K427" s="6" t="s">
        <v>18</v>
      </c>
      <c r="L427" s="6">
        <v>73157620</v>
      </c>
      <c r="M427" s="6" t="s">
        <v>50</v>
      </c>
      <c r="N427" s="6" t="s">
        <v>686</v>
      </c>
      <c r="O427" s="6">
        <v>25</v>
      </c>
      <c r="P427" s="6" t="s">
        <v>798</v>
      </c>
      <c r="Q427" s="6" t="s">
        <v>22</v>
      </c>
      <c r="R427" s="8" t="s">
        <v>1808</v>
      </c>
      <c r="S427" s="6"/>
    </row>
    <row r="428" spans="1:19" ht="25.5" x14ac:dyDescent="0.25">
      <c r="A428" s="5" t="s">
        <v>3327</v>
      </c>
      <c r="B428" s="5">
        <v>427</v>
      </c>
      <c r="C428" s="6" t="s">
        <v>1861</v>
      </c>
      <c r="D428" s="6" t="s">
        <v>644</v>
      </c>
      <c r="E428" s="6">
        <v>4</v>
      </c>
      <c r="F428" s="6" t="s">
        <v>812</v>
      </c>
      <c r="G428" s="6">
        <v>119</v>
      </c>
      <c r="H428" s="6" t="s">
        <v>813</v>
      </c>
      <c r="I428" s="6" t="s">
        <v>814</v>
      </c>
      <c r="J428" s="6" t="s">
        <v>815</v>
      </c>
      <c r="K428" s="6" t="s">
        <v>18</v>
      </c>
      <c r="L428" s="6">
        <v>23217669</v>
      </c>
      <c r="M428" s="6" t="s">
        <v>50</v>
      </c>
      <c r="N428" s="6" t="s">
        <v>686</v>
      </c>
      <c r="O428" s="6" t="s">
        <v>816</v>
      </c>
      <c r="P428" s="6" t="s">
        <v>712</v>
      </c>
      <c r="Q428" s="6" t="s">
        <v>22</v>
      </c>
      <c r="R428" s="8" t="s">
        <v>1808</v>
      </c>
      <c r="S428" s="6"/>
    </row>
    <row r="429" spans="1:19" ht="25.5" x14ac:dyDescent="0.25">
      <c r="A429" s="5" t="s">
        <v>3327</v>
      </c>
      <c r="B429" s="5">
        <v>428</v>
      </c>
      <c r="C429" s="6" t="s">
        <v>2023</v>
      </c>
      <c r="D429" s="6" t="s">
        <v>644</v>
      </c>
      <c r="E429" s="6">
        <v>8</v>
      </c>
      <c r="F429" s="6" t="s">
        <v>691</v>
      </c>
      <c r="G429" s="6">
        <v>207</v>
      </c>
      <c r="H429" s="6" t="s">
        <v>692</v>
      </c>
      <c r="I429" s="6" t="s">
        <v>693</v>
      </c>
      <c r="J429" s="6" t="s">
        <v>694</v>
      </c>
      <c r="K429" s="6" t="s">
        <v>18</v>
      </c>
      <c r="L429" s="6">
        <v>45468496</v>
      </c>
      <c r="M429" s="6" t="s">
        <v>50</v>
      </c>
      <c r="N429" s="6" t="s">
        <v>686</v>
      </c>
      <c r="O429" s="6">
        <v>43</v>
      </c>
      <c r="P429" s="6" t="s">
        <v>695</v>
      </c>
      <c r="Q429" s="6" t="s">
        <v>22</v>
      </c>
      <c r="R429" s="8" t="s">
        <v>1808</v>
      </c>
      <c r="S429" s="6"/>
    </row>
    <row r="430" spans="1:19" ht="25.5" x14ac:dyDescent="0.25">
      <c r="A430" s="5" t="s">
        <v>3327</v>
      </c>
      <c r="B430" s="5">
        <v>429</v>
      </c>
      <c r="C430" s="6" t="s">
        <v>2025</v>
      </c>
      <c r="D430" s="6" t="s">
        <v>644</v>
      </c>
      <c r="E430" s="6">
        <v>12</v>
      </c>
      <c r="F430" s="6" t="s">
        <v>817</v>
      </c>
      <c r="G430" s="6">
        <v>347</v>
      </c>
      <c r="H430" s="6" t="s">
        <v>818</v>
      </c>
      <c r="I430" s="6" t="s">
        <v>819</v>
      </c>
      <c r="J430" s="6" t="s">
        <v>820</v>
      </c>
      <c r="K430" s="6" t="s">
        <v>18</v>
      </c>
      <c r="L430" s="6">
        <v>45500628</v>
      </c>
      <c r="M430" s="6" t="s">
        <v>50</v>
      </c>
      <c r="N430" s="6" t="s">
        <v>686</v>
      </c>
      <c r="O430" s="6">
        <v>147</v>
      </c>
      <c r="P430" s="6" t="s">
        <v>821</v>
      </c>
      <c r="Q430" s="6" t="s">
        <v>22</v>
      </c>
      <c r="R430" s="8" t="s">
        <v>1808</v>
      </c>
      <c r="S430" s="6"/>
    </row>
    <row r="431" spans="1:19" ht="25.5" x14ac:dyDescent="0.25">
      <c r="A431" s="5" t="s">
        <v>3327</v>
      </c>
      <c r="B431" s="5">
        <v>430</v>
      </c>
      <c r="C431" s="6" t="s">
        <v>2021</v>
      </c>
      <c r="D431" s="6" t="s">
        <v>644</v>
      </c>
      <c r="E431" s="6">
        <v>17</v>
      </c>
      <c r="F431" s="6" t="s">
        <v>808</v>
      </c>
      <c r="G431" s="6">
        <v>519</v>
      </c>
      <c r="H431" s="6" t="s">
        <v>809</v>
      </c>
      <c r="I431" s="6" t="s">
        <v>810</v>
      </c>
      <c r="J431" s="6" t="s">
        <v>420</v>
      </c>
      <c r="K431" s="6" t="s">
        <v>18</v>
      </c>
      <c r="L431" s="6">
        <v>45452957</v>
      </c>
      <c r="M431" s="6" t="s">
        <v>50</v>
      </c>
      <c r="N431" s="6" t="s">
        <v>686</v>
      </c>
      <c r="O431" s="6">
        <v>3</v>
      </c>
      <c r="P431" s="6" t="s">
        <v>811</v>
      </c>
      <c r="Q431" s="6" t="s">
        <v>22</v>
      </c>
      <c r="R431" s="8" t="s">
        <v>1808</v>
      </c>
      <c r="S431" s="6"/>
    </row>
    <row r="432" spans="1:19" ht="25.5" x14ac:dyDescent="0.25">
      <c r="A432" s="5" t="s">
        <v>3327</v>
      </c>
      <c r="B432" s="5">
        <v>431</v>
      </c>
      <c r="C432" s="6" t="s">
        <v>1812</v>
      </c>
      <c r="D432" s="6" t="s">
        <v>644</v>
      </c>
      <c r="E432" s="6">
        <v>10</v>
      </c>
      <c r="F432" s="6" t="s">
        <v>799</v>
      </c>
      <c r="G432" s="6">
        <v>343</v>
      </c>
      <c r="H432" s="6" t="s">
        <v>800</v>
      </c>
      <c r="I432" s="6" t="s">
        <v>801</v>
      </c>
      <c r="J432" s="6" t="s">
        <v>291</v>
      </c>
      <c r="K432" s="6" t="s">
        <v>18</v>
      </c>
      <c r="L432" s="6">
        <v>3817375</v>
      </c>
      <c r="M432" s="6" t="s">
        <v>50</v>
      </c>
      <c r="N432" s="6" t="s">
        <v>716</v>
      </c>
      <c r="O432" s="6">
        <v>54</v>
      </c>
      <c r="P432" s="6" t="s">
        <v>802</v>
      </c>
      <c r="Q432" s="6" t="s">
        <v>22</v>
      </c>
      <c r="R432" s="8" t="s">
        <v>1808</v>
      </c>
      <c r="S432" s="6"/>
    </row>
    <row r="433" spans="1:19" ht="25.5" x14ac:dyDescent="0.25">
      <c r="A433" s="5" t="s">
        <v>3327</v>
      </c>
      <c r="B433" s="5">
        <v>432</v>
      </c>
      <c r="C433" s="6" t="s">
        <v>2028</v>
      </c>
      <c r="D433" s="6" t="s">
        <v>644</v>
      </c>
      <c r="E433" s="6">
        <v>7</v>
      </c>
      <c r="F433" s="6" t="s">
        <v>803</v>
      </c>
      <c r="G433" s="6">
        <v>490</v>
      </c>
      <c r="H433" s="6" t="s">
        <v>804</v>
      </c>
      <c r="I433" s="6" t="s">
        <v>805</v>
      </c>
      <c r="J433" s="6" t="s">
        <v>806</v>
      </c>
      <c r="K433" s="6" t="s">
        <v>18</v>
      </c>
      <c r="L433" s="6">
        <v>45522689</v>
      </c>
      <c r="M433" s="6" t="s">
        <v>50</v>
      </c>
      <c r="N433" s="6" t="s">
        <v>686</v>
      </c>
      <c r="O433" s="6">
        <v>334</v>
      </c>
      <c r="P433" s="6" t="s">
        <v>807</v>
      </c>
      <c r="Q433" s="6" t="s">
        <v>22</v>
      </c>
      <c r="R433" s="8" t="s">
        <v>1808</v>
      </c>
      <c r="S433" s="6"/>
    </row>
    <row r="434" spans="1:19" ht="25.5" x14ac:dyDescent="0.25">
      <c r="A434" s="5" t="s">
        <v>3327</v>
      </c>
      <c r="B434" s="5">
        <v>433</v>
      </c>
      <c r="C434" s="6" t="s">
        <v>2070</v>
      </c>
      <c r="D434" s="6" t="s">
        <v>644</v>
      </c>
      <c r="E434" s="6">
        <v>9</v>
      </c>
      <c r="F434" s="6" t="s">
        <v>822</v>
      </c>
      <c r="G434" s="6">
        <v>617</v>
      </c>
      <c r="H434" s="6" t="s">
        <v>550</v>
      </c>
      <c r="I434" s="6" t="s">
        <v>823</v>
      </c>
      <c r="J434" s="6" t="s">
        <v>824</v>
      </c>
      <c r="K434" s="6" t="s">
        <v>18</v>
      </c>
      <c r="L434" s="6">
        <v>73187171</v>
      </c>
      <c r="M434" s="6" t="s">
        <v>50</v>
      </c>
      <c r="N434" s="6" t="s">
        <v>686</v>
      </c>
      <c r="O434" s="6">
        <v>263</v>
      </c>
      <c r="P434" s="6" t="s">
        <v>825</v>
      </c>
      <c r="Q434" s="6" t="s">
        <v>22</v>
      </c>
      <c r="R434" s="8" t="s">
        <v>1808</v>
      </c>
      <c r="S434" s="6"/>
    </row>
    <row r="435" spans="1:19" ht="25.5" x14ac:dyDescent="0.25">
      <c r="A435" s="5" t="s">
        <v>3327</v>
      </c>
      <c r="B435" s="5">
        <v>434</v>
      </c>
      <c r="C435" s="6" t="s">
        <v>1866</v>
      </c>
      <c r="D435" s="6" t="s">
        <v>644</v>
      </c>
      <c r="E435" s="6">
        <v>18</v>
      </c>
      <c r="F435" s="6" t="s">
        <v>696</v>
      </c>
      <c r="G435" s="6">
        <v>939</v>
      </c>
      <c r="H435" s="6" t="s">
        <v>697</v>
      </c>
      <c r="I435" s="6" t="s">
        <v>698</v>
      </c>
      <c r="J435" s="6" t="s">
        <v>699</v>
      </c>
      <c r="K435" s="6" t="s">
        <v>18</v>
      </c>
      <c r="L435" s="6">
        <v>30579656</v>
      </c>
      <c r="M435" s="6" t="s">
        <v>50</v>
      </c>
      <c r="N435" s="6" t="s">
        <v>686</v>
      </c>
      <c r="O435" s="6" t="s">
        <v>700</v>
      </c>
      <c r="P435" s="6" t="s">
        <v>701</v>
      </c>
      <c r="Q435" s="6" t="s">
        <v>22</v>
      </c>
      <c r="R435" s="8" t="s">
        <v>1808</v>
      </c>
      <c r="S435" s="6"/>
    </row>
    <row r="436" spans="1:19" ht="25.5" x14ac:dyDescent="0.25">
      <c r="A436" s="5" t="s">
        <v>3327</v>
      </c>
      <c r="B436" s="5">
        <v>435</v>
      </c>
      <c r="C436" s="6" t="s">
        <v>1908</v>
      </c>
      <c r="D436" s="6" t="s">
        <v>644</v>
      </c>
      <c r="E436" s="6">
        <v>22</v>
      </c>
      <c r="F436" s="6" t="s">
        <v>702</v>
      </c>
      <c r="G436" s="6">
        <v>1073</v>
      </c>
      <c r="H436" s="6" t="s">
        <v>703</v>
      </c>
      <c r="I436" s="6" t="s">
        <v>704</v>
      </c>
      <c r="J436" s="6" t="s">
        <v>705</v>
      </c>
      <c r="K436" s="6" t="s">
        <v>18</v>
      </c>
      <c r="L436" s="6">
        <v>33157963</v>
      </c>
      <c r="M436" s="6" t="s">
        <v>50</v>
      </c>
      <c r="N436" s="6" t="s">
        <v>686</v>
      </c>
      <c r="O436" s="6">
        <v>0</v>
      </c>
      <c r="P436" s="6" t="s">
        <v>706</v>
      </c>
      <c r="Q436" s="6" t="s">
        <v>22</v>
      </c>
      <c r="R436" s="8" t="s">
        <v>1808</v>
      </c>
      <c r="S436" s="6"/>
    </row>
    <row r="437" spans="1:19" ht="25.5" x14ac:dyDescent="0.25">
      <c r="A437" s="5" t="s">
        <v>3327</v>
      </c>
      <c r="B437" s="5">
        <v>436</v>
      </c>
      <c r="C437" s="6" t="s">
        <v>1881</v>
      </c>
      <c r="D437" s="6" t="s">
        <v>644</v>
      </c>
      <c r="E437" s="6">
        <v>51</v>
      </c>
      <c r="F437" s="6" t="s">
        <v>707</v>
      </c>
      <c r="G437" s="6">
        <v>1795</v>
      </c>
      <c r="H437" s="6" t="s">
        <v>708</v>
      </c>
      <c r="I437" s="6" t="s">
        <v>709</v>
      </c>
      <c r="J437" s="6" t="s">
        <v>710</v>
      </c>
      <c r="K437" s="6" t="s">
        <v>18</v>
      </c>
      <c r="L437" s="6">
        <v>30893309</v>
      </c>
      <c r="M437" s="6" t="s">
        <v>50</v>
      </c>
      <c r="N437" s="6" t="s">
        <v>686</v>
      </c>
      <c r="O437" s="6" t="s">
        <v>711</v>
      </c>
      <c r="P437" s="6" t="s">
        <v>712</v>
      </c>
      <c r="Q437" s="6" t="s">
        <v>22</v>
      </c>
      <c r="R437" s="8" t="s">
        <v>1808</v>
      </c>
      <c r="S437" s="6"/>
    </row>
    <row r="438" spans="1:19" ht="25.5" x14ac:dyDescent="0.25">
      <c r="A438" s="5" t="s">
        <v>3327</v>
      </c>
      <c r="B438" s="5">
        <v>437</v>
      </c>
      <c r="C438" s="6" t="s">
        <v>2072</v>
      </c>
      <c r="D438" s="6" t="s">
        <v>644</v>
      </c>
      <c r="E438" s="6">
        <v>54</v>
      </c>
      <c r="F438" s="6" t="s">
        <v>713</v>
      </c>
      <c r="G438" s="6">
        <v>1879</v>
      </c>
      <c r="H438" s="6" t="s">
        <v>215</v>
      </c>
      <c r="I438" s="6" t="s">
        <v>714</v>
      </c>
      <c r="J438" s="6" t="s">
        <v>715</v>
      </c>
      <c r="K438" s="6" t="s">
        <v>18</v>
      </c>
      <c r="L438" s="6">
        <v>73209597</v>
      </c>
      <c r="M438" s="6" t="s">
        <v>50</v>
      </c>
      <c r="N438" s="6" t="s">
        <v>716</v>
      </c>
      <c r="O438" s="6">
        <v>3</v>
      </c>
      <c r="P438" s="6" t="s">
        <v>717</v>
      </c>
      <c r="Q438" s="6" t="s">
        <v>22</v>
      </c>
      <c r="R438" s="8" t="s">
        <v>1808</v>
      </c>
      <c r="S438" s="6"/>
    </row>
    <row r="439" spans="1:19" ht="25.5" x14ac:dyDescent="0.25">
      <c r="A439" s="5" t="s">
        <v>3327</v>
      </c>
      <c r="B439" s="5">
        <v>438</v>
      </c>
      <c r="C439" s="6" t="s">
        <v>2024</v>
      </c>
      <c r="D439" s="6" t="s">
        <v>644</v>
      </c>
      <c r="E439" s="6">
        <v>59</v>
      </c>
      <c r="F439" s="6" t="s">
        <v>279</v>
      </c>
      <c r="G439" s="6">
        <v>2044</v>
      </c>
      <c r="H439" s="6" t="s">
        <v>718</v>
      </c>
      <c r="I439" s="6" t="s">
        <v>719</v>
      </c>
      <c r="J439" s="6" t="s">
        <v>720</v>
      </c>
      <c r="K439" s="6" t="s">
        <v>18</v>
      </c>
      <c r="L439" s="6">
        <v>45474875</v>
      </c>
      <c r="M439" s="6" t="s">
        <v>50</v>
      </c>
      <c r="N439" s="6" t="s">
        <v>686</v>
      </c>
      <c r="O439" s="6" t="s">
        <v>721</v>
      </c>
      <c r="P439" s="6" t="s">
        <v>722</v>
      </c>
      <c r="Q439" s="6" t="s">
        <v>22</v>
      </c>
      <c r="R439" s="8" t="s">
        <v>1808</v>
      </c>
      <c r="S439" s="6"/>
    </row>
    <row r="440" spans="1:19" ht="25.5" x14ac:dyDescent="0.25">
      <c r="A440" s="5" t="s">
        <v>3327</v>
      </c>
      <c r="B440" s="5">
        <v>439</v>
      </c>
      <c r="C440" s="6" t="s">
        <v>2026</v>
      </c>
      <c r="D440" s="6" t="s">
        <v>644</v>
      </c>
      <c r="E440" s="6">
        <v>5</v>
      </c>
      <c r="F440" s="6" t="s">
        <v>723</v>
      </c>
      <c r="G440" s="6">
        <v>152</v>
      </c>
      <c r="H440" s="6" t="s">
        <v>724</v>
      </c>
      <c r="I440" s="6" t="s">
        <v>725</v>
      </c>
      <c r="J440" s="6" t="s">
        <v>81</v>
      </c>
      <c r="K440" s="6" t="s">
        <v>18</v>
      </c>
      <c r="L440" s="6">
        <v>45502537</v>
      </c>
      <c r="M440" s="6" t="s">
        <v>50</v>
      </c>
      <c r="N440" s="6" t="s">
        <v>686</v>
      </c>
      <c r="O440" s="6">
        <v>51</v>
      </c>
      <c r="P440" s="6" t="s">
        <v>726</v>
      </c>
      <c r="Q440" s="6" t="s">
        <v>22</v>
      </c>
      <c r="R440" s="8" t="s">
        <v>1808</v>
      </c>
      <c r="S440" s="6" t="s">
        <v>3842</v>
      </c>
    </row>
    <row r="441" spans="1:19" ht="25.5" x14ac:dyDescent="0.25">
      <c r="A441" s="5" t="s">
        <v>3327</v>
      </c>
      <c r="B441" s="5">
        <v>440</v>
      </c>
      <c r="C441" s="6" t="s">
        <v>2110</v>
      </c>
      <c r="D441" s="6" t="s">
        <v>644</v>
      </c>
      <c r="E441" s="6">
        <v>60</v>
      </c>
      <c r="F441" s="6" t="s">
        <v>283</v>
      </c>
      <c r="G441" s="6">
        <v>1924</v>
      </c>
      <c r="H441" s="6" t="s">
        <v>512</v>
      </c>
      <c r="I441" s="6" t="s">
        <v>727</v>
      </c>
      <c r="J441" s="6" t="s">
        <v>728</v>
      </c>
      <c r="K441" s="6" t="s">
        <v>18</v>
      </c>
      <c r="L441" s="6">
        <v>1047434406</v>
      </c>
      <c r="M441" s="6" t="s">
        <v>50</v>
      </c>
      <c r="N441" s="6" t="s">
        <v>716</v>
      </c>
      <c r="O441" s="6">
        <v>177</v>
      </c>
      <c r="P441" s="6" t="s">
        <v>729</v>
      </c>
      <c r="Q441" s="6" t="s">
        <v>22</v>
      </c>
      <c r="R441" s="8" t="s">
        <v>1808</v>
      </c>
      <c r="S441" s="6"/>
    </row>
    <row r="442" spans="1:19" ht="25.5" x14ac:dyDescent="0.25">
      <c r="A442" s="5" t="s">
        <v>3327</v>
      </c>
      <c r="B442" s="5">
        <v>441</v>
      </c>
      <c r="C442" s="6" t="s">
        <v>2071</v>
      </c>
      <c r="D442" s="6" t="s">
        <v>644</v>
      </c>
      <c r="E442" s="6">
        <v>60</v>
      </c>
      <c r="F442" s="6" t="s">
        <v>283</v>
      </c>
      <c r="G442" s="6">
        <v>1924</v>
      </c>
      <c r="H442" s="6" t="s">
        <v>512</v>
      </c>
      <c r="I442" s="6" t="s">
        <v>730</v>
      </c>
      <c r="J442" s="6" t="s">
        <v>731</v>
      </c>
      <c r="K442" s="6" t="s">
        <v>18</v>
      </c>
      <c r="L442" s="6">
        <v>73198977</v>
      </c>
      <c r="M442" s="6" t="s">
        <v>50</v>
      </c>
      <c r="N442" s="6" t="s">
        <v>716</v>
      </c>
      <c r="O442" s="6">
        <v>38</v>
      </c>
      <c r="P442" s="6" t="s">
        <v>732</v>
      </c>
      <c r="Q442" s="6" t="s">
        <v>22</v>
      </c>
      <c r="R442" s="8" t="s">
        <v>1808</v>
      </c>
      <c r="S442" s="6"/>
    </row>
    <row r="443" spans="1:19" ht="25.5" x14ac:dyDescent="0.25">
      <c r="A443" s="5" t="s">
        <v>3327</v>
      </c>
      <c r="B443" s="5">
        <v>442</v>
      </c>
      <c r="C443" s="6" t="s">
        <v>1819</v>
      </c>
      <c r="D443" s="6" t="s">
        <v>644</v>
      </c>
      <c r="E443" s="6">
        <v>10</v>
      </c>
      <c r="F443" s="6" t="s">
        <v>733</v>
      </c>
      <c r="G443" s="6">
        <v>269</v>
      </c>
      <c r="H443" s="6" t="s">
        <v>734</v>
      </c>
      <c r="I443" s="6" t="s">
        <v>735</v>
      </c>
      <c r="J443" s="6" t="s">
        <v>736</v>
      </c>
      <c r="K443" s="6" t="s">
        <v>18</v>
      </c>
      <c r="L443" s="6">
        <v>9085694</v>
      </c>
      <c r="M443" s="6" t="s">
        <v>50</v>
      </c>
      <c r="N443" s="6" t="s">
        <v>686</v>
      </c>
      <c r="O443" s="6">
        <v>32</v>
      </c>
      <c r="P443" s="6" t="s">
        <v>737</v>
      </c>
      <c r="Q443" s="6" t="s">
        <v>22</v>
      </c>
      <c r="R443" s="8" t="s">
        <v>1808</v>
      </c>
      <c r="S443" s="6"/>
    </row>
    <row r="444" spans="1:19" ht="25.5" x14ac:dyDescent="0.25">
      <c r="A444" s="5" t="s">
        <v>3327</v>
      </c>
      <c r="B444" s="5">
        <v>443</v>
      </c>
      <c r="C444" s="6" t="s">
        <v>2111</v>
      </c>
      <c r="D444" s="6" t="s">
        <v>644</v>
      </c>
      <c r="E444" s="6">
        <v>43</v>
      </c>
      <c r="F444" s="6" t="s">
        <v>738</v>
      </c>
      <c r="G444" s="6">
        <v>1352</v>
      </c>
      <c r="H444" s="6" t="s">
        <v>739</v>
      </c>
      <c r="I444" s="6" t="s">
        <v>743</v>
      </c>
      <c r="J444" s="6" t="s">
        <v>744</v>
      </c>
      <c r="K444" s="6" t="s">
        <v>18</v>
      </c>
      <c r="L444" s="6">
        <v>1048443900</v>
      </c>
      <c r="M444" s="6" t="s">
        <v>50</v>
      </c>
      <c r="N444" s="6" t="s">
        <v>716</v>
      </c>
      <c r="O444" s="6">
        <v>39</v>
      </c>
      <c r="P444" s="6" t="s">
        <v>732</v>
      </c>
      <c r="Q444" s="6" t="s">
        <v>22</v>
      </c>
      <c r="R444" s="8" t="s">
        <v>1808</v>
      </c>
      <c r="S444" s="6"/>
    </row>
    <row r="445" spans="1:19" ht="25.5" x14ac:dyDescent="0.25">
      <c r="A445" s="5" t="s">
        <v>3327</v>
      </c>
      <c r="B445" s="5">
        <v>444</v>
      </c>
      <c r="C445" s="6" t="s">
        <v>2020</v>
      </c>
      <c r="D445" s="6" t="s">
        <v>644</v>
      </c>
      <c r="E445" s="6">
        <v>43</v>
      </c>
      <c r="F445" s="6" t="s">
        <v>738</v>
      </c>
      <c r="G445" s="6">
        <v>1352</v>
      </c>
      <c r="H445" s="6" t="s">
        <v>739</v>
      </c>
      <c r="I445" s="6" t="s">
        <v>740</v>
      </c>
      <c r="J445" s="6" t="s">
        <v>741</v>
      </c>
      <c r="K445" s="6" t="s">
        <v>18</v>
      </c>
      <c r="L445" s="6">
        <v>45424295</v>
      </c>
      <c r="M445" s="6" t="s">
        <v>50</v>
      </c>
      <c r="N445" s="6" t="s">
        <v>686</v>
      </c>
      <c r="O445" s="6" t="s">
        <v>721</v>
      </c>
      <c r="P445" s="6" t="s">
        <v>742</v>
      </c>
      <c r="Q445" s="6" t="s">
        <v>22</v>
      </c>
      <c r="R445" s="8" t="s">
        <v>1808</v>
      </c>
      <c r="S445" s="6"/>
    </row>
    <row r="446" spans="1:19" ht="25.5" x14ac:dyDescent="0.25">
      <c r="A446" s="5" t="s">
        <v>3327</v>
      </c>
      <c r="B446" s="5">
        <v>445</v>
      </c>
      <c r="C446" s="6" t="s">
        <v>2066</v>
      </c>
      <c r="D446" s="6" t="s">
        <v>644</v>
      </c>
      <c r="E446" s="6">
        <v>53</v>
      </c>
      <c r="F446" s="6" t="s">
        <v>745</v>
      </c>
      <c r="G446" s="6">
        <v>1650</v>
      </c>
      <c r="H446" s="6" t="s">
        <v>746</v>
      </c>
      <c r="I446" s="6" t="s">
        <v>753</v>
      </c>
      <c r="J446" s="6" t="s">
        <v>754</v>
      </c>
      <c r="K446" s="6" t="s">
        <v>18</v>
      </c>
      <c r="L446" s="6">
        <v>73008113</v>
      </c>
      <c r="M446" s="6" t="s">
        <v>50</v>
      </c>
      <c r="N446" s="6" t="s">
        <v>716</v>
      </c>
      <c r="O446" s="6">
        <v>27</v>
      </c>
      <c r="P446" s="6" t="s">
        <v>732</v>
      </c>
      <c r="Q446" s="6" t="s">
        <v>22</v>
      </c>
      <c r="R446" s="8" t="s">
        <v>1808</v>
      </c>
      <c r="S446" s="6"/>
    </row>
    <row r="447" spans="1:19" ht="25.5" x14ac:dyDescent="0.25">
      <c r="A447" s="5" t="s">
        <v>3327</v>
      </c>
      <c r="B447" s="5">
        <v>446</v>
      </c>
      <c r="C447" s="6" t="s">
        <v>2073</v>
      </c>
      <c r="D447" s="6" t="s">
        <v>644</v>
      </c>
      <c r="E447" s="6">
        <v>53</v>
      </c>
      <c r="F447" s="6" t="s">
        <v>745</v>
      </c>
      <c r="G447" s="6">
        <v>1650</v>
      </c>
      <c r="H447" s="6" t="s">
        <v>746</v>
      </c>
      <c r="I447" s="6" t="s">
        <v>750</v>
      </c>
      <c r="J447" s="6" t="s">
        <v>751</v>
      </c>
      <c r="K447" s="6" t="s">
        <v>18</v>
      </c>
      <c r="L447" s="6">
        <v>73581629</v>
      </c>
      <c r="M447" s="6" t="s">
        <v>50</v>
      </c>
      <c r="N447" s="6" t="s">
        <v>686</v>
      </c>
      <c r="O447" s="6" t="s">
        <v>752</v>
      </c>
      <c r="P447" s="6" t="s">
        <v>712</v>
      </c>
      <c r="Q447" s="6" t="s">
        <v>22</v>
      </c>
      <c r="R447" s="8" t="s">
        <v>1808</v>
      </c>
      <c r="S447" s="6"/>
    </row>
    <row r="448" spans="1:19" ht="25.5" x14ac:dyDescent="0.25">
      <c r="A448" s="5" t="s">
        <v>3327</v>
      </c>
      <c r="B448" s="5">
        <v>447</v>
      </c>
      <c r="C448" s="6" t="s">
        <v>2127</v>
      </c>
      <c r="D448" s="6" t="s">
        <v>644</v>
      </c>
      <c r="E448" s="6">
        <v>53</v>
      </c>
      <c r="F448" s="6" t="s">
        <v>745</v>
      </c>
      <c r="G448" s="6">
        <v>1650</v>
      </c>
      <c r="H448" s="6" t="s">
        <v>746</v>
      </c>
      <c r="I448" s="6" t="s">
        <v>755</v>
      </c>
      <c r="J448" s="6" t="s">
        <v>756</v>
      </c>
      <c r="K448" s="6" t="s">
        <v>18</v>
      </c>
      <c r="L448" s="6">
        <v>1143339247</v>
      </c>
      <c r="M448" s="6" t="s">
        <v>50</v>
      </c>
      <c r="N448" s="6" t="s">
        <v>716</v>
      </c>
      <c r="O448" s="6">
        <v>16</v>
      </c>
      <c r="P448" s="6" t="s">
        <v>757</v>
      </c>
      <c r="Q448" s="6" t="s">
        <v>22</v>
      </c>
      <c r="R448" s="8" t="s">
        <v>1808</v>
      </c>
      <c r="S448" s="6"/>
    </row>
    <row r="449" spans="1:19" ht="25.5" x14ac:dyDescent="0.25">
      <c r="A449" s="5" t="s">
        <v>3327</v>
      </c>
      <c r="B449" s="5">
        <v>448</v>
      </c>
      <c r="C449" s="6" t="s">
        <v>1865</v>
      </c>
      <c r="D449" s="6" t="s">
        <v>644</v>
      </c>
      <c r="E449" s="6">
        <v>53</v>
      </c>
      <c r="F449" s="6" t="s">
        <v>745</v>
      </c>
      <c r="G449" s="6">
        <v>1650</v>
      </c>
      <c r="H449" s="6" t="s">
        <v>746</v>
      </c>
      <c r="I449" s="6" t="s">
        <v>747</v>
      </c>
      <c r="J449" s="6" t="s">
        <v>748</v>
      </c>
      <c r="K449" s="6" t="s">
        <v>18</v>
      </c>
      <c r="L449" s="6">
        <v>30563324</v>
      </c>
      <c r="M449" s="6" t="s">
        <v>50</v>
      </c>
      <c r="N449" s="6" t="s">
        <v>686</v>
      </c>
      <c r="O449" s="6">
        <v>1538</v>
      </c>
      <c r="P449" s="6" t="s">
        <v>749</v>
      </c>
      <c r="Q449" s="6" t="s">
        <v>22</v>
      </c>
      <c r="R449" s="8" t="s">
        <v>1808</v>
      </c>
      <c r="S449" s="6"/>
    </row>
    <row r="450" spans="1:19" ht="25.5" x14ac:dyDescent="0.25">
      <c r="A450" s="5" t="s">
        <v>3327</v>
      </c>
      <c r="B450" s="5">
        <v>449</v>
      </c>
      <c r="C450" s="6" t="s">
        <v>2120</v>
      </c>
      <c r="D450" s="6" t="s">
        <v>644</v>
      </c>
      <c r="E450" s="6">
        <v>56</v>
      </c>
      <c r="F450" s="6" t="s">
        <v>746</v>
      </c>
      <c r="G450" s="6">
        <v>1732</v>
      </c>
      <c r="H450" s="6" t="s">
        <v>170</v>
      </c>
      <c r="I450" s="6" t="s">
        <v>758</v>
      </c>
      <c r="J450" s="6" t="s">
        <v>472</v>
      </c>
      <c r="K450" s="6" t="s">
        <v>18</v>
      </c>
      <c r="L450" s="6">
        <v>1069474322</v>
      </c>
      <c r="M450" s="6" t="s">
        <v>50</v>
      </c>
      <c r="N450" s="6" t="s">
        <v>716</v>
      </c>
      <c r="O450" s="6">
        <v>182</v>
      </c>
      <c r="P450" s="6" t="s">
        <v>729</v>
      </c>
      <c r="Q450" s="6" t="s">
        <v>22</v>
      </c>
      <c r="R450" s="8" t="s">
        <v>1808</v>
      </c>
      <c r="S450" s="6"/>
    </row>
    <row r="451" spans="1:19" ht="25.5" x14ac:dyDescent="0.25">
      <c r="A451" s="5" t="s">
        <v>3327</v>
      </c>
      <c r="B451" s="5">
        <v>450</v>
      </c>
      <c r="C451" s="6" t="s">
        <v>2109</v>
      </c>
      <c r="D451" s="6" t="s">
        <v>644</v>
      </c>
      <c r="E451" s="6">
        <v>65</v>
      </c>
      <c r="F451" s="6" t="s">
        <v>759</v>
      </c>
      <c r="G451" s="6">
        <v>1964</v>
      </c>
      <c r="H451" s="6" t="s">
        <v>175</v>
      </c>
      <c r="I451" s="6" t="s">
        <v>760</v>
      </c>
      <c r="J451" s="6" t="s">
        <v>761</v>
      </c>
      <c r="K451" s="6" t="s">
        <v>18</v>
      </c>
      <c r="L451" s="6">
        <v>1047397236</v>
      </c>
      <c r="M451" s="6" t="s">
        <v>50</v>
      </c>
      <c r="N451" s="6" t="s">
        <v>716</v>
      </c>
      <c r="O451" s="6">
        <v>33</v>
      </c>
      <c r="P451" s="6" t="s">
        <v>732</v>
      </c>
      <c r="Q451" s="6" t="s">
        <v>22</v>
      </c>
      <c r="R451" s="8" t="s">
        <v>1808</v>
      </c>
      <c r="S451" s="6"/>
    </row>
    <row r="452" spans="1:19" ht="25.5" x14ac:dyDescent="0.25">
      <c r="A452" s="5" t="s">
        <v>3327</v>
      </c>
      <c r="B452" s="5">
        <v>451</v>
      </c>
      <c r="C452" s="6" t="s">
        <v>2108</v>
      </c>
      <c r="D452" s="6" t="s">
        <v>644</v>
      </c>
      <c r="E452" s="6">
        <v>65</v>
      </c>
      <c r="F452" s="6" t="s">
        <v>759</v>
      </c>
      <c r="G452" s="6">
        <v>1964</v>
      </c>
      <c r="H452" s="6" t="s">
        <v>175</v>
      </c>
      <c r="I452" s="6" t="s">
        <v>765</v>
      </c>
      <c r="J452" s="6" t="s">
        <v>766</v>
      </c>
      <c r="K452" s="6" t="s">
        <v>18</v>
      </c>
      <c r="L452" s="6">
        <v>1047376718</v>
      </c>
      <c r="M452" s="6" t="s">
        <v>50</v>
      </c>
      <c r="N452" s="6" t="s">
        <v>716</v>
      </c>
      <c r="O452" s="6">
        <v>35</v>
      </c>
      <c r="P452" s="6" t="s">
        <v>732</v>
      </c>
      <c r="Q452" s="6" t="s">
        <v>22</v>
      </c>
      <c r="R452" s="8" t="s">
        <v>1808</v>
      </c>
      <c r="S452" s="6"/>
    </row>
    <row r="453" spans="1:19" ht="25.5" x14ac:dyDescent="0.25">
      <c r="A453" s="5" t="s">
        <v>3327</v>
      </c>
      <c r="B453" s="5">
        <v>452</v>
      </c>
      <c r="C453" s="6" t="s">
        <v>2085</v>
      </c>
      <c r="D453" s="6" t="s">
        <v>644</v>
      </c>
      <c r="E453" s="6">
        <v>65</v>
      </c>
      <c r="F453" s="6" t="s">
        <v>759</v>
      </c>
      <c r="G453" s="6">
        <v>1964</v>
      </c>
      <c r="H453" s="6" t="s">
        <v>175</v>
      </c>
      <c r="I453" s="6" t="s">
        <v>767</v>
      </c>
      <c r="J453" s="6" t="s">
        <v>768</v>
      </c>
      <c r="K453" s="6" t="s">
        <v>18</v>
      </c>
      <c r="L453" s="6">
        <v>92515773</v>
      </c>
      <c r="M453" s="6" t="s">
        <v>50</v>
      </c>
      <c r="N453" s="6" t="s">
        <v>716</v>
      </c>
      <c r="O453" s="6">
        <v>89</v>
      </c>
      <c r="P453" s="6" t="s">
        <v>769</v>
      </c>
      <c r="Q453" s="6" t="s">
        <v>22</v>
      </c>
      <c r="R453" s="8" t="s">
        <v>1808</v>
      </c>
      <c r="S453" s="6"/>
    </row>
    <row r="454" spans="1:19" ht="25.5" x14ac:dyDescent="0.25">
      <c r="A454" s="5" t="s">
        <v>3327</v>
      </c>
      <c r="B454" s="5">
        <v>453</v>
      </c>
      <c r="C454" s="6" t="s">
        <v>1818</v>
      </c>
      <c r="D454" s="6" t="s">
        <v>644</v>
      </c>
      <c r="E454" s="6">
        <v>65</v>
      </c>
      <c r="F454" s="6" t="s">
        <v>759</v>
      </c>
      <c r="G454" s="6">
        <v>1964</v>
      </c>
      <c r="H454" s="6" t="s">
        <v>175</v>
      </c>
      <c r="I454" s="6" t="s">
        <v>762</v>
      </c>
      <c r="J454" s="6" t="s">
        <v>763</v>
      </c>
      <c r="K454" s="6" t="s">
        <v>18</v>
      </c>
      <c r="L454" s="6">
        <v>8853013</v>
      </c>
      <c r="M454" s="6" t="s">
        <v>50</v>
      </c>
      <c r="N454" s="6" t="s">
        <v>716</v>
      </c>
      <c r="O454" s="6">
        <v>176</v>
      </c>
      <c r="P454" s="6" t="s">
        <v>764</v>
      </c>
      <c r="Q454" s="6" t="s">
        <v>22</v>
      </c>
      <c r="R454" s="8" t="s">
        <v>1808</v>
      </c>
      <c r="S454" s="6"/>
    </row>
    <row r="455" spans="1:19" ht="25.5" x14ac:dyDescent="0.25">
      <c r="A455" s="5" t="s">
        <v>3327</v>
      </c>
      <c r="B455" s="5">
        <v>454</v>
      </c>
      <c r="C455" s="6" t="s">
        <v>1820</v>
      </c>
      <c r="D455" s="6" t="s">
        <v>644</v>
      </c>
      <c r="E455" s="6">
        <v>75</v>
      </c>
      <c r="F455" s="6" t="s">
        <v>770</v>
      </c>
      <c r="G455" s="6">
        <v>2211</v>
      </c>
      <c r="H455" s="6" t="s">
        <v>265</v>
      </c>
      <c r="I455" s="6" t="s">
        <v>771</v>
      </c>
      <c r="J455" s="6" t="s">
        <v>772</v>
      </c>
      <c r="K455" s="6" t="s">
        <v>18</v>
      </c>
      <c r="L455" s="6">
        <v>9103081</v>
      </c>
      <c r="M455" s="6" t="s">
        <v>50</v>
      </c>
      <c r="N455" s="6" t="s">
        <v>686</v>
      </c>
      <c r="O455" s="6">
        <v>336</v>
      </c>
      <c r="P455" s="6" t="s">
        <v>773</v>
      </c>
      <c r="Q455" s="6" t="s">
        <v>22</v>
      </c>
      <c r="R455" s="8" t="s">
        <v>1808</v>
      </c>
      <c r="S455" s="6"/>
    </row>
    <row r="456" spans="1:19" ht="25.5" x14ac:dyDescent="0.25">
      <c r="A456" s="5" t="s">
        <v>3327</v>
      </c>
      <c r="B456" s="5">
        <v>455</v>
      </c>
      <c r="C456" s="6" t="s">
        <v>1909</v>
      </c>
      <c r="D456" s="6" t="s">
        <v>644</v>
      </c>
      <c r="E456" s="6">
        <v>3</v>
      </c>
      <c r="F456" s="6" t="s">
        <v>774</v>
      </c>
      <c r="G456" s="6">
        <v>142</v>
      </c>
      <c r="H456" s="6" t="s">
        <v>775</v>
      </c>
      <c r="I456" s="6" t="s">
        <v>776</v>
      </c>
      <c r="J456" s="6" t="s">
        <v>777</v>
      </c>
      <c r="K456" s="6" t="s">
        <v>18</v>
      </c>
      <c r="L456" s="6">
        <v>33334844</v>
      </c>
      <c r="M456" s="6" t="s">
        <v>50</v>
      </c>
      <c r="N456" s="6" t="s">
        <v>716</v>
      </c>
      <c r="O456" s="6" t="s">
        <v>778</v>
      </c>
      <c r="P456" s="6" t="s">
        <v>712</v>
      </c>
      <c r="Q456" s="6" t="s">
        <v>22</v>
      </c>
      <c r="R456" s="8" t="s">
        <v>1808</v>
      </c>
      <c r="S456" s="6"/>
    </row>
    <row r="457" spans="1:19" ht="25.5" x14ac:dyDescent="0.25">
      <c r="A457" s="5" t="s">
        <v>3327</v>
      </c>
      <c r="B457" s="5">
        <v>456</v>
      </c>
      <c r="C457" s="6" t="s">
        <v>2027</v>
      </c>
      <c r="D457" s="6" t="s">
        <v>644</v>
      </c>
      <c r="E457" s="6">
        <v>5</v>
      </c>
      <c r="F457" s="6" t="s">
        <v>105</v>
      </c>
      <c r="G457" s="6">
        <v>817</v>
      </c>
      <c r="H457" s="6" t="s">
        <v>779</v>
      </c>
      <c r="I457" s="6" t="s">
        <v>780</v>
      </c>
      <c r="J457" s="6" t="s">
        <v>781</v>
      </c>
      <c r="K457" s="6" t="s">
        <v>18</v>
      </c>
      <c r="L457" s="6">
        <v>45514112</v>
      </c>
      <c r="M457" s="6" t="s">
        <v>790</v>
      </c>
      <c r="N457" s="6" t="s">
        <v>782</v>
      </c>
      <c r="O457" s="6">
        <v>4522</v>
      </c>
      <c r="P457" s="7">
        <v>35258</v>
      </c>
      <c r="Q457" s="6" t="s">
        <v>22</v>
      </c>
      <c r="R457" s="8" t="s">
        <v>1808</v>
      </c>
      <c r="S457" s="6"/>
    </row>
    <row r="458" spans="1:19" ht="25.5" x14ac:dyDescent="0.25">
      <c r="A458" s="5" t="s">
        <v>3327</v>
      </c>
      <c r="B458" s="5">
        <v>457</v>
      </c>
      <c r="C458" s="6" t="s">
        <v>2068</v>
      </c>
      <c r="D458" s="6" t="s">
        <v>644</v>
      </c>
      <c r="E458" s="6">
        <v>14</v>
      </c>
      <c r="F458" s="6" t="s">
        <v>783</v>
      </c>
      <c r="G458" s="6">
        <v>1292</v>
      </c>
      <c r="H458" s="6" t="s">
        <v>367</v>
      </c>
      <c r="I458" s="6" t="s">
        <v>784</v>
      </c>
      <c r="J458" s="6" t="s">
        <v>785</v>
      </c>
      <c r="K458" s="6" t="s">
        <v>18</v>
      </c>
      <c r="L458" s="6">
        <v>73141456</v>
      </c>
      <c r="M458" s="6" t="s">
        <v>790</v>
      </c>
      <c r="N458" s="6" t="s">
        <v>3855</v>
      </c>
      <c r="O458" s="6">
        <v>3848</v>
      </c>
      <c r="P458" s="7">
        <v>35420</v>
      </c>
      <c r="Q458" s="6" t="s">
        <v>22</v>
      </c>
      <c r="R458" s="8" t="s">
        <v>1808</v>
      </c>
      <c r="S458" s="6"/>
    </row>
    <row r="459" spans="1:19" ht="25.5" x14ac:dyDescent="0.25">
      <c r="A459" s="5" t="s">
        <v>3327</v>
      </c>
      <c r="B459" s="5">
        <v>458</v>
      </c>
      <c r="C459" s="6" t="s">
        <v>2353</v>
      </c>
      <c r="D459" s="6" t="s">
        <v>644</v>
      </c>
      <c r="E459" s="6">
        <v>3</v>
      </c>
      <c r="F459" s="6" t="s">
        <v>662</v>
      </c>
      <c r="G459" s="6">
        <v>113</v>
      </c>
      <c r="H459" s="6" t="s">
        <v>666</v>
      </c>
      <c r="I459" s="6" t="s">
        <v>689</v>
      </c>
      <c r="J459" s="6" t="s">
        <v>690</v>
      </c>
      <c r="K459" s="6" t="s">
        <v>18</v>
      </c>
      <c r="L459" s="6">
        <v>33150654</v>
      </c>
      <c r="M459" s="6" t="s">
        <v>186</v>
      </c>
      <c r="N459" s="6" t="s">
        <v>649</v>
      </c>
      <c r="O459" s="6" t="s">
        <v>21</v>
      </c>
      <c r="P459" s="7">
        <v>29557</v>
      </c>
      <c r="Q459" s="6" t="s">
        <v>22</v>
      </c>
      <c r="R459" s="8" t="s">
        <v>1808</v>
      </c>
      <c r="S459" s="6"/>
    </row>
    <row r="460" spans="1:19" ht="25.5" x14ac:dyDescent="0.25">
      <c r="A460" s="5" t="s">
        <v>3327</v>
      </c>
      <c r="B460" s="5">
        <v>459</v>
      </c>
      <c r="C460" s="6" t="s">
        <v>2350</v>
      </c>
      <c r="D460" s="6" t="s">
        <v>644</v>
      </c>
      <c r="E460" s="6">
        <v>12</v>
      </c>
      <c r="F460" s="6" t="s">
        <v>51</v>
      </c>
      <c r="G460" s="6">
        <v>269</v>
      </c>
      <c r="H460" s="6" t="s">
        <v>679</v>
      </c>
      <c r="I460" s="6" t="s">
        <v>680</v>
      </c>
      <c r="J460" s="6" t="s">
        <v>681</v>
      </c>
      <c r="K460" s="6" t="s">
        <v>18</v>
      </c>
      <c r="L460" s="6">
        <v>45452553</v>
      </c>
      <c r="M460" s="6" t="s">
        <v>79</v>
      </c>
      <c r="N460" s="6" t="s">
        <v>649</v>
      </c>
      <c r="O460" s="6" t="s">
        <v>21</v>
      </c>
      <c r="P460" s="6" t="s">
        <v>21</v>
      </c>
      <c r="Q460" s="6" t="s">
        <v>22</v>
      </c>
      <c r="R460" s="8" t="s">
        <v>1808</v>
      </c>
      <c r="S460" s="6"/>
    </row>
    <row r="461" spans="1:19" ht="25.5" x14ac:dyDescent="0.25">
      <c r="A461" s="5" t="s">
        <v>3327</v>
      </c>
      <c r="B461" s="5">
        <v>460</v>
      </c>
      <c r="C461" s="6" t="s">
        <v>2355</v>
      </c>
      <c r="D461" s="6" t="s">
        <v>826</v>
      </c>
      <c r="E461" s="6">
        <v>49</v>
      </c>
      <c r="F461" s="6" t="s">
        <v>245</v>
      </c>
      <c r="G461" s="6">
        <v>1544</v>
      </c>
      <c r="H461" s="6" t="s">
        <v>827</v>
      </c>
      <c r="I461" s="6" t="s">
        <v>828</v>
      </c>
      <c r="J461" s="6" t="s">
        <v>829</v>
      </c>
      <c r="K461" s="6" t="s">
        <v>18</v>
      </c>
      <c r="L461" s="6">
        <v>86041658</v>
      </c>
      <c r="M461" s="6" t="s">
        <v>392</v>
      </c>
      <c r="N461" s="6" t="s">
        <v>270</v>
      </c>
      <c r="O461" s="6" t="s">
        <v>830</v>
      </c>
      <c r="P461" s="6" t="s">
        <v>831</v>
      </c>
      <c r="Q461" s="6" t="s">
        <v>22</v>
      </c>
      <c r="R461" s="8" t="s">
        <v>1808</v>
      </c>
      <c r="S461" s="6"/>
    </row>
    <row r="462" spans="1:19" ht="25.5" x14ac:dyDescent="0.25">
      <c r="A462" s="5" t="s">
        <v>3327</v>
      </c>
      <c r="B462" s="5">
        <v>461</v>
      </c>
      <c r="C462" s="6" t="s">
        <v>2362</v>
      </c>
      <c r="D462" s="6" t="s">
        <v>832</v>
      </c>
      <c r="E462" s="6">
        <v>32</v>
      </c>
      <c r="F462" s="6" t="s">
        <v>837</v>
      </c>
      <c r="G462" s="6">
        <v>1092</v>
      </c>
      <c r="H462" s="6" t="s">
        <v>838</v>
      </c>
      <c r="I462" s="6" t="s">
        <v>839</v>
      </c>
      <c r="J462" s="6" t="s">
        <v>840</v>
      </c>
      <c r="K462" s="6" t="s">
        <v>18</v>
      </c>
      <c r="L462" s="6">
        <v>24325542</v>
      </c>
      <c r="M462" s="6" t="s">
        <v>41</v>
      </c>
      <c r="N462" s="6" t="s">
        <v>834</v>
      </c>
      <c r="O462" s="6">
        <v>1</v>
      </c>
      <c r="P462" s="6" t="s">
        <v>841</v>
      </c>
      <c r="Q462" s="6" t="s">
        <v>22</v>
      </c>
      <c r="R462" s="8" t="s">
        <v>1808</v>
      </c>
      <c r="S462" s="6"/>
    </row>
    <row r="463" spans="1:19" ht="25.5" x14ac:dyDescent="0.25">
      <c r="A463" s="5" t="s">
        <v>3327</v>
      </c>
      <c r="B463" s="5">
        <v>462</v>
      </c>
      <c r="C463" s="6" t="s">
        <v>2363</v>
      </c>
      <c r="D463" s="6" t="s">
        <v>832</v>
      </c>
      <c r="E463" s="6">
        <v>36</v>
      </c>
      <c r="F463" s="6" t="s">
        <v>201</v>
      </c>
      <c r="G463" s="6">
        <v>1265</v>
      </c>
      <c r="H463" s="6" t="s">
        <v>202</v>
      </c>
      <c r="I463" s="6" t="s">
        <v>842</v>
      </c>
      <c r="J463" s="6" t="s">
        <v>843</v>
      </c>
      <c r="K463" s="6" t="s">
        <v>18</v>
      </c>
      <c r="L463" s="6">
        <v>30296714</v>
      </c>
      <c r="M463" s="6" t="s">
        <v>41</v>
      </c>
      <c r="N463" s="6" t="s">
        <v>834</v>
      </c>
      <c r="O463" s="6">
        <v>8</v>
      </c>
      <c r="P463" s="6" t="s">
        <v>844</v>
      </c>
      <c r="Q463" s="6" t="s">
        <v>22</v>
      </c>
      <c r="R463" s="8" t="s">
        <v>1808</v>
      </c>
      <c r="S463" s="6"/>
    </row>
    <row r="464" spans="1:19" ht="25.5" x14ac:dyDescent="0.25">
      <c r="A464" s="5" t="s">
        <v>3327</v>
      </c>
      <c r="B464" s="5">
        <v>463</v>
      </c>
      <c r="C464" s="6" t="s">
        <v>2364</v>
      </c>
      <c r="D464" s="6" t="s">
        <v>832</v>
      </c>
      <c r="E464" s="6">
        <v>52</v>
      </c>
      <c r="F464" s="6" t="s">
        <v>845</v>
      </c>
      <c r="G464" s="6">
        <v>1668</v>
      </c>
      <c r="H464" s="6" t="s">
        <v>846</v>
      </c>
      <c r="I464" s="6" t="s">
        <v>847</v>
      </c>
      <c r="J464" s="6" t="s">
        <v>835</v>
      </c>
      <c r="K464" s="6" t="s">
        <v>18</v>
      </c>
      <c r="L464" s="6">
        <v>51701342</v>
      </c>
      <c r="M464" s="6" t="s">
        <v>41</v>
      </c>
      <c r="N464" s="6" t="s">
        <v>834</v>
      </c>
      <c r="O464" s="6">
        <v>13</v>
      </c>
      <c r="P464" s="6" t="s">
        <v>848</v>
      </c>
      <c r="Q464" s="6" t="s">
        <v>22</v>
      </c>
      <c r="R464" s="8" t="s">
        <v>1808</v>
      </c>
      <c r="S464" s="6"/>
    </row>
    <row r="465" spans="1:19" ht="25.5" x14ac:dyDescent="0.25">
      <c r="A465" s="5" t="s">
        <v>3327</v>
      </c>
      <c r="B465" s="5">
        <v>464</v>
      </c>
      <c r="C465" s="6" t="s">
        <v>2365</v>
      </c>
      <c r="D465" s="6" t="s">
        <v>832</v>
      </c>
      <c r="E465" s="6">
        <v>3</v>
      </c>
      <c r="F465" s="6" t="s">
        <v>849</v>
      </c>
      <c r="G465" s="6">
        <v>180</v>
      </c>
      <c r="H465" s="6" t="s">
        <v>469</v>
      </c>
      <c r="I465" s="6" t="s">
        <v>850</v>
      </c>
      <c r="J465" s="6" t="s">
        <v>851</v>
      </c>
      <c r="K465" s="6" t="s">
        <v>18</v>
      </c>
      <c r="L465" s="6">
        <v>1060587398</v>
      </c>
      <c r="M465" s="6" t="s">
        <v>269</v>
      </c>
      <c r="N465" s="6" t="s">
        <v>270</v>
      </c>
      <c r="O465" s="6">
        <v>2838024</v>
      </c>
      <c r="P465" s="6" t="s">
        <v>852</v>
      </c>
      <c r="Q465" s="6" t="s">
        <v>22</v>
      </c>
      <c r="R465" s="8" t="s">
        <v>1808</v>
      </c>
      <c r="S465" s="6"/>
    </row>
    <row r="466" spans="1:19" ht="25.5" x14ac:dyDescent="0.25">
      <c r="A466" s="5" t="s">
        <v>3327</v>
      </c>
      <c r="B466" s="5">
        <v>465</v>
      </c>
      <c r="C466" s="6" t="s">
        <v>2114</v>
      </c>
      <c r="D466" s="6" t="s">
        <v>859</v>
      </c>
      <c r="E466" s="6">
        <v>7</v>
      </c>
      <c r="F466" s="6" t="s">
        <v>1015</v>
      </c>
      <c r="G466" s="6">
        <v>216</v>
      </c>
      <c r="H466" s="6" t="s">
        <v>180</v>
      </c>
      <c r="I466" s="6" t="s">
        <v>1019</v>
      </c>
      <c r="J466" s="6" t="s">
        <v>1020</v>
      </c>
      <c r="K466" s="6" t="s">
        <v>18</v>
      </c>
      <c r="L466" s="6">
        <v>1061706879</v>
      </c>
      <c r="M466" s="6" t="s">
        <v>502</v>
      </c>
      <c r="N466" s="6" t="s">
        <v>988</v>
      </c>
      <c r="O466" s="6">
        <v>6</v>
      </c>
      <c r="P466" s="6" t="s">
        <v>1018</v>
      </c>
      <c r="Q466" s="6" t="s">
        <v>22</v>
      </c>
      <c r="R466" s="8">
        <v>5</v>
      </c>
      <c r="S466" s="6" t="s">
        <v>3842</v>
      </c>
    </row>
    <row r="467" spans="1:19" ht="25.5" x14ac:dyDescent="0.25">
      <c r="A467" s="5" t="s">
        <v>3327</v>
      </c>
      <c r="B467" s="5">
        <v>466</v>
      </c>
      <c r="C467" s="6" t="s">
        <v>2118</v>
      </c>
      <c r="D467" s="6" t="s">
        <v>859</v>
      </c>
      <c r="E467" s="6">
        <v>7</v>
      </c>
      <c r="F467" s="6" t="s">
        <v>1015</v>
      </c>
      <c r="G467" s="6">
        <v>216</v>
      </c>
      <c r="H467" s="6" t="s">
        <v>180</v>
      </c>
      <c r="I467" s="6" t="s">
        <v>1016</v>
      </c>
      <c r="J467" s="6" t="s">
        <v>1017</v>
      </c>
      <c r="K467" s="6" t="s">
        <v>18</v>
      </c>
      <c r="L467" s="6">
        <v>1061744520</v>
      </c>
      <c r="M467" s="6" t="s">
        <v>401</v>
      </c>
      <c r="N467" s="6" t="s">
        <v>988</v>
      </c>
      <c r="O467" s="6">
        <v>5</v>
      </c>
      <c r="P467" s="6" t="s">
        <v>1018</v>
      </c>
      <c r="Q467" s="6" t="s">
        <v>22</v>
      </c>
      <c r="R467" s="8" t="s">
        <v>1808</v>
      </c>
      <c r="S467" s="6"/>
    </row>
    <row r="468" spans="1:19" ht="25.5" x14ac:dyDescent="0.25">
      <c r="A468" s="5" t="s">
        <v>3327</v>
      </c>
      <c r="B468" s="5">
        <v>467</v>
      </c>
      <c r="C468" s="6" t="s">
        <v>2115</v>
      </c>
      <c r="D468" s="6" t="s">
        <v>859</v>
      </c>
      <c r="E468" s="6">
        <v>3</v>
      </c>
      <c r="F468" s="6" t="s">
        <v>297</v>
      </c>
      <c r="G468" s="6">
        <v>142</v>
      </c>
      <c r="H468" s="6" t="s">
        <v>775</v>
      </c>
      <c r="I468" s="6" t="s">
        <v>1013</v>
      </c>
      <c r="J468" s="6" t="s">
        <v>1014</v>
      </c>
      <c r="K468" s="6" t="s">
        <v>18</v>
      </c>
      <c r="L468" s="6">
        <v>1061734230</v>
      </c>
      <c r="M468" s="6" t="s">
        <v>502</v>
      </c>
      <c r="N468" s="6" t="s">
        <v>988</v>
      </c>
      <c r="O468" s="6">
        <v>350</v>
      </c>
      <c r="P468" s="6" t="s">
        <v>925</v>
      </c>
      <c r="Q468" s="6" t="s">
        <v>22</v>
      </c>
      <c r="R468" s="8" t="s">
        <v>1808</v>
      </c>
      <c r="S468" s="6"/>
    </row>
    <row r="469" spans="1:19" ht="25.5" x14ac:dyDescent="0.25">
      <c r="A469" s="5" t="s">
        <v>3327</v>
      </c>
      <c r="B469" s="5">
        <v>468</v>
      </c>
      <c r="C469" s="6" t="s">
        <v>1912</v>
      </c>
      <c r="D469" s="6" t="s">
        <v>859</v>
      </c>
      <c r="E469" s="6">
        <v>61</v>
      </c>
      <c r="F469" s="6" t="s">
        <v>759</v>
      </c>
      <c r="G469" s="6">
        <v>1964</v>
      </c>
      <c r="H469" s="6" t="s">
        <v>175</v>
      </c>
      <c r="I469" s="6" t="s">
        <v>949</v>
      </c>
      <c r="J469" s="6" t="s">
        <v>950</v>
      </c>
      <c r="K469" s="6" t="s">
        <v>18</v>
      </c>
      <c r="L469" s="6">
        <v>34550479</v>
      </c>
      <c r="M469" s="6" t="s">
        <v>178</v>
      </c>
      <c r="N469" s="6" t="s">
        <v>862</v>
      </c>
      <c r="O469" s="6">
        <v>100</v>
      </c>
      <c r="P469" s="6" t="s">
        <v>951</v>
      </c>
      <c r="Q469" s="6" t="s">
        <v>22</v>
      </c>
      <c r="R469" s="8" t="s">
        <v>1808</v>
      </c>
      <c r="S469" s="6" t="s">
        <v>3842</v>
      </c>
    </row>
    <row r="470" spans="1:19" ht="25.5" x14ac:dyDescent="0.25">
      <c r="A470" s="5" t="s">
        <v>3327</v>
      </c>
      <c r="B470" s="5">
        <v>469</v>
      </c>
      <c r="C470" s="6" t="s">
        <v>2117</v>
      </c>
      <c r="D470" s="6" t="s">
        <v>859</v>
      </c>
      <c r="E470" s="6">
        <v>13</v>
      </c>
      <c r="F470" s="6" t="s">
        <v>238</v>
      </c>
      <c r="G470" s="6">
        <v>365</v>
      </c>
      <c r="H470" s="6" t="s">
        <v>1010</v>
      </c>
      <c r="I470" s="6" t="s">
        <v>1011</v>
      </c>
      <c r="J470" s="6" t="s">
        <v>1012</v>
      </c>
      <c r="K470" s="6" t="s">
        <v>18</v>
      </c>
      <c r="L470" s="6">
        <v>1061740331</v>
      </c>
      <c r="M470" s="6" t="s">
        <v>502</v>
      </c>
      <c r="N470" s="6" t="s">
        <v>988</v>
      </c>
      <c r="O470" s="6">
        <v>351</v>
      </c>
      <c r="P470" s="6" t="s">
        <v>925</v>
      </c>
      <c r="Q470" s="6" t="s">
        <v>22</v>
      </c>
      <c r="R470" s="8" t="s">
        <v>1808</v>
      </c>
      <c r="S470" s="6" t="s">
        <v>3842</v>
      </c>
    </row>
    <row r="471" spans="1:19" ht="25.5" x14ac:dyDescent="0.25">
      <c r="A471" s="5" t="s">
        <v>3327</v>
      </c>
      <c r="B471" s="5">
        <v>470</v>
      </c>
      <c r="C471" s="6" t="s">
        <v>2112</v>
      </c>
      <c r="D471" s="6" t="s">
        <v>859</v>
      </c>
      <c r="E471" s="6">
        <v>6</v>
      </c>
      <c r="F471" s="6" t="s">
        <v>1006</v>
      </c>
      <c r="G471" s="6">
        <v>180</v>
      </c>
      <c r="H471" s="6" t="s">
        <v>469</v>
      </c>
      <c r="I471" s="6" t="s">
        <v>1007</v>
      </c>
      <c r="J471" s="6" t="s">
        <v>1008</v>
      </c>
      <c r="K471" s="6" t="s">
        <v>18</v>
      </c>
      <c r="L471" s="6">
        <v>1061691410</v>
      </c>
      <c r="M471" s="6" t="s">
        <v>502</v>
      </c>
      <c r="N471" s="6" t="s">
        <v>988</v>
      </c>
      <c r="O471" s="6">
        <v>131</v>
      </c>
      <c r="P471" s="6" t="s">
        <v>1009</v>
      </c>
      <c r="Q471" s="6" t="s">
        <v>22</v>
      </c>
      <c r="R471" s="8" t="s">
        <v>1808</v>
      </c>
      <c r="S471" s="6"/>
    </row>
    <row r="472" spans="1:19" ht="25.5" x14ac:dyDescent="0.25">
      <c r="A472" s="5" t="s">
        <v>3327</v>
      </c>
      <c r="B472" s="5">
        <v>471</v>
      </c>
      <c r="C472" s="6" t="s">
        <v>1826</v>
      </c>
      <c r="D472" s="6" t="s">
        <v>859</v>
      </c>
      <c r="E472" s="6">
        <v>70</v>
      </c>
      <c r="F472" s="6" t="s">
        <v>945</v>
      </c>
      <c r="G472" s="6">
        <v>2241</v>
      </c>
      <c r="H472" s="6" t="s">
        <v>946</v>
      </c>
      <c r="I472" s="6" t="s">
        <v>947</v>
      </c>
      <c r="J472" s="6" t="s">
        <v>948</v>
      </c>
      <c r="K472" s="6" t="s">
        <v>18</v>
      </c>
      <c r="L472" s="6">
        <v>10755080</v>
      </c>
      <c r="M472" s="6" t="s">
        <v>79</v>
      </c>
      <c r="N472" s="6" t="s">
        <v>877</v>
      </c>
      <c r="O472" s="6">
        <v>67</v>
      </c>
      <c r="P472" s="6" t="s">
        <v>910</v>
      </c>
      <c r="Q472" s="6" t="s">
        <v>22</v>
      </c>
      <c r="R472" s="8" t="s">
        <v>1808</v>
      </c>
      <c r="S472" s="6" t="s">
        <v>3842</v>
      </c>
    </row>
    <row r="473" spans="1:19" ht="25.5" x14ac:dyDescent="0.25">
      <c r="A473" s="5" t="s">
        <v>3327</v>
      </c>
      <c r="B473" s="5">
        <v>472</v>
      </c>
      <c r="C473" s="6" t="s">
        <v>2116</v>
      </c>
      <c r="D473" s="6" t="s">
        <v>859</v>
      </c>
      <c r="E473" s="6">
        <v>67</v>
      </c>
      <c r="F473" s="6" t="s">
        <v>513</v>
      </c>
      <c r="G473" s="6">
        <v>2091</v>
      </c>
      <c r="H473" s="6" t="s">
        <v>1004</v>
      </c>
      <c r="I473" s="6" t="s">
        <v>1005</v>
      </c>
      <c r="J473" s="6" t="s">
        <v>883</v>
      </c>
      <c r="K473" s="6" t="s">
        <v>18</v>
      </c>
      <c r="L473" s="6">
        <v>1061738531</v>
      </c>
      <c r="M473" s="6" t="s">
        <v>502</v>
      </c>
      <c r="N473" s="6" t="s">
        <v>988</v>
      </c>
      <c r="O473" s="6">
        <v>357</v>
      </c>
      <c r="P473" s="6" t="s">
        <v>925</v>
      </c>
      <c r="Q473" s="6" t="s">
        <v>22</v>
      </c>
      <c r="R473" s="8" t="s">
        <v>1808</v>
      </c>
      <c r="S473" s="6"/>
    </row>
    <row r="474" spans="1:19" ht="25.5" x14ac:dyDescent="0.25">
      <c r="A474" s="5" t="s">
        <v>3327</v>
      </c>
      <c r="B474" s="5">
        <v>473</v>
      </c>
      <c r="C474" s="6" t="s">
        <v>2113</v>
      </c>
      <c r="D474" s="6" t="s">
        <v>859</v>
      </c>
      <c r="E474" s="6">
        <v>55</v>
      </c>
      <c r="F474" s="6" t="s">
        <v>1000</v>
      </c>
      <c r="G474" s="6">
        <v>1709</v>
      </c>
      <c r="H474" s="6" t="s">
        <v>224</v>
      </c>
      <c r="I474" s="6" t="s">
        <v>1001</v>
      </c>
      <c r="J474" s="6" t="s">
        <v>1002</v>
      </c>
      <c r="K474" s="6" t="s">
        <v>18</v>
      </c>
      <c r="L474" s="6">
        <v>1061698257</v>
      </c>
      <c r="M474" s="6" t="s">
        <v>401</v>
      </c>
      <c r="N474" s="6" t="s">
        <v>988</v>
      </c>
      <c r="O474" s="6">
        <v>47</v>
      </c>
      <c r="P474" s="6" t="s">
        <v>1003</v>
      </c>
      <c r="Q474" s="6" t="s">
        <v>22</v>
      </c>
      <c r="R474" s="8" t="s">
        <v>1808</v>
      </c>
      <c r="S474" s="6"/>
    </row>
    <row r="475" spans="1:19" ht="25.5" x14ac:dyDescent="0.25">
      <c r="A475" s="5" t="s">
        <v>3327</v>
      </c>
      <c r="B475" s="5">
        <v>474</v>
      </c>
      <c r="C475" s="6" t="s">
        <v>1913</v>
      </c>
      <c r="D475" s="6" t="s">
        <v>859</v>
      </c>
      <c r="E475" s="6">
        <v>23</v>
      </c>
      <c r="F475" s="6" t="s">
        <v>997</v>
      </c>
      <c r="G475" s="6">
        <v>680</v>
      </c>
      <c r="H475" s="6" t="s">
        <v>998</v>
      </c>
      <c r="I475" s="6" t="s">
        <v>999</v>
      </c>
      <c r="J475" s="6" t="s">
        <v>144</v>
      </c>
      <c r="K475" s="6" t="s">
        <v>18</v>
      </c>
      <c r="L475" s="6">
        <v>34561145</v>
      </c>
      <c r="M475" s="6" t="s">
        <v>79</v>
      </c>
      <c r="N475" s="6" t="s">
        <v>877</v>
      </c>
      <c r="O475" s="6">
        <v>21</v>
      </c>
      <c r="P475" s="6" t="s">
        <v>798</v>
      </c>
      <c r="Q475" s="6" t="s">
        <v>22</v>
      </c>
      <c r="R475" s="8" t="s">
        <v>1808</v>
      </c>
      <c r="S475" s="6" t="s">
        <v>3842</v>
      </c>
    </row>
    <row r="476" spans="1:19" ht="25.5" x14ac:dyDescent="0.25">
      <c r="A476" s="5" t="s">
        <v>3327</v>
      </c>
      <c r="B476" s="5">
        <v>475</v>
      </c>
      <c r="C476" s="6" t="s">
        <v>2029</v>
      </c>
      <c r="D476" s="6" t="s">
        <v>859</v>
      </c>
      <c r="E476" s="6">
        <v>12</v>
      </c>
      <c r="F476" s="6" t="s">
        <v>993</v>
      </c>
      <c r="G476" s="6">
        <v>392</v>
      </c>
      <c r="H476" s="6" t="s">
        <v>161</v>
      </c>
      <c r="I476" s="6" t="s">
        <v>994</v>
      </c>
      <c r="J476" s="6" t="s">
        <v>995</v>
      </c>
      <c r="K476" s="6" t="s">
        <v>18</v>
      </c>
      <c r="L476" s="6">
        <v>48600762</v>
      </c>
      <c r="M476" s="6" t="s">
        <v>401</v>
      </c>
      <c r="N476" s="6" t="s">
        <v>877</v>
      </c>
      <c r="O476" s="6">
        <v>79</v>
      </c>
      <c r="P476" s="6" t="s">
        <v>996</v>
      </c>
      <c r="Q476" s="6" t="s">
        <v>22</v>
      </c>
      <c r="R476" s="8" t="s">
        <v>1808</v>
      </c>
      <c r="S476" s="6"/>
    </row>
    <row r="477" spans="1:19" ht="25.5" x14ac:dyDescent="0.25">
      <c r="A477" s="5" t="s">
        <v>3327</v>
      </c>
      <c r="B477" s="5">
        <v>476</v>
      </c>
      <c r="C477" s="6" t="s">
        <v>2496</v>
      </c>
      <c r="D477" s="6" t="s">
        <v>859</v>
      </c>
      <c r="E477" s="6">
        <v>34</v>
      </c>
      <c r="F477" s="6" t="s">
        <v>915</v>
      </c>
      <c r="G477" s="6">
        <v>1220</v>
      </c>
      <c r="H477" s="6" t="s">
        <v>916</v>
      </c>
      <c r="I477" s="6" t="s">
        <v>917</v>
      </c>
      <c r="J477" s="6" t="s">
        <v>918</v>
      </c>
      <c r="K477" s="6" t="s">
        <v>18</v>
      </c>
      <c r="L477" s="6">
        <v>25276249</v>
      </c>
      <c r="M477" s="6" t="s">
        <v>79</v>
      </c>
      <c r="N477" s="6" t="s">
        <v>877</v>
      </c>
      <c r="O477" s="6">
        <v>186</v>
      </c>
      <c r="P477" s="6" t="s">
        <v>919</v>
      </c>
      <c r="Q477" s="6" t="s">
        <v>22</v>
      </c>
      <c r="R477" s="8" t="s">
        <v>1808</v>
      </c>
      <c r="S477" s="6" t="s">
        <v>3842</v>
      </c>
    </row>
    <row r="478" spans="1:19" ht="25.5" x14ac:dyDescent="0.25">
      <c r="A478" s="5" t="s">
        <v>3327</v>
      </c>
      <c r="B478" s="5">
        <v>477</v>
      </c>
      <c r="C478" s="6" t="s">
        <v>2495</v>
      </c>
      <c r="D478" s="6" t="s">
        <v>859</v>
      </c>
      <c r="E478" s="6">
        <v>28</v>
      </c>
      <c r="F478" s="6" t="s">
        <v>911</v>
      </c>
      <c r="G478" s="6">
        <v>1057</v>
      </c>
      <c r="H478" s="6" t="s">
        <v>449</v>
      </c>
      <c r="I478" s="6" t="s">
        <v>912</v>
      </c>
      <c r="J478" s="6" t="s">
        <v>913</v>
      </c>
      <c r="K478" s="6" t="s">
        <v>18</v>
      </c>
      <c r="L478" s="6">
        <v>87713079</v>
      </c>
      <c r="M478" s="6" t="s">
        <v>79</v>
      </c>
      <c r="N478" s="6" t="s">
        <v>877</v>
      </c>
      <c r="O478" s="6">
        <v>7</v>
      </c>
      <c r="P478" s="6" t="s">
        <v>914</v>
      </c>
      <c r="Q478" s="6" t="s">
        <v>22</v>
      </c>
      <c r="R478" s="8" t="s">
        <v>1808</v>
      </c>
      <c r="S478" s="6"/>
    </row>
    <row r="479" spans="1:19" ht="25.5" x14ac:dyDescent="0.25">
      <c r="A479" s="5" t="s">
        <v>3327</v>
      </c>
      <c r="B479" s="5">
        <v>478</v>
      </c>
      <c r="C479" s="6" t="s">
        <v>2494</v>
      </c>
      <c r="D479" s="6" t="s">
        <v>859</v>
      </c>
      <c r="E479" s="6">
        <v>14</v>
      </c>
      <c r="F479" s="6" t="s">
        <v>906</v>
      </c>
      <c r="G479" s="6">
        <v>514</v>
      </c>
      <c r="H479" s="6" t="s">
        <v>907</v>
      </c>
      <c r="I479" s="6" t="s">
        <v>908</v>
      </c>
      <c r="J479" s="6" t="s">
        <v>909</v>
      </c>
      <c r="K479" s="6" t="s">
        <v>18</v>
      </c>
      <c r="L479" s="6">
        <v>25276109</v>
      </c>
      <c r="M479" s="6" t="s">
        <v>79</v>
      </c>
      <c r="N479" s="6" t="s">
        <v>877</v>
      </c>
      <c r="O479" s="6">
        <v>68</v>
      </c>
      <c r="P479" s="6" t="s">
        <v>910</v>
      </c>
      <c r="Q479" s="6" t="s">
        <v>22</v>
      </c>
      <c r="R479" s="8" t="s">
        <v>1808</v>
      </c>
      <c r="S479" s="6" t="s">
        <v>3842</v>
      </c>
    </row>
    <row r="480" spans="1:19" ht="25.5" x14ac:dyDescent="0.25">
      <c r="A480" s="5" t="s">
        <v>3327</v>
      </c>
      <c r="B480" s="5">
        <v>479</v>
      </c>
      <c r="C480" s="6" t="s">
        <v>1823</v>
      </c>
      <c r="D480" s="6" t="s">
        <v>859</v>
      </c>
      <c r="E480" s="6">
        <v>26</v>
      </c>
      <c r="F480" s="6" t="s">
        <v>990</v>
      </c>
      <c r="G480" s="6">
        <v>953</v>
      </c>
      <c r="H480" s="6" t="s">
        <v>195</v>
      </c>
      <c r="I480" s="6" t="s">
        <v>991</v>
      </c>
      <c r="J480" s="6" t="s">
        <v>992</v>
      </c>
      <c r="K480" s="6" t="s">
        <v>18</v>
      </c>
      <c r="L480" s="6">
        <v>10293262</v>
      </c>
      <c r="M480" s="6" t="s">
        <v>401</v>
      </c>
      <c r="N480" s="6" t="s">
        <v>877</v>
      </c>
      <c r="O480" s="6">
        <v>109</v>
      </c>
      <c r="P480" s="6" t="s">
        <v>984</v>
      </c>
      <c r="Q480" s="6" t="s">
        <v>22</v>
      </c>
      <c r="R480" s="8" t="s">
        <v>1808</v>
      </c>
      <c r="S480" s="6"/>
    </row>
    <row r="481" spans="1:19" ht="25.5" x14ac:dyDescent="0.25">
      <c r="A481" s="5" t="s">
        <v>3327</v>
      </c>
      <c r="B481" s="5">
        <v>480</v>
      </c>
      <c r="C481" s="6" t="s">
        <v>2119</v>
      </c>
      <c r="D481" s="6" t="s">
        <v>859</v>
      </c>
      <c r="E481" s="6">
        <v>23</v>
      </c>
      <c r="F481" s="6" t="s">
        <v>985</v>
      </c>
      <c r="G481" s="6">
        <v>793</v>
      </c>
      <c r="H481" s="6" t="s">
        <v>146</v>
      </c>
      <c r="I481" s="6" t="s">
        <v>986</v>
      </c>
      <c r="J481" s="6" t="s">
        <v>987</v>
      </c>
      <c r="K481" s="6" t="s">
        <v>18</v>
      </c>
      <c r="L481" s="6">
        <v>1064428125</v>
      </c>
      <c r="M481" s="6" t="s">
        <v>401</v>
      </c>
      <c r="N481" s="6" t="s">
        <v>988</v>
      </c>
      <c r="O481" s="6">
        <v>111</v>
      </c>
      <c r="P481" s="6" t="s">
        <v>989</v>
      </c>
      <c r="Q481" s="6" t="s">
        <v>22</v>
      </c>
      <c r="R481" s="8" t="s">
        <v>1808</v>
      </c>
      <c r="S481" s="6"/>
    </row>
    <row r="482" spans="1:19" ht="25.5" x14ac:dyDescent="0.25">
      <c r="A482" s="5" t="s">
        <v>3327</v>
      </c>
      <c r="B482" s="5">
        <v>481</v>
      </c>
      <c r="C482" s="6" t="s">
        <v>2493</v>
      </c>
      <c r="D482" s="6" t="s">
        <v>859</v>
      </c>
      <c r="E482" s="6">
        <v>19</v>
      </c>
      <c r="F482" s="6" t="s">
        <v>901</v>
      </c>
      <c r="G482" s="6">
        <v>745</v>
      </c>
      <c r="H482" s="6" t="s">
        <v>902</v>
      </c>
      <c r="I482" s="6" t="s">
        <v>903</v>
      </c>
      <c r="J482" s="6" t="s">
        <v>904</v>
      </c>
      <c r="K482" s="6" t="s">
        <v>18</v>
      </c>
      <c r="L482" s="6">
        <v>10305875</v>
      </c>
      <c r="M482" s="6" t="s">
        <v>79</v>
      </c>
      <c r="N482" s="6" t="s">
        <v>877</v>
      </c>
      <c r="O482" s="6">
        <v>51</v>
      </c>
      <c r="P482" s="6" t="s">
        <v>905</v>
      </c>
      <c r="Q482" s="6" t="s">
        <v>22</v>
      </c>
      <c r="R482" s="8" t="s">
        <v>1808</v>
      </c>
      <c r="S482" s="6" t="s">
        <v>3842</v>
      </c>
    </row>
    <row r="483" spans="1:19" ht="25.5" x14ac:dyDescent="0.25">
      <c r="A483" s="5" t="s">
        <v>3327</v>
      </c>
      <c r="B483" s="5">
        <v>482</v>
      </c>
      <c r="C483" s="6" t="s">
        <v>1825</v>
      </c>
      <c r="D483" s="6" t="s">
        <v>859</v>
      </c>
      <c r="E483" s="6">
        <v>2</v>
      </c>
      <c r="F483" s="6" t="s">
        <v>940</v>
      </c>
      <c r="G483" s="6">
        <v>58</v>
      </c>
      <c r="H483" s="6" t="s">
        <v>941</v>
      </c>
      <c r="I483" s="6" t="s">
        <v>982</v>
      </c>
      <c r="J483" s="6" t="s">
        <v>983</v>
      </c>
      <c r="K483" s="6" t="s">
        <v>18</v>
      </c>
      <c r="L483" s="6">
        <v>10303807</v>
      </c>
      <c r="M483" s="6" t="s">
        <v>401</v>
      </c>
      <c r="N483" s="6" t="s">
        <v>877</v>
      </c>
      <c r="O483" s="6">
        <v>105</v>
      </c>
      <c r="P483" s="6" t="s">
        <v>984</v>
      </c>
      <c r="Q483" s="6" t="s">
        <v>22</v>
      </c>
      <c r="R483" s="8" t="s">
        <v>1808</v>
      </c>
      <c r="S483" s="6"/>
    </row>
    <row r="484" spans="1:19" ht="25.5" x14ac:dyDescent="0.25">
      <c r="A484" s="5" t="s">
        <v>3327</v>
      </c>
      <c r="B484" s="5">
        <v>483</v>
      </c>
      <c r="C484" s="6" t="s">
        <v>2074</v>
      </c>
      <c r="D484" s="6" t="s">
        <v>859</v>
      </c>
      <c r="E484" s="6">
        <v>2</v>
      </c>
      <c r="F484" s="6" t="s">
        <v>940</v>
      </c>
      <c r="G484" s="6">
        <v>58</v>
      </c>
      <c r="H484" s="6" t="s">
        <v>941</v>
      </c>
      <c r="I484" s="6" t="s">
        <v>942</v>
      </c>
      <c r="J484" s="6" t="s">
        <v>943</v>
      </c>
      <c r="K484" s="6" t="s">
        <v>18</v>
      </c>
      <c r="L484" s="6">
        <v>76315083</v>
      </c>
      <c r="M484" s="6" t="s">
        <v>79</v>
      </c>
      <c r="N484" s="6" t="s">
        <v>877</v>
      </c>
      <c r="O484" s="6">
        <v>56</v>
      </c>
      <c r="P484" s="6" t="s">
        <v>944</v>
      </c>
      <c r="Q484" s="6" t="s">
        <v>22</v>
      </c>
      <c r="R484" s="8" t="s">
        <v>1808</v>
      </c>
      <c r="S484" s="6"/>
    </row>
    <row r="485" spans="1:19" ht="25.5" x14ac:dyDescent="0.25">
      <c r="A485" s="5" t="s">
        <v>3327</v>
      </c>
      <c r="B485" s="5">
        <v>484</v>
      </c>
      <c r="C485" s="6" t="s">
        <v>2092</v>
      </c>
      <c r="D485" s="6" t="s">
        <v>859</v>
      </c>
      <c r="E485" s="6">
        <v>28</v>
      </c>
      <c r="F485" s="6" t="s">
        <v>978</v>
      </c>
      <c r="G485" s="6">
        <v>681</v>
      </c>
      <c r="H485" s="6" t="s">
        <v>337</v>
      </c>
      <c r="I485" s="6" t="s">
        <v>979</v>
      </c>
      <c r="J485" s="6" t="s">
        <v>980</v>
      </c>
      <c r="K485" s="6" t="s">
        <v>18</v>
      </c>
      <c r="L485" s="6">
        <v>98429572</v>
      </c>
      <c r="M485" s="6" t="s">
        <v>79</v>
      </c>
      <c r="N485" s="6" t="s">
        <v>877</v>
      </c>
      <c r="O485" s="6">
        <v>2</v>
      </c>
      <c r="P485" s="6" t="s">
        <v>981</v>
      </c>
      <c r="Q485" s="6" t="s">
        <v>22</v>
      </c>
      <c r="R485" s="8" t="s">
        <v>1808</v>
      </c>
      <c r="S485" s="6" t="s">
        <v>3842</v>
      </c>
    </row>
    <row r="486" spans="1:19" ht="25.5" x14ac:dyDescent="0.25">
      <c r="A486" s="5" t="s">
        <v>3327</v>
      </c>
      <c r="B486" s="5">
        <v>485</v>
      </c>
      <c r="C486" s="6" t="s">
        <v>2038</v>
      </c>
      <c r="D486" s="6" t="s">
        <v>859</v>
      </c>
      <c r="E486" s="6">
        <v>19</v>
      </c>
      <c r="F486" s="6" t="s">
        <v>975</v>
      </c>
      <c r="G486" s="6">
        <v>417</v>
      </c>
      <c r="H486" s="6" t="s">
        <v>97</v>
      </c>
      <c r="I486" s="6" t="s">
        <v>976</v>
      </c>
      <c r="J486" s="6" t="s">
        <v>977</v>
      </c>
      <c r="K486" s="6" t="s">
        <v>18</v>
      </c>
      <c r="L486" s="6">
        <v>67023636</v>
      </c>
      <c r="M486" s="6" t="s">
        <v>79</v>
      </c>
      <c r="N486" s="6" t="s">
        <v>877</v>
      </c>
      <c r="O486" s="6">
        <v>46</v>
      </c>
      <c r="P486" s="6" t="s">
        <v>905</v>
      </c>
      <c r="Q486" s="6" t="s">
        <v>22</v>
      </c>
      <c r="R486" s="8" t="s">
        <v>1808</v>
      </c>
      <c r="S486" s="6" t="s">
        <v>3842</v>
      </c>
    </row>
    <row r="487" spans="1:19" ht="25.5" x14ac:dyDescent="0.25">
      <c r="A487" s="5" t="s">
        <v>3327</v>
      </c>
      <c r="B487" s="5">
        <v>486</v>
      </c>
      <c r="C487" s="6" t="s">
        <v>2527</v>
      </c>
      <c r="D487" s="6" t="s">
        <v>859</v>
      </c>
      <c r="E487" s="6">
        <v>16</v>
      </c>
      <c r="F487" s="6" t="s">
        <v>1053</v>
      </c>
      <c r="G487" s="6">
        <v>343</v>
      </c>
      <c r="H487" s="6" t="s">
        <v>800</v>
      </c>
      <c r="I487" s="6" t="s">
        <v>1054</v>
      </c>
      <c r="J487" s="6" t="s">
        <v>1055</v>
      </c>
      <c r="K487" s="6" t="s">
        <v>18</v>
      </c>
      <c r="L487" s="6">
        <v>76325401</v>
      </c>
      <c r="M487" s="6" t="s">
        <v>79</v>
      </c>
      <c r="N487" s="6" t="s">
        <v>877</v>
      </c>
      <c r="O487" s="6">
        <v>384</v>
      </c>
      <c r="P487" s="6" t="s">
        <v>98</v>
      </c>
      <c r="Q487" s="6" t="s">
        <v>22</v>
      </c>
      <c r="R487" s="8" t="s">
        <v>1808</v>
      </c>
      <c r="S487" s="6"/>
    </row>
    <row r="488" spans="1:19" ht="25.5" x14ac:dyDescent="0.25">
      <c r="A488" s="5" t="s">
        <v>3327</v>
      </c>
      <c r="B488" s="5">
        <v>487</v>
      </c>
      <c r="C488" s="6" t="s">
        <v>1824</v>
      </c>
      <c r="D488" s="6" t="s">
        <v>859</v>
      </c>
      <c r="E488" s="6">
        <v>12</v>
      </c>
      <c r="F488" s="6" t="s">
        <v>971</v>
      </c>
      <c r="G488" s="6">
        <v>267</v>
      </c>
      <c r="H488" s="6" t="s">
        <v>972</v>
      </c>
      <c r="I488" s="6" t="s">
        <v>973</v>
      </c>
      <c r="J488" s="6" t="s">
        <v>974</v>
      </c>
      <c r="K488" s="6" t="s">
        <v>18</v>
      </c>
      <c r="L488" s="6">
        <v>10296168</v>
      </c>
      <c r="M488" s="6" t="s">
        <v>79</v>
      </c>
      <c r="N488" s="6" t="s">
        <v>877</v>
      </c>
      <c r="O488" s="6">
        <v>50</v>
      </c>
      <c r="P488" s="6" t="s">
        <v>905</v>
      </c>
      <c r="Q488" s="6" t="s">
        <v>22</v>
      </c>
      <c r="R488" s="8" t="s">
        <v>1808</v>
      </c>
      <c r="S488" s="6" t="s">
        <v>3842</v>
      </c>
    </row>
    <row r="489" spans="1:19" ht="25.5" x14ac:dyDescent="0.25">
      <c r="A489" s="5" t="s">
        <v>3327</v>
      </c>
      <c r="B489" s="5">
        <v>488</v>
      </c>
      <c r="C489" s="6" t="s">
        <v>2526</v>
      </c>
      <c r="D489" s="6" t="s">
        <v>859</v>
      </c>
      <c r="E489" s="6">
        <v>4</v>
      </c>
      <c r="F489" s="6" t="s">
        <v>1049</v>
      </c>
      <c r="G489" s="6">
        <v>69</v>
      </c>
      <c r="H489" s="6" t="s">
        <v>1050</v>
      </c>
      <c r="I489" s="6" t="s">
        <v>1051</v>
      </c>
      <c r="J489" s="6" t="s">
        <v>1052</v>
      </c>
      <c r="K489" s="6" t="s">
        <v>18</v>
      </c>
      <c r="L489" s="6">
        <v>10298981</v>
      </c>
      <c r="M489" s="6" t="s">
        <v>79</v>
      </c>
      <c r="N489" s="6" t="s">
        <v>877</v>
      </c>
      <c r="O489" s="6">
        <v>56</v>
      </c>
      <c r="P489" s="6" t="s">
        <v>905</v>
      </c>
      <c r="Q489" s="6" t="s">
        <v>22</v>
      </c>
      <c r="R489" s="8" t="s">
        <v>1808</v>
      </c>
      <c r="S489" s="6" t="s">
        <v>3842</v>
      </c>
    </row>
    <row r="490" spans="1:19" ht="25.5" x14ac:dyDescent="0.25">
      <c r="A490" s="5" t="s">
        <v>3327</v>
      </c>
      <c r="B490" s="5">
        <v>489</v>
      </c>
      <c r="C490" s="6" t="s">
        <v>1827</v>
      </c>
      <c r="D490" s="6" t="s">
        <v>859</v>
      </c>
      <c r="E490" s="6">
        <v>27</v>
      </c>
      <c r="F490" s="6" t="s">
        <v>967</v>
      </c>
      <c r="G490" s="6">
        <v>670</v>
      </c>
      <c r="H490" s="6" t="s">
        <v>968</v>
      </c>
      <c r="I490" s="6" t="s">
        <v>1046</v>
      </c>
      <c r="J490" s="6" t="s">
        <v>1047</v>
      </c>
      <c r="K490" s="6" t="s">
        <v>18</v>
      </c>
      <c r="L490" s="6">
        <v>12128146</v>
      </c>
      <c r="M490" s="6" t="s">
        <v>502</v>
      </c>
      <c r="N490" s="6" t="s">
        <v>862</v>
      </c>
      <c r="O490" s="6">
        <v>88</v>
      </c>
      <c r="P490" s="6" t="s">
        <v>1048</v>
      </c>
      <c r="Q490" s="6" t="s">
        <v>22</v>
      </c>
      <c r="R490" s="8" t="s">
        <v>1808</v>
      </c>
      <c r="S490" s="6" t="s">
        <v>3842</v>
      </c>
    </row>
    <row r="491" spans="1:19" ht="25.5" x14ac:dyDescent="0.25">
      <c r="A491" s="5" t="s">
        <v>3327</v>
      </c>
      <c r="B491" s="5">
        <v>490</v>
      </c>
      <c r="C491" s="6" t="s">
        <v>2518</v>
      </c>
      <c r="D491" s="6" t="s">
        <v>859</v>
      </c>
      <c r="E491" s="6">
        <v>27</v>
      </c>
      <c r="F491" s="6" t="s">
        <v>967</v>
      </c>
      <c r="G491" s="6">
        <v>670</v>
      </c>
      <c r="H491" s="6" t="s">
        <v>968</v>
      </c>
      <c r="I491" s="6" t="s">
        <v>969</v>
      </c>
      <c r="J491" s="6" t="s">
        <v>970</v>
      </c>
      <c r="K491" s="6" t="s">
        <v>18</v>
      </c>
      <c r="L491" s="6">
        <v>34331816</v>
      </c>
      <c r="M491" s="6" t="s">
        <v>79</v>
      </c>
      <c r="N491" s="6" t="s">
        <v>877</v>
      </c>
      <c r="O491" s="6">
        <v>48</v>
      </c>
      <c r="P491" s="6" t="s">
        <v>905</v>
      </c>
      <c r="Q491" s="6" t="s">
        <v>22</v>
      </c>
      <c r="R491" s="8" t="s">
        <v>1808</v>
      </c>
      <c r="S491" s="6" t="s">
        <v>3842</v>
      </c>
    </row>
    <row r="492" spans="1:19" ht="25.5" x14ac:dyDescent="0.25">
      <c r="A492" s="5" t="s">
        <v>3327</v>
      </c>
      <c r="B492" s="5">
        <v>491</v>
      </c>
      <c r="C492" s="6" t="s">
        <v>2525</v>
      </c>
      <c r="D492" s="6" t="s">
        <v>859</v>
      </c>
      <c r="E492" s="6">
        <v>2</v>
      </c>
      <c r="F492" s="6" t="s">
        <v>1042</v>
      </c>
      <c r="G492" s="6">
        <v>74</v>
      </c>
      <c r="H492" s="6" t="s">
        <v>1043</v>
      </c>
      <c r="I492" s="6" t="s">
        <v>1044</v>
      </c>
      <c r="J492" s="6" t="s">
        <v>1045</v>
      </c>
      <c r="K492" s="6" t="s">
        <v>18</v>
      </c>
      <c r="L492" s="6">
        <v>25291946</v>
      </c>
      <c r="M492" s="6" t="s">
        <v>79</v>
      </c>
      <c r="N492" s="6" t="s">
        <v>877</v>
      </c>
      <c r="O492" s="6">
        <v>376</v>
      </c>
      <c r="P492" s="6" t="s">
        <v>98</v>
      </c>
      <c r="Q492" s="6" t="s">
        <v>22</v>
      </c>
      <c r="R492" s="8" t="s">
        <v>1808</v>
      </c>
      <c r="S492" s="6" t="s">
        <v>3841</v>
      </c>
    </row>
    <row r="493" spans="1:19" ht="25.5" x14ac:dyDescent="0.25">
      <c r="A493" s="5" t="s">
        <v>3327</v>
      </c>
      <c r="B493" s="5">
        <v>492</v>
      </c>
      <c r="C493" s="6" t="s">
        <v>2492</v>
      </c>
      <c r="D493" s="6" t="s">
        <v>859</v>
      </c>
      <c r="E493" s="6">
        <v>21</v>
      </c>
      <c r="F493" s="6" t="s">
        <v>894</v>
      </c>
      <c r="G493" s="6">
        <v>258</v>
      </c>
      <c r="H493" s="6" t="s">
        <v>895</v>
      </c>
      <c r="I493" s="6" t="s">
        <v>899</v>
      </c>
      <c r="J493" s="6" t="s">
        <v>900</v>
      </c>
      <c r="K493" s="6" t="s">
        <v>18</v>
      </c>
      <c r="L493" s="6">
        <v>34317188</v>
      </c>
      <c r="M493" s="6" t="s">
        <v>79</v>
      </c>
      <c r="N493" s="6" t="s">
        <v>877</v>
      </c>
      <c r="O493" s="6">
        <v>378</v>
      </c>
      <c r="P493" s="6" t="s">
        <v>98</v>
      </c>
      <c r="Q493" s="6" t="s">
        <v>22</v>
      </c>
      <c r="R493" s="8" t="s">
        <v>1808</v>
      </c>
      <c r="S493" s="6" t="s">
        <v>3841</v>
      </c>
    </row>
    <row r="494" spans="1:19" ht="25.5" x14ac:dyDescent="0.25">
      <c r="A494" s="5" t="s">
        <v>3327</v>
      </c>
      <c r="B494" s="5">
        <v>493</v>
      </c>
      <c r="C494" s="6" t="s">
        <v>2491</v>
      </c>
      <c r="D494" s="6" t="s">
        <v>859</v>
      </c>
      <c r="E494" s="6">
        <v>21</v>
      </c>
      <c r="F494" s="6" t="s">
        <v>894</v>
      </c>
      <c r="G494" s="6">
        <v>258</v>
      </c>
      <c r="H494" s="6" t="s">
        <v>895</v>
      </c>
      <c r="I494" s="6" t="s">
        <v>896</v>
      </c>
      <c r="J494" s="6" t="s">
        <v>897</v>
      </c>
      <c r="K494" s="6" t="s">
        <v>18</v>
      </c>
      <c r="L494" s="6">
        <v>48600458</v>
      </c>
      <c r="M494" s="6" t="s">
        <v>79</v>
      </c>
      <c r="N494" s="6" t="s">
        <v>877</v>
      </c>
      <c r="O494" s="6">
        <v>121</v>
      </c>
      <c r="P494" s="6" t="s">
        <v>898</v>
      </c>
      <c r="Q494" s="6" t="s">
        <v>22</v>
      </c>
      <c r="R494" s="8" t="s">
        <v>1808</v>
      </c>
      <c r="S494" s="6" t="s">
        <v>3841</v>
      </c>
    </row>
    <row r="495" spans="1:19" ht="25.5" x14ac:dyDescent="0.25">
      <c r="A495" s="5" t="s">
        <v>3327</v>
      </c>
      <c r="B495" s="5">
        <v>494</v>
      </c>
      <c r="C495" s="6" t="s">
        <v>1822</v>
      </c>
      <c r="D495" s="6" t="s">
        <v>859</v>
      </c>
      <c r="E495" s="6">
        <v>21</v>
      </c>
      <c r="F495" s="6" t="s">
        <v>894</v>
      </c>
      <c r="G495" s="6">
        <v>258</v>
      </c>
      <c r="H495" s="6" t="s">
        <v>895</v>
      </c>
      <c r="I495" s="6" t="s">
        <v>939</v>
      </c>
      <c r="J495" s="6" t="s">
        <v>67</v>
      </c>
      <c r="K495" s="6" t="s">
        <v>18</v>
      </c>
      <c r="L495" s="6">
        <v>10292665</v>
      </c>
      <c r="M495" s="6" t="s">
        <v>79</v>
      </c>
      <c r="N495" s="6" t="s">
        <v>877</v>
      </c>
      <c r="O495" s="6">
        <v>60</v>
      </c>
      <c r="P495" s="6" t="s">
        <v>910</v>
      </c>
      <c r="Q495" s="6" t="s">
        <v>22</v>
      </c>
      <c r="R495" s="8" t="s">
        <v>1808</v>
      </c>
      <c r="S495" s="6" t="s">
        <v>3841</v>
      </c>
    </row>
    <row r="496" spans="1:19" ht="25.5" x14ac:dyDescent="0.25">
      <c r="A496" s="5" t="s">
        <v>3327</v>
      </c>
      <c r="B496" s="5">
        <v>495</v>
      </c>
      <c r="C496" s="6" t="s">
        <v>2524</v>
      </c>
      <c r="D496" s="6" t="s">
        <v>859</v>
      </c>
      <c r="E496" s="6">
        <v>14</v>
      </c>
      <c r="F496" s="6" t="s">
        <v>1038</v>
      </c>
      <c r="G496" s="6">
        <v>158</v>
      </c>
      <c r="H496" s="6" t="s">
        <v>1039</v>
      </c>
      <c r="I496" s="6" t="s">
        <v>1040</v>
      </c>
      <c r="J496" s="6" t="s">
        <v>1041</v>
      </c>
      <c r="K496" s="6" t="s">
        <v>18</v>
      </c>
      <c r="L496" s="6">
        <v>34564218</v>
      </c>
      <c r="M496" s="6" t="s">
        <v>79</v>
      </c>
      <c r="N496" s="6" t="s">
        <v>877</v>
      </c>
      <c r="O496" s="6">
        <v>59</v>
      </c>
      <c r="P496" s="6" t="s">
        <v>966</v>
      </c>
      <c r="Q496" s="6" t="s">
        <v>22</v>
      </c>
      <c r="R496" s="8" t="s">
        <v>1808</v>
      </c>
      <c r="S496" s="6" t="s">
        <v>3841</v>
      </c>
    </row>
    <row r="497" spans="1:19" ht="25.5" x14ac:dyDescent="0.25">
      <c r="A497" s="5" t="s">
        <v>3327</v>
      </c>
      <c r="B497" s="5">
        <v>496</v>
      </c>
      <c r="C497" s="6" t="s">
        <v>2490</v>
      </c>
      <c r="D497" s="6" t="s">
        <v>859</v>
      </c>
      <c r="E497" s="6">
        <v>5</v>
      </c>
      <c r="F497" s="6" t="s">
        <v>889</v>
      </c>
      <c r="G497" s="6">
        <v>56</v>
      </c>
      <c r="H497" s="6" t="s">
        <v>890</v>
      </c>
      <c r="I497" s="6" t="s">
        <v>891</v>
      </c>
      <c r="J497" s="6" t="s">
        <v>892</v>
      </c>
      <c r="K497" s="6" t="s">
        <v>18</v>
      </c>
      <c r="L497" s="6">
        <v>4614870</v>
      </c>
      <c r="M497" s="6" t="s">
        <v>79</v>
      </c>
      <c r="N497" s="6" t="s">
        <v>877</v>
      </c>
      <c r="O497" s="6">
        <v>70</v>
      </c>
      <c r="P497" s="6" t="s">
        <v>893</v>
      </c>
      <c r="Q497" s="6" t="s">
        <v>22</v>
      </c>
      <c r="R497" s="8" t="s">
        <v>1808</v>
      </c>
      <c r="S497" s="6" t="s">
        <v>3841</v>
      </c>
    </row>
    <row r="498" spans="1:19" ht="25.5" x14ac:dyDescent="0.25">
      <c r="A498" s="5" t="s">
        <v>3327</v>
      </c>
      <c r="B498" s="5">
        <v>497</v>
      </c>
      <c r="C498" s="6" t="s">
        <v>2522</v>
      </c>
      <c r="D498" s="6" t="s">
        <v>859</v>
      </c>
      <c r="E498" s="6">
        <v>19</v>
      </c>
      <c r="F498" s="6" t="s">
        <v>1032</v>
      </c>
      <c r="G498" s="6">
        <v>395</v>
      </c>
      <c r="H498" s="6" t="s">
        <v>1033</v>
      </c>
      <c r="I498" s="6" t="s">
        <v>1034</v>
      </c>
      <c r="J498" s="6" t="s">
        <v>1035</v>
      </c>
      <c r="K498" s="6" t="s">
        <v>18</v>
      </c>
      <c r="L498" s="6">
        <v>25291495</v>
      </c>
      <c r="M498" s="6" t="s">
        <v>79</v>
      </c>
      <c r="N498" s="6" t="s">
        <v>877</v>
      </c>
      <c r="O498" s="6">
        <v>65</v>
      </c>
      <c r="P498" s="6" t="s">
        <v>910</v>
      </c>
      <c r="Q498" s="6" t="s">
        <v>22</v>
      </c>
      <c r="R498" s="8" t="s">
        <v>1808</v>
      </c>
      <c r="S498" s="6" t="s">
        <v>3841</v>
      </c>
    </row>
    <row r="499" spans="1:19" ht="25.5" x14ac:dyDescent="0.25">
      <c r="A499" s="5" t="s">
        <v>3327</v>
      </c>
      <c r="B499" s="5">
        <v>498</v>
      </c>
      <c r="C499" s="6" t="s">
        <v>2523</v>
      </c>
      <c r="D499" s="6" t="s">
        <v>859</v>
      </c>
      <c r="E499" s="6">
        <v>19</v>
      </c>
      <c r="F499" s="6" t="s">
        <v>1032</v>
      </c>
      <c r="G499" s="6">
        <v>395</v>
      </c>
      <c r="H499" s="6" t="s">
        <v>1033</v>
      </c>
      <c r="I499" s="6" t="s">
        <v>1036</v>
      </c>
      <c r="J499" s="6" t="s">
        <v>1037</v>
      </c>
      <c r="K499" s="6" t="s">
        <v>18</v>
      </c>
      <c r="L499" s="6">
        <v>34317858</v>
      </c>
      <c r="M499" s="6" t="s">
        <v>79</v>
      </c>
      <c r="N499" s="6" t="s">
        <v>877</v>
      </c>
      <c r="O499" s="6">
        <v>63</v>
      </c>
      <c r="P499" s="6" t="s">
        <v>910</v>
      </c>
      <c r="Q499" s="6" t="s">
        <v>22</v>
      </c>
      <c r="R499" s="8" t="s">
        <v>1808</v>
      </c>
      <c r="S499" s="6" t="s">
        <v>3841</v>
      </c>
    </row>
    <row r="500" spans="1:19" ht="25.5" x14ac:dyDescent="0.25">
      <c r="A500" s="5" t="s">
        <v>3327</v>
      </c>
      <c r="B500" s="5">
        <v>499</v>
      </c>
      <c r="C500" s="6" t="s">
        <v>2521</v>
      </c>
      <c r="D500" s="6" t="s">
        <v>859</v>
      </c>
      <c r="E500" s="6">
        <v>19</v>
      </c>
      <c r="F500" s="6" t="s">
        <v>1028</v>
      </c>
      <c r="G500" s="6">
        <v>3700</v>
      </c>
      <c r="H500" s="6" t="s">
        <v>1029</v>
      </c>
      <c r="I500" s="6" t="s">
        <v>1030</v>
      </c>
      <c r="J500" s="6" t="s">
        <v>1031</v>
      </c>
      <c r="K500" s="6" t="s">
        <v>18</v>
      </c>
      <c r="L500" s="6">
        <v>76312278</v>
      </c>
      <c r="M500" s="6" t="s">
        <v>79</v>
      </c>
      <c r="N500" s="6" t="s">
        <v>877</v>
      </c>
      <c r="O500" s="6" t="s">
        <v>21</v>
      </c>
      <c r="P500" s="6" t="s">
        <v>898</v>
      </c>
      <c r="Q500" s="6" t="s">
        <v>22</v>
      </c>
      <c r="R500" s="8" t="s">
        <v>1808</v>
      </c>
      <c r="S500" s="6" t="s">
        <v>3841</v>
      </c>
    </row>
    <row r="501" spans="1:19" ht="25.5" x14ac:dyDescent="0.25">
      <c r="A501" s="5" t="s">
        <v>3327</v>
      </c>
      <c r="B501" s="5">
        <v>500</v>
      </c>
      <c r="C501" s="6" t="s">
        <v>2519</v>
      </c>
      <c r="D501" s="6" t="s">
        <v>859</v>
      </c>
      <c r="E501" s="6">
        <v>12</v>
      </c>
      <c r="F501" s="6" t="s">
        <v>1021</v>
      </c>
      <c r="G501" s="6">
        <v>3511</v>
      </c>
      <c r="H501" s="6" t="s">
        <v>1022</v>
      </c>
      <c r="I501" s="6" t="s">
        <v>1023</v>
      </c>
      <c r="J501" s="6" t="s">
        <v>1024</v>
      </c>
      <c r="K501" s="6" t="s">
        <v>18</v>
      </c>
      <c r="L501" s="6">
        <v>25292391</v>
      </c>
      <c r="M501" s="6" t="s">
        <v>79</v>
      </c>
      <c r="N501" s="6" t="s">
        <v>877</v>
      </c>
      <c r="O501" s="6" t="s">
        <v>21</v>
      </c>
      <c r="P501" s="6" t="s">
        <v>1025</v>
      </c>
      <c r="Q501" s="6" t="s">
        <v>22</v>
      </c>
      <c r="R501" s="8" t="s">
        <v>1808</v>
      </c>
      <c r="S501" s="6"/>
    </row>
    <row r="502" spans="1:19" ht="25.5" x14ac:dyDescent="0.25">
      <c r="A502" s="5" t="s">
        <v>3327</v>
      </c>
      <c r="B502" s="5">
        <v>501</v>
      </c>
      <c r="C502" s="6" t="s">
        <v>2520</v>
      </c>
      <c r="D502" s="6" t="s">
        <v>859</v>
      </c>
      <c r="E502" s="6">
        <v>12</v>
      </c>
      <c r="F502" s="6" t="s">
        <v>1021</v>
      </c>
      <c r="G502" s="6">
        <v>3511</v>
      </c>
      <c r="H502" s="6" t="s">
        <v>1022</v>
      </c>
      <c r="I502" s="6" t="s">
        <v>1026</v>
      </c>
      <c r="J502" s="6" t="s">
        <v>1027</v>
      </c>
      <c r="K502" s="6" t="s">
        <v>18</v>
      </c>
      <c r="L502" s="6">
        <v>34327592</v>
      </c>
      <c r="M502" s="6" t="s">
        <v>79</v>
      </c>
      <c r="N502" s="6" t="s">
        <v>877</v>
      </c>
      <c r="O502" s="6" t="s">
        <v>21</v>
      </c>
      <c r="P502" s="6" t="s">
        <v>1025</v>
      </c>
      <c r="Q502" s="6" t="s">
        <v>22</v>
      </c>
      <c r="R502" s="8" t="s">
        <v>1808</v>
      </c>
      <c r="S502" s="6"/>
    </row>
    <row r="503" spans="1:19" ht="25.5" x14ac:dyDescent="0.25">
      <c r="A503" s="5" t="s">
        <v>3327</v>
      </c>
      <c r="B503" s="5">
        <v>502</v>
      </c>
      <c r="C503" s="6" t="s">
        <v>2500</v>
      </c>
      <c r="D503" s="6" t="s">
        <v>859</v>
      </c>
      <c r="E503" s="6">
        <v>2817</v>
      </c>
      <c r="F503" s="6" t="s">
        <v>864</v>
      </c>
      <c r="G503" s="6">
        <v>137</v>
      </c>
      <c r="H503" s="6" t="s">
        <v>66</v>
      </c>
      <c r="I503" s="6" t="s">
        <v>926</v>
      </c>
      <c r="J503" s="6" t="s">
        <v>927</v>
      </c>
      <c r="K503" s="6" t="s">
        <v>18</v>
      </c>
      <c r="L503" s="6">
        <v>34527735</v>
      </c>
      <c r="M503" s="6" t="s">
        <v>186</v>
      </c>
      <c r="N503" s="6" t="s">
        <v>862</v>
      </c>
      <c r="O503" s="6" t="s">
        <v>21</v>
      </c>
      <c r="P503" s="6" t="s">
        <v>21</v>
      </c>
      <c r="Q503" s="6" t="s">
        <v>22</v>
      </c>
      <c r="R503" s="8" t="s">
        <v>1808</v>
      </c>
      <c r="S503" s="6"/>
    </row>
    <row r="504" spans="1:19" ht="25.5" x14ac:dyDescent="0.25">
      <c r="A504" s="5" t="s">
        <v>3327</v>
      </c>
      <c r="B504" s="5">
        <v>503</v>
      </c>
      <c r="C504" s="6" t="s">
        <v>2504</v>
      </c>
      <c r="D504" s="6" t="s">
        <v>859</v>
      </c>
      <c r="E504" s="6">
        <v>2834</v>
      </c>
      <c r="F504" s="6" t="s">
        <v>872</v>
      </c>
      <c r="G504" s="6">
        <v>304</v>
      </c>
      <c r="H504" s="6" t="s">
        <v>873</v>
      </c>
      <c r="I504" s="6" t="s">
        <v>933</v>
      </c>
      <c r="J504" s="6" t="s">
        <v>934</v>
      </c>
      <c r="K504" s="6" t="s">
        <v>18</v>
      </c>
      <c r="L504" s="6">
        <v>34525291</v>
      </c>
      <c r="M504" s="6" t="s">
        <v>186</v>
      </c>
      <c r="N504" s="6" t="s">
        <v>862</v>
      </c>
      <c r="O504" s="6">
        <v>13</v>
      </c>
      <c r="P504" s="7">
        <v>27955</v>
      </c>
      <c r="Q504" s="6" t="s">
        <v>22</v>
      </c>
      <c r="R504" s="8" t="s">
        <v>1808</v>
      </c>
      <c r="S504" s="6" t="s">
        <v>3841</v>
      </c>
    </row>
    <row r="505" spans="1:19" ht="25.5" x14ac:dyDescent="0.25">
      <c r="A505" s="5" t="s">
        <v>3327</v>
      </c>
      <c r="B505" s="5">
        <v>504</v>
      </c>
      <c r="C505" s="6" t="s">
        <v>2501</v>
      </c>
      <c r="D505" s="6" t="s">
        <v>859</v>
      </c>
      <c r="E505" s="6">
        <v>2817</v>
      </c>
      <c r="F505" s="6" t="s">
        <v>864</v>
      </c>
      <c r="G505" s="6">
        <v>137</v>
      </c>
      <c r="H505" s="6" t="s">
        <v>66</v>
      </c>
      <c r="I505" s="6" t="s">
        <v>928</v>
      </c>
      <c r="J505" s="6" t="s">
        <v>25</v>
      </c>
      <c r="K505" s="6" t="s">
        <v>18</v>
      </c>
      <c r="L505" s="6">
        <v>34527222</v>
      </c>
      <c r="M505" s="6" t="s">
        <v>186</v>
      </c>
      <c r="N505" s="6" t="s">
        <v>862</v>
      </c>
      <c r="O505" s="6" t="s">
        <v>21</v>
      </c>
      <c r="P505" s="6" t="s">
        <v>21</v>
      </c>
      <c r="Q505" s="6" t="s">
        <v>22</v>
      </c>
      <c r="R505" s="8" t="s">
        <v>1808</v>
      </c>
      <c r="S505" s="6"/>
    </row>
    <row r="506" spans="1:19" ht="25.5" x14ac:dyDescent="0.25">
      <c r="A506" s="5" t="s">
        <v>3327</v>
      </c>
      <c r="B506" s="5">
        <v>505</v>
      </c>
      <c r="C506" s="6" t="s">
        <v>1911</v>
      </c>
      <c r="D506" s="6" t="s">
        <v>859</v>
      </c>
      <c r="E506" s="6">
        <v>2841</v>
      </c>
      <c r="F506" s="6" t="s">
        <v>875</v>
      </c>
      <c r="G506" s="6">
        <v>416</v>
      </c>
      <c r="H506" s="6" t="s">
        <v>580</v>
      </c>
      <c r="I506" s="6" t="s">
        <v>957</v>
      </c>
      <c r="J506" s="6" t="s">
        <v>54</v>
      </c>
      <c r="K506" s="6" t="s">
        <v>18</v>
      </c>
      <c r="L506" s="6">
        <v>34535137</v>
      </c>
      <c r="M506" s="6" t="s">
        <v>186</v>
      </c>
      <c r="N506" s="6" t="s">
        <v>862</v>
      </c>
      <c r="O506" s="6">
        <v>9</v>
      </c>
      <c r="P506" s="7">
        <v>29048</v>
      </c>
      <c r="Q506" s="6" t="s">
        <v>22</v>
      </c>
      <c r="R506" s="8" t="s">
        <v>1808</v>
      </c>
      <c r="S506" s="6"/>
    </row>
    <row r="507" spans="1:19" ht="25.5" x14ac:dyDescent="0.25">
      <c r="A507" s="5" t="s">
        <v>3327</v>
      </c>
      <c r="B507" s="5">
        <v>506</v>
      </c>
      <c r="C507" s="6" t="s">
        <v>2503</v>
      </c>
      <c r="D507" s="6" t="s">
        <v>859</v>
      </c>
      <c r="E507" s="6">
        <v>2822</v>
      </c>
      <c r="F507" s="6" t="s">
        <v>869</v>
      </c>
      <c r="G507" s="6">
        <v>184</v>
      </c>
      <c r="H507" s="6" t="s">
        <v>70</v>
      </c>
      <c r="I507" s="6" t="s">
        <v>931</v>
      </c>
      <c r="J507" s="6" t="s">
        <v>932</v>
      </c>
      <c r="K507" s="6" t="s">
        <v>18</v>
      </c>
      <c r="L507" s="6">
        <v>34523714</v>
      </c>
      <c r="M507" s="6" t="s">
        <v>186</v>
      </c>
      <c r="N507" s="6" t="s">
        <v>862</v>
      </c>
      <c r="O507" s="6" t="s">
        <v>21</v>
      </c>
      <c r="P507" s="6" t="s">
        <v>21</v>
      </c>
      <c r="Q507" s="6" t="s">
        <v>22</v>
      </c>
      <c r="R507" s="8" t="s">
        <v>1808</v>
      </c>
      <c r="S507" s="6"/>
    </row>
    <row r="508" spans="1:19" ht="25.5" x14ac:dyDescent="0.25">
      <c r="A508" s="5" t="s">
        <v>3327</v>
      </c>
      <c r="B508" s="5">
        <v>507</v>
      </c>
      <c r="C508" s="6" t="s">
        <v>1910</v>
      </c>
      <c r="D508" s="6" t="s">
        <v>859</v>
      </c>
      <c r="E508" s="6">
        <v>2833</v>
      </c>
      <c r="F508" s="6" t="s">
        <v>952</v>
      </c>
      <c r="G508" s="6">
        <v>304</v>
      </c>
      <c r="H508" s="6" t="s">
        <v>873</v>
      </c>
      <c r="I508" s="6" t="s">
        <v>953</v>
      </c>
      <c r="J508" s="6" t="s">
        <v>865</v>
      </c>
      <c r="K508" s="6" t="s">
        <v>18</v>
      </c>
      <c r="L508" s="6">
        <v>34526280</v>
      </c>
      <c r="M508" s="6" t="s">
        <v>186</v>
      </c>
      <c r="N508" s="6" t="s">
        <v>862</v>
      </c>
      <c r="O508" s="6" t="s">
        <v>21</v>
      </c>
      <c r="P508" s="7">
        <v>27607</v>
      </c>
      <c r="Q508" s="6" t="s">
        <v>22</v>
      </c>
      <c r="R508" s="8" t="s">
        <v>1808</v>
      </c>
      <c r="S508" s="6"/>
    </row>
    <row r="509" spans="1:19" ht="25.5" x14ac:dyDescent="0.25">
      <c r="A509" s="5" t="s">
        <v>3327</v>
      </c>
      <c r="B509" s="5">
        <v>508</v>
      </c>
      <c r="C509" s="6" t="s">
        <v>2511</v>
      </c>
      <c r="D509" s="6" t="s">
        <v>859</v>
      </c>
      <c r="E509" s="6">
        <v>2841</v>
      </c>
      <c r="F509" s="6" t="s">
        <v>875</v>
      </c>
      <c r="G509" s="6">
        <v>416</v>
      </c>
      <c r="H509" s="6" t="s">
        <v>580</v>
      </c>
      <c r="I509" s="6" t="s">
        <v>958</v>
      </c>
      <c r="J509" s="6" t="s">
        <v>959</v>
      </c>
      <c r="K509" s="6" t="s">
        <v>18</v>
      </c>
      <c r="L509" s="6">
        <v>34530075</v>
      </c>
      <c r="M509" s="6" t="s">
        <v>186</v>
      </c>
      <c r="N509" s="6" t="s">
        <v>862</v>
      </c>
      <c r="O509" s="6">
        <v>10</v>
      </c>
      <c r="P509" s="7">
        <v>25760</v>
      </c>
      <c r="Q509" s="6" t="s">
        <v>22</v>
      </c>
      <c r="R509" s="8" t="s">
        <v>1808</v>
      </c>
      <c r="S509" s="6"/>
    </row>
    <row r="510" spans="1:19" ht="25.5" x14ac:dyDescent="0.25">
      <c r="A510" s="5" t="s">
        <v>3327</v>
      </c>
      <c r="B510" s="5">
        <v>509</v>
      </c>
      <c r="C510" s="6" t="s">
        <v>2502</v>
      </c>
      <c r="D510" s="6" t="s">
        <v>859</v>
      </c>
      <c r="E510" s="6">
        <v>2822</v>
      </c>
      <c r="F510" s="6" t="s">
        <v>869</v>
      </c>
      <c r="G510" s="6">
        <v>184</v>
      </c>
      <c r="H510" s="6" t="s">
        <v>70</v>
      </c>
      <c r="I510" s="6" t="s">
        <v>929</v>
      </c>
      <c r="J510" s="6" t="s">
        <v>930</v>
      </c>
      <c r="K510" s="6" t="s">
        <v>18</v>
      </c>
      <c r="L510" s="6">
        <v>34525882</v>
      </c>
      <c r="M510" s="6" t="s">
        <v>186</v>
      </c>
      <c r="N510" s="6" t="s">
        <v>862</v>
      </c>
      <c r="O510" s="6" t="s">
        <v>21</v>
      </c>
      <c r="P510" s="6" t="s">
        <v>21</v>
      </c>
      <c r="Q510" s="6" t="s">
        <v>22</v>
      </c>
      <c r="R510" s="8" t="s">
        <v>1808</v>
      </c>
      <c r="S510" s="6"/>
    </row>
    <row r="511" spans="1:19" ht="25.5" x14ac:dyDescent="0.25">
      <c r="A511" s="5" t="s">
        <v>3327</v>
      </c>
      <c r="B511" s="5">
        <v>510</v>
      </c>
      <c r="C511" s="6" t="s">
        <v>2510</v>
      </c>
      <c r="D511" s="6" t="s">
        <v>859</v>
      </c>
      <c r="E511" s="6">
        <v>2833</v>
      </c>
      <c r="F511" s="6" t="s">
        <v>952</v>
      </c>
      <c r="G511" s="6">
        <v>304</v>
      </c>
      <c r="H511" s="6" t="s">
        <v>873</v>
      </c>
      <c r="I511" s="6" t="s">
        <v>955</v>
      </c>
      <c r="J511" s="6" t="s">
        <v>956</v>
      </c>
      <c r="K511" s="6" t="s">
        <v>18</v>
      </c>
      <c r="L511" s="6">
        <v>10535502</v>
      </c>
      <c r="M511" s="6" t="s">
        <v>3322</v>
      </c>
      <c r="N511" s="6" t="s">
        <v>862</v>
      </c>
      <c r="O511" s="6">
        <v>11</v>
      </c>
      <c r="P511" s="7">
        <v>29777</v>
      </c>
      <c r="Q511" s="6" t="s">
        <v>22</v>
      </c>
      <c r="R511" s="8" t="s">
        <v>1808</v>
      </c>
      <c r="S511" s="6" t="s">
        <v>3856</v>
      </c>
    </row>
    <row r="512" spans="1:19" ht="25.5" x14ac:dyDescent="0.25">
      <c r="A512" s="5" t="s">
        <v>3327</v>
      </c>
      <c r="B512" s="5">
        <v>511</v>
      </c>
      <c r="C512" s="6" t="s">
        <v>2505</v>
      </c>
      <c r="D512" s="6" t="s">
        <v>859</v>
      </c>
      <c r="E512" s="6">
        <v>2871</v>
      </c>
      <c r="F512" s="6" t="s">
        <v>884</v>
      </c>
      <c r="G512" s="6">
        <v>868</v>
      </c>
      <c r="H512" s="6" t="s">
        <v>346</v>
      </c>
      <c r="I512" s="6" t="s">
        <v>935</v>
      </c>
      <c r="J512" s="6" t="s">
        <v>936</v>
      </c>
      <c r="K512" s="6" t="s">
        <v>18</v>
      </c>
      <c r="L512" s="6">
        <v>34531302</v>
      </c>
      <c r="M512" s="6" t="s">
        <v>186</v>
      </c>
      <c r="N512" s="6" t="s">
        <v>862</v>
      </c>
      <c r="O512" s="6">
        <v>9</v>
      </c>
      <c r="P512" s="7">
        <v>29017</v>
      </c>
      <c r="Q512" s="6" t="s">
        <v>22</v>
      </c>
      <c r="R512" s="8" t="s">
        <v>1808</v>
      </c>
      <c r="S512" s="6"/>
    </row>
    <row r="513" spans="1:19" ht="25.5" x14ac:dyDescent="0.25">
      <c r="A513" s="5" t="s">
        <v>3327</v>
      </c>
      <c r="B513" s="5">
        <v>512</v>
      </c>
      <c r="C513" s="6" t="s">
        <v>2655</v>
      </c>
      <c r="D513" s="6" t="s">
        <v>1056</v>
      </c>
      <c r="E513" s="6">
        <v>47</v>
      </c>
      <c r="F513" s="6" t="s">
        <v>1088</v>
      </c>
      <c r="G513" s="6">
        <v>893</v>
      </c>
      <c r="H513" s="6" t="s">
        <v>787</v>
      </c>
      <c r="I513" s="6" t="s">
        <v>1129</v>
      </c>
      <c r="J513" s="6" t="s">
        <v>1130</v>
      </c>
      <c r="K513" s="6" t="s">
        <v>18</v>
      </c>
      <c r="L513" s="6">
        <v>79107526</v>
      </c>
      <c r="M513" s="6" t="s">
        <v>1126</v>
      </c>
      <c r="N513" s="6" t="s">
        <v>1127</v>
      </c>
      <c r="O513" s="6">
        <v>3639</v>
      </c>
      <c r="P513" s="7">
        <v>35313</v>
      </c>
      <c r="Q513" s="6" t="s">
        <v>22</v>
      </c>
      <c r="R513" s="8" t="s">
        <v>1808</v>
      </c>
      <c r="S513" s="6"/>
    </row>
    <row r="514" spans="1:19" ht="25.5" x14ac:dyDescent="0.25">
      <c r="A514" s="5" t="s">
        <v>3327</v>
      </c>
      <c r="B514" s="5">
        <v>513</v>
      </c>
      <c r="C514" s="6" t="s">
        <v>2093</v>
      </c>
      <c r="D514" s="6" t="s">
        <v>1247</v>
      </c>
      <c r="E514" s="6">
        <v>2</v>
      </c>
      <c r="F514" s="6" t="s">
        <v>1383</v>
      </c>
      <c r="G514" s="6">
        <v>3359</v>
      </c>
      <c r="H514" s="6" t="s">
        <v>1384</v>
      </c>
      <c r="I514" s="6" t="s">
        <v>1385</v>
      </c>
      <c r="J514" s="6" t="s">
        <v>1386</v>
      </c>
      <c r="K514" s="6" t="s">
        <v>18</v>
      </c>
      <c r="L514" s="6">
        <v>98431167</v>
      </c>
      <c r="M514" s="6" t="s">
        <v>401</v>
      </c>
      <c r="N514" s="6" t="s">
        <v>3857</v>
      </c>
      <c r="O514" s="6">
        <v>2</v>
      </c>
      <c r="P514" s="6" t="s">
        <v>1387</v>
      </c>
      <c r="Q514" s="6" t="s">
        <v>22</v>
      </c>
      <c r="R514" s="8" t="s">
        <v>1808</v>
      </c>
      <c r="S514" s="6"/>
    </row>
    <row r="515" spans="1:19" ht="25.5" x14ac:dyDescent="0.25">
      <c r="A515" s="5" t="s">
        <v>3327</v>
      </c>
      <c r="B515" s="5">
        <v>514</v>
      </c>
      <c r="C515" s="6" t="s">
        <v>2082</v>
      </c>
      <c r="D515" s="6" t="s">
        <v>1247</v>
      </c>
      <c r="E515" s="6">
        <v>4</v>
      </c>
      <c r="F515" s="6" t="s">
        <v>1388</v>
      </c>
      <c r="G515" s="6">
        <v>3405</v>
      </c>
      <c r="H515" s="6" t="s">
        <v>1389</v>
      </c>
      <c r="I515" s="6" t="s">
        <v>1390</v>
      </c>
      <c r="J515" s="6" t="s">
        <v>1391</v>
      </c>
      <c r="K515" s="6" t="s">
        <v>18</v>
      </c>
      <c r="L515" s="6">
        <v>87551617</v>
      </c>
      <c r="M515" s="6" t="s">
        <v>401</v>
      </c>
      <c r="N515" s="6" t="s">
        <v>3857</v>
      </c>
      <c r="O515" s="6">
        <v>2</v>
      </c>
      <c r="P515" s="6" t="s">
        <v>1387</v>
      </c>
      <c r="Q515" s="6" t="s">
        <v>22</v>
      </c>
      <c r="R515" s="8" t="s">
        <v>1808</v>
      </c>
      <c r="S515" s="6"/>
    </row>
    <row r="516" spans="1:19" ht="25.5" x14ac:dyDescent="0.25">
      <c r="A516" s="5" t="s">
        <v>3327</v>
      </c>
      <c r="B516" s="5">
        <v>515</v>
      </c>
      <c r="C516" s="6" t="s">
        <v>1916</v>
      </c>
      <c r="D516" s="6" t="s">
        <v>1247</v>
      </c>
      <c r="E516" s="6">
        <v>9</v>
      </c>
      <c r="F516" s="6" t="s">
        <v>1392</v>
      </c>
      <c r="G516" s="6">
        <v>3511</v>
      </c>
      <c r="H516" s="6" t="s">
        <v>1022</v>
      </c>
      <c r="I516" s="6" t="s">
        <v>1393</v>
      </c>
      <c r="J516" s="6" t="s">
        <v>1394</v>
      </c>
      <c r="K516" s="6" t="s">
        <v>18</v>
      </c>
      <c r="L516" s="6">
        <v>36755961</v>
      </c>
      <c r="M516" s="6" t="s">
        <v>401</v>
      </c>
      <c r="N516" s="6" t="s">
        <v>3857</v>
      </c>
      <c r="O516" s="6">
        <v>2</v>
      </c>
      <c r="P516" s="6" t="s">
        <v>1395</v>
      </c>
      <c r="Q516" s="6" t="s">
        <v>22</v>
      </c>
      <c r="R516" s="8" t="s">
        <v>1808</v>
      </c>
      <c r="S516" s="6"/>
    </row>
    <row r="517" spans="1:19" ht="25.5" x14ac:dyDescent="0.25">
      <c r="A517" s="5" t="s">
        <v>3327</v>
      </c>
      <c r="B517" s="5">
        <v>516</v>
      </c>
      <c r="C517" s="6" t="s">
        <v>2083</v>
      </c>
      <c r="D517" s="6" t="s">
        <v>1247</v>
      </c>
      <c r="E517" s="6">
        <v>14</v>
      </c>
      <c r="F517" s="6" t="s">
        <v>1396</v>
      </c>
      <c r="G517" s="6">
        <v>3700</v>
      </c>
      <c r="H517" s="6" t="s">
        <v>1029</v>
      </c>
      <c r="I517" s="6" t="s">
        <v>1397</v>
      </c>
      <c r="J517" s="6" t="s">
        <v>1398</v>
      </c>
      <c r="K517" s="6" t="s">
        <v>18</v>
      </c>
      <c r="L517" s="6">
        <v>87713315</v>
      </c>
      <c r="M517" s="6" t="s">
        <v>50</v>
      </c>
      <c r="N517" s="6" t="s">
        <v>3857</v>
      </c>
      <c r="O517" s="6">
        <v>2</v>
      </c>
      <c r="P517" s="6" t="s">
        <v>1333</v>
      </c>
      <c r="Q517" s="6" t="s">
        <v>22</v>
      </c>
      <c r="R517" s="8" t="s">
        <v>1808</v>
      </c>
      <c r="S517" s="6" t="s">
        <v>3858</v>
      </c>
    </row>
    <row r="518" spans="1:19" ht="25.5" x14ac:dyDescent="0.25">
      <c r="A518" s="5" t="s">
        <v>3327</v>
      </c>
      <c r="B518" s="5">
        <v>517</v>
      </c>
      <c r="C518" s="6" t="s">
        <v>2032</v>
      </c>
      <c r="D518" s="6" t="s">
        <v>1247</v>
      </c>
      <c r="E518" s="6">
        <v>14</v>
      </c>
      <c r="F518" s="6" t="s">
        <v>1396</v>
      </c>
      <c r="G518" s="6">
        <v>3700</v>
      </c>
      <c r="H518" s="6" t="s">
        <v>1029</v>
      </c>
      <c r="I518" s="6" t="s">
        <v>1399</v>
      </c>
      <c r="J518" s="6" t="s">
        <v>1400</v>
      </c>
      <c r="K518" s="6" t="s">
        <v>18</v>
      </c>
      <c r="L518" s="6">
        <v>59690149</v>
      </c>
      <c r="M518" s="6" t="s">
        <v>237</v>
      </c>
      <c r="N518" s="6" t="s">
        <v>3857</v>
      </c>
      <c r="O518" s="6">
        <v>4</v>
      </c>
      <c r="P518" s="6" t="s">
        <v>1401</v>
      </c>
      <c r="Q518" s="6" t="s">
        <v>22</v>
      </c>
      <c r="R518" s="8" t="s">
        <v>1808</v>
      </c>
      <c r="S518" s="6" t="s">
        <v>3858</v>
      </c>
    </row>
    <row r="519" spans="1:19" ht="25.5" x14ac:dyDescent="0.25">
      <c r="A519" s="5" t="s">
        <v>3327</v>
      </c>
      <c r="B519" s="5">
        <v>518</v>
      </c>
      <c r="C519" s="6" t="s">
        <v>2087</v>
      </c>
      <c r="D519" s="6" t="s">
        <v>1247</v>
      </c>
      <c r="E519" s="6">
        <v>2</v>
      </c>
      <c r="F519" s="6" t="s">
        <v>1402</v>
      </c>
      <c r="G519" s="6">
        <v>80</v>
      </c>
      <c r="H519" s="6" t="s">
        <v>1403</v>
      </c>
      <c r="I519" s="6" t="s">
        <v>1404</v>
      </c>
      <c r="J519" s="6" t="s">
        <v>1405</v>
      </c>
      <c r="K519" s="6" t="s">
        <v>18</v>
      </c>
      <c r="L519" s="6">
        <v>98074041</v>
      </c>
      <c r="M519" s="6" t="s">
        <v>50</v>
      </c>
      <c r="N519" s="6" t="s">
        <v>3857</v>
      </c>
      <c r="O519" s="6">
        <v>5</v>
      </c>
      <c r="P519" s="6" t="s">
        <v>1406</v>
      </c>
      <c r="Q519" s="6" t="s">
        <v>22</v>
      </c>
      <c r="R519" s="8" t="s">
        <v>1808</v>
      </c>
      <c r="S519" s="6"/>
    </row>
    <row r="520" spans="1:19" ht="25.5" x14ac:dyDescent="0.25">
      <c r="A520" s="5" t="s">
        <v>3327</v>
      </c>
      <c r="B520" s="5">
        <v>519</v>
      </c>
      <c r="C520" s="6" t="s">
        <v>2079</v>
      </c>
      <c r="D520" s="6" t="s">
        <v>1247</v>
      </c>
      <c r="E520" s="6">
        <v>15</v>
      </c>
      <c r="F520" s="6" t="s">
        <v>795</v>
      </c>
      <c r="G520" s="6">
        <v>321</v>
      </c>
      <c r="H520" s="6" t="s">
        <v>492</v>
      </c>
      <c r="I520" s="6" t="s">
        <v>1407</v>
      </c>
      <c r="J520" s="6" t="s">
        <v>1408</v>
      </c>
      <c r="K520" s="6" t="s">
        <v>18</v>
      </c>
      <c r="L520" s="6">
        <v>87063438</v>
      </c>
      <c r="M520" s="6" t="s">
        <v>401</v>
      </c>
      <c r="N520" s="6" t="s">
        <v>3857</v>
      </c>
      <c r="O520" s="6">
        <v>3</v>
      </c>
      <c r="P520" s="6" t="s">
        <v>910</v>
      </c>
      <c r="Q520" s="6" t="s">
        <v>22</v>
      </c>
      <c r="R520" s="8" t="s">
        <v>1808</v>
      </c>
      <c r="S520" s="6" t="s">
        <v>3859</v>
      </c>
    </row>
    <row r="521" spans="1:19" ht="25.5" x14ac:dyDescent="0.25">
      <c r="A521" s="5" t="s">
        <v>3327</v>
      </c>
      <c r="B521" s="5">
        <v>520</v>
      </c>
      <c r="C521" s="6" t="s">
        <v>1843</v>
      </c>
      <c r="D521" s="6" t="s">
        <v>1247</v>
      </c>
      <c r="E521" s="6">
        <v>20</v>
      </c>
      <c r="F521" s="6" t="s">
        <v>1409</v>
      </c>
      <c r="G521" s="6">
        <v>430</v>
      </c>
      <c r="H521" s="6" t="s">
        <v>1245</v>
      </c>
      <c r="I521" s="6" t="s">
        <v>1410</v>
      </c>
      <c r="J521" s="6" t="s">
        <v>1411</v>
      </c>
      <c r="K521" s="6" t="s">
        <v>18</v>
      </c>
      <c r="L521" s="6">
        <v>13067530</v>
      </c>
      <c r="M521" s="6" t="s">
        <v>401</v>
      </c>
      <c r="N521" s="6" t="s">
        <v>3857</v>
      </c>
      <c r="O521" s="6">
        <v>3</v>
      </c>
      <c r="P521" s="6" t="s">
        <v>910</v>
      </c>
      <c r="Q521" s="6" t="s">
        <v>22</v>
      </c>
      <c r="R521" s="8" t="s">
        <v>1808</v>
      </c>
      <c r="S521" s="6" t="s">
        <v>3859</v>
      </c>
    </row>
    <row r="522" spans="1:19" ht="25.5" x14ac:dyDescent="0.25">
      <c r="A522" s="5" t="s">
        <v>3327</v>
      </c>
      <c r="B522" s="5">
        <v>521</v>
      </c>
      <c r="C522" s="6" t="s">
        <v>1918</v>
      </c>
      <c r="D522" s="6" t="s">
        <v>1247</v>
      </c>
      <c r="E522" s="6">
        <v>6</v>
      </c>
      <c r="F522" s="6" t="s">
        <v>1750</v>
      </c>
      <c r="G522" s="6">
        <v>115</v>
      </c>
      <c r="H522" s="6" t="s">
        <v>1751</v>
      </c>
      <c r="I522" s="6" t="s">
        <v>3305</v>
      </c>
      <c r="J522" s="6" t="s">
        <v>3306</v>
      </c>
      <c r="K522" s="6" t="s">
        <v>18</v>
      </c>
      <c r="L522" s="6">
        <v>37081785</v>
      </c>
      <c r="M522" s="6" t="s">
        <v>3323</v>
      </c>
      <c r="N522" s="6" t="s">
        <v>3857</v>
      </c>
      <c r="O522" s="6">
        <v>4</v>
      </c>
      <c r="P522" s="6" t="s">
        <v>1401</v>
      </c>
      <c r="Q522" s="6" t="s">
        <v>22</v>
      </c>
      <c r="R522" s="8" t="s">
        <v>1808</v>
      </c>
      <c r="S522" s="6"/>
    </row>
    <row r="523" spans="1:19" ht="25.5" x14ac:dyDescent="0.25">
      <c r="A523" s="5" t="s">
        <v>3327</v>
      </c>
      <c r="B523" s="5">
        <v>522</v>
      </c>
      <c r="C523" s="6" t="s">
        <v>2832</v>
      </c>
      <c r="D523" s="6" t="s">
        <v>1247</v>
      </c>
      <c r="E523" s="6">
        <v>11</v>
      </c>
      <c r="F523" s="6" t="s">
        <v>1436</v>
      </c>
      <c r="G523" s="6">
        <v>186</v>
      </c>
      <c r="H523" s="6" t="s">
        <v>1437</v>
      </c>
      <c r="I523" s="6" t="s">
        <v>1438</v>
      </c>
      <c r="J523" s="6" t="s">
        <v>1439</v>
      </c>
      <c r="K523" s="6" t="s">
        <v>18</v>
      </c>
      <c r="L523" s="6">
        <v>98135545</v>
      </c>
      <c r="M523" s="6" t="s">
        <v>50</v>
      </c>
      <c r="N523" s="6" t="s">
        <v>3857</v>
      </c>
      <c r="O523" s="6">
        <v>1</v>
      </c>
      <c r="P523" s="6" t="s">
        <v>1377</v>
      </c>
      <c r="Q523" s="6" t="s">
        <v>22</v>
      </c>
      <c r="R523" s="8" t="s">
        <v>1808</v>
      </c>
      <c r="S523" s="6"/>
    </row>
    <row r="524" spans="1:19" ht="25.5" x14ac:dyDescent="0.25">
      <c r="A524" s="5" t="s">
        <v>3327</v>
      </c>
      <c r="B524" s="5">
        <v>523</v>
      </c>
      <c r="C524" s="6" t="s">
        <v>2091</v>
      </c>
      <c r="D524" s="6" t="s">
        <v>1247</v>
      </c>
      <c r="E524" s="6">
        <v>25</v>
      </c>
      <c r="F524" s="6" t="s">
        <v>1412</v>
      </c>
      <c r="G524" s="6">
        <v>391</v>
      </c>
      <c r="H524" s="6" t="s">
        <v>1413</v>
      </c>
      <c r="I524" s="6" t="s">
        <v>1414</v>
      </c>
      <c r="J524" s="6" t="s">
        <v>1415</v>
      </c>
      <c r="K524" s="6" t="s">
        <v>18</v>
      </c>
      <c r="L524" s="6">
        <v>98394123</v>
      </c>
      <c r="M524" s="6" t="s">
        <v>401</v>
      </c>
      <c r="N524" s="6" t="s">
        <v>3857</v>
      </c>
      <c r="O524" s="6">
        <v>3</v>
      </c>
      <c r="P524" s="6" t="s">
        <v>1416</v>
      </c>
      <c r="Q524" s="6" t="s">
        <v>22</v>
      </c>
      <c r="R524" s="8" t="s">
        <v>1808</v>
      </c>
      <c r="S524" s="6"/>
    </row>
    <row r="525" spans="1:19" ht="25.5" x14ac:dyDescent="0.25">
      <c r="A525" s="5" t="s">
        <v>3327</v>
      </c>
      <c r="B525" s="5">
        <v>524</v>
      </c>
      <c r="C525" s="6" t="s">
        <v>2080</v>
      </c>
      <c r="D525" s="6" t="s">
        <v>1247</v>
      </c>
      <c r="E525" s="6">
        <v>6</v>
      </c>
      <c r="F525" s="6" t="s">
        <v>1326</v>
      </c>
      <c r="G525" s="6">
        <v>74</v>
      </c>
      <c r="H525" s="6" t="s">
        <v>1043</v>
      </c>
      <c r="I525" s="6" t="s">
        <v>1417</v>
      </c>
      <c r="J525" s="6" t="s">
        <v>1418</v>
      </c>
      <c r="K525" s="6" t="s">
        <v>18</v>
      </c>
      <c r="L525" s="6">
        <v>87216332</v>
      </c>
      <c r="M525" s="6" t="s">
        <v>401</v>
      </c>
      <c r="N525" s="6" t="s">
        <v>3857</v>
      </c>
      <c r="O525" s="6">
        <v>3</v>
      </c>
      <c r="P525" s="6" t="s">
        <v>910</v>
      </c>
      <c r="Q525" s="6" t="s">
        <v>22</v>
      </c>
      <c r="R525" s="8" t="s">
        <v>1808</v>
      </c>
      <c r="S525" s="6" t="s">
        <v>3859</v>
      </c>
    </row>
    <row r="526" spans="1:19" ht="25.5" x14ac:dyDescent="0.25">
      <c r="A526" s="5" t="s">
        <v>3327</v>
      </c>
      <c r="B526" s="5">
        <v>525</v>
      </c>
      <c r="C526" s="6" t="s">
        <v>1842</v>
      </c>
      <c r="D526" s="6" t="s">
        <v>1247</v>
      </c>
      <c r="E526" s="6">
        <v>6</v>
      </c>
      <c r="F526" s="6" t="s">
        <v>1326</v>
      </c>
      <c r="G526" s="6">
        <v>74</v>
      </c>
      <c r="H526" s="6" t="s">
        <v>1043</v>
      </c>
      <c r="I526" s="6" t="s">
        <v>1327</v>
      </c>
      <c r="J526" s="6" t="s">
        <v>1328</v>
      </c>
      <c r="K526" s="6" t="s">
        <v>18</v>
      </c>
      <c r="L526" s="6">
        <v>13064955</v>
      </c>
      <c r="M526" s="6" t="s">
        <v>50</v>
      </c>
      <c r="N526" s="6" t="s">
        <v>1267</v>
      </c>
      <c r="O526" s="6">
        <v>4</v>
      </c>
      <c r="P526" s="6" t="s">
        <v>1329</v>
      </c>
      <c r="Q526" s="6" t="s">
        <v>22</v>
      </c>
      <c r="R526" s="8" t="s">
        <v>1808</v>
      </c>
      <c r="S526" s="6" t="s">
        <v>3858</v>
      </c>
    </row>
    <row r="527" spans="1:19" ht="25.5" x14ac:dyDescent="0.25">
      <c r="A527" s="5" t="s">
        <v>3327</v>
      </c>
      <c r="B527" s="5">
        <v>526</v>
      </c>
      <c r="C527" s="6" t="s">
        <v>1821</v>
      </c>
      <c r="D527" s="6" t="s">
        <v>1247</v>
      </c>
      <c r="E527" s="6">
        <v>9</v>
      </c>
      <c r="F527" s="6" t="s">
        <v>1330</v>
      </c>
      <c r="G527" s="6">
        <v>119</v>
      </c>
      <c r="H527" s="6" t="s">
        <v>813</v>
      </c>
      <c r="I527" s="6" t="s">
        <v>1331</v>
      </c>
      <c r="J527" s="6" t="s">
        <v>1332</v>
      </c>
      <c r="K527" s="6" t="s">
        <v>18</v>
      </c>
      <c r="L527" s="6">
        <v>9657184</v>
      </c>
      <c r="M527" s="6" t="s">
        <v>50</v>
      </c>
      <c r="N527" s="6" t="s">
        <v>1267</v>
      </c>
      <c r="O527" s="6">
        <v>2</v>
      </c>
      <c r="P527" s="6" t="s">
        <v>1333</v>
      </c>
      <c r="Q527" s="6" t="s">
        <v>22</v>
      </c>
      <c r="R527" s="8" t="s">
        <v>1808</v>
      </c>
      <c r="S527" s="6" t="s">
        <v>3858</v>
      </c>
    </row>
    <row r="528" spans="1:19" ht="25.5" x14ac:dyDescent="0.25">
      <c r="A528" s="5" t="s">
        <v>3327</v>
      </c>
      <c r="B528" s="5">
        <v>527</v>
      </c>
      <c r="C528" s="6" t="s">
        <v>2090</v>
      </c>
      <c r="D528" s="6" t="s">
        <v>1247</v>
      </c>
      <c r="E528" s="6">
        <v>23</v>
      </c>
      <c r="F528" s="6" t="s">
        <v>1440</v>
      </c>
      <c r="G528" s="6">
        <v>389</v>
      </c>
      <c r="H528" s="6" t="s">
        <v>1441</v>
      </c>
      <c r="I528" s="6" t="s">
        <v>1442</v>
      </c>
      <c r="J528" s="6" t="s">
        <v>1443</v>
      </c>
      <c r="K528" s="6" t="s">
        <v>18</v>
      </c>
      <c r="L528" s="6">
        <v>98393731</v>
      </c>
      <c r="M528" s="6" t="s">
        <v>50</v>
      </c>
      <c r="N528" s="6" t="s">
        <v>1267</v>
      </c>
      <c r="O528" s="6">
        <v>4</v>
      </c>
      <c r="P528" s="6" t="s">
        <v>1444</v>
      </c>
      <c r="Q528" s="6" t="s">
        <v>22</v>
      </c>
      <c r="R528" s="8" t="s">
        <v>1808</v>
      </c>
      <c r="S528" s="6"/>
    </row>
    <row r="529" spans="1:19" ht="25.5" x14ac:dyDescent="0.25">
      <c r="A529" s="5" t="s">
        <v>3327</v>
      </c>
      <c r="B529" s="5">
        <v>528</v>
      </c>
      <c r="C529" s="6" t="s">
        <v>2078</v>
      </c>
      <c r="D529" s="6" t="s">
        <v>1247</v>
      </c>
      <c r="E529" s="6">
        <v>3</v>
      </c>
      <c r="F529" s="6" t="s">
        <v>1419</v>
      </c>
      <c r="G529" s="6">
        <v>37</v>
      </c>
      <c r="H529" s="6" t="s">
        <v>1420</v>
      </c>
      <c r="I529" s="6" t="s">
        <v>1421</v>
      </c>
      <c r="J529" s="6" t="s">
        <v>1422</v>
      </c>
      <c r="K529" s="6" t="s">
        <v>18</v>
      </c>
      <c r="L529" s="6">
        <v>87062989</v>
      </c>
      <c r="M529" s="6" t="s">
        <v>401</v>
      </c>
      <c r="N529" s="6" t="s">
        <v>1251</v>
      </c>
      <c r="O529" s="6">
        <v>3</v>
      </c>
      <c r="P529" s="6" t="s">
        <v>910</v>
      </c>
      <c r="Q529" s="6" t="s">
        <v>22</v>
      </c>
      <c r="R529" s="8" t="s">
        <v>1808</v>
      </c>
      <c r="S529" s="6"/>
    </row>
    <row r="530" spans="1:19" ht="25.5" x14ac:dyDescent="0.25">
      <c r="A530" s="5" t="s">
        <v>3327</v>
      </c>
      <c r="B530" s="5">
        <v>529</v>
      </c>
      <c r="C530" s="6" t="s">
        <v>1828</v>
      </c>
      <c r="D530" s="6" t="s">
        <v>1247</v>
      </c>
      <c r="E530" s="6">
        <v>5</v>
      </c>
      <c r="F530" s="6" t="s">
        <v>1423</v>
      </c>
      <c r="G530" s="6">
        <v>69</v>
      </c>
      <c r="H530" s="6" t="s">
        <v>1050</v>
      </c>
      <c r="I530" s="6" t="s">
        <v>1424</v>
      </c>
      <c r="J530" s="6" t="s">
        <v>1425</v>
      </c>
      <c r="K530" s="6" t="s">
        <v>18</v>
      </c>
      <c r="L530" s="6">
        <v>12750419</v>
      </c>
      <c r="M530" s="6" t="s">
        <v>401</v>
      </c>
      <c r="N530" s="6" t="s">
        <v>1251</v>
      </c>
      <c r="O530" s="6">
        <v>3</v>
      </c>
      <c r="P530" s="6" t="s">
        <v>910</v>
      </c>
      <c r="Q530" s="6" t="s">
        <v>22</v>
      </c>
      <c r="R530" s="8" t="s">
        <v>1808</v>
      </c>
      <c r="S530" s="6" t="s">
        <v>3858</v>
      </c>
    </row>
    <row r="531" spans="1:19" ht="25.5" x14ac:dyDescent="0.25">
      <c r="A531" s="5" t="s">
        <v>3327</v>
      </c>
      <c r="B531" s="5">
        <v>530</v>
      </c>
      <c r="C531" s="6" t="s">
        <v>1868</v>
      </c>
      <c r="D531" s="6" t="s">
        <v>1247</v>
      </c>
      <c r="E531" s="6">
        <v>24</v>
      </c>
      <c r="F531" s="6" t="s">
        <v>1334</v>
      </c>
      <c r="G531" s="6">
        <v>560</v>
      </c>
      <c r="H531" s="6" t="s">
        <v>1335</v>
      </c>
      <c r="I531" s="6" t="s">
        <v>1336</v>
      </c>
      <c r="J531" s="6" t="s">
        <v>35</v>
      </c>
      <c r="K531" s="6" t="s">
        <v>18</v>
      </c>
      <c r="L531" s="6">
        <v>30713536</v>
      </c>
      <c r="M531" s="6" t="s">
        <v>50</v>
      </c>
      <c r="N531" s="6" t="s">
        <v>1267</v>
      </c>
      <c r="O531" s="6">
        <v>3</v>
      </c>
      <c r="P531" s="6" t="s">
        <v>1337</v>
      </c>
      <c r="Q531" s="6" t="s">
        <v>22</v>
      </c>
      <c r="R531" s="8" t="s">
        <v>1808</v>
      </c>
      <c r="S531" s="6" t="s">
        <v>3860</v>
      </c>
    </row>
    <row r="532" spans="1:19" ht="25.5" x14ac:dyDescent="0.25">
      <c r="A532" s="5" t="s">
        <v>3327</v>
      </c>
      <c r="B532" s="5">
        <v>531</v>
      </c>
      <c r="C532" s="6" t="s">
        <v>2081</v>
      </c>
      <c r="D532" s="6" t="s">
        <v>1247</v>
      </c>
      <c r="E532" s="6">
        <v>2</v>
      </c>
      <c r="F532" s="6" t="s">
        <v>1338</v>
      </c>
      <c r="G532" s="6">
        <v>152</v>
      </c>
      <c r="H532" s="6" t="s">
        <v>426</v>
      </c>
      <c r="I532" s="6" t="s">
        <v>1339</v>
      </c>
      <c r="J532" s="6" t="s">
        <v>291</v>
      </c>
      <c r="K532" s="6" t="s">
        <v>18</v>
      </c>
      <c r="L532" s="6">
        <v>87453723</v>
      </c>
      <c r="M532" s="6" t="s">
        <v>50</v>
      </c>
      <c r="N532" s="6" t="s">
        <v>1267</v>
      </c>
      <c r="O532" s="6">
        <v>4</v>
      </c>
      <c r="P532" s="6" t="s">
        <v>383</v>
      </c>
      <c r="Q532" s="6" t="s">
        <v>22</v>
      </c>
      <c r="R532" s="8" t="s">
        <v>1808</v>
      </c>
      <c r="S532" s="6" t="s">
        <v>3858</v>
      </c>
    </row>
    <row r="533" spans="1:19" ht="25.5" x14ac:dyDescent="0.25">
      <c r="A533" s="5" t="s">
        <v>3327</v>
      </c>
      <c r="B533" s="5">
        <v>532</v>
      </c>
      <c r="C533" s="6" t="s">
        <v>2089</v>
      </c>
      <c r="D533" s="6" t="s">
        <v>1247</v>
      </c>
      <c r="E533" s="6">
        <v>2</v>
      </c>
      <c r="F533" s="6" t="s">
        <v>1338</v>
      </c>
      <c r="G533" s="6">
        <v>152</v>
      </c>
      <c r="H533" s="6" t="s">
        <v>426</v>
      </c>
      <c r="I533" s="6" t="s">
        <v>1424</v>
      </c>
      <c r="J533" s="6" t="s">
        <v>1426</v>
      </c>
      <c r="K533" s="6" t="s">
        <v>18</v>
      </c>
      <c r="L533" s="6">
        <v>98392313</v>
      </c>
      <c r="M533" s="6" t="s">
        <v>401</v>
      </c>
      <c r="N533" s="6" t="s">
        <v>1267</v>
      </c>
      <c r="O533" s="6">
        <v>3</v>
      </c>
      <c r="P533" s="6" t="s">
        <v>1416</v>
      </c>
      <c r="Q533" s="6" t="s">
        <v>22</v>
      </c>
      <c r="R533" s="8" t="s">
        <v>1808</v>
      </c>
      <c r="S533" s="6"/>
    </row>
    <row r="534" spans="1:19" ht="25.5" x14ac:dyDescent="0.25">
      <c r="A534" s="5" t="s">
        <v>3327</v>
      </c>
      <c r="B534" s="5">
        <v>533</v>
      </c>
      <c r="C534" s="6" t="s">
        <v>2036</v>
      </c>
      <c r="D534" s="6" t="s">
        <v>1247</v>
      </c>
      <c r="E534" s="6">
        <v>13</v>
      </c>
      <c r="F534" s="6" t="s">
        <v>1340</v>
      </c>
      <c r="G534" s="6">
        <v>490</v>
      </c>
      <c r="H534" s="6" t="s">
        <v>804</v>
      </c>
      <c r="I534" s="6" t="s">
        <v>1341</v>
      </c>
      <c r="J534" s="6" t="s">
        <v>1342</v>
      </c>
      <c r="K534" s="6" t="s">
        <v>18</v>
      </c>
      <c r="L534" s="6">
        <v>59818990</v>
      </c>
      <c r="M534" s="6" t="s">
        <v>50</v>
      </c>
      <c r="N534" s="6" t="s">
        <v>1267</v>
      </c>
      <c r="O534" s="6">
        <v>1</v>
      </c>
      <c r="P534" s="6" t="s">
        <v>1343</v>
      </c>
      <c r="Q534" s="6" t="s">
        <v>22</v>
      </c>
      <c r="R534" s="8" t="s">
        <v>1808</v>
      </c>
      <c r="S534" s="6" t="s">
        <v>3858</v>
      </c>
    </row>
    <row r="535" spans="1:19" ht="25.5" x14ac:dyDescent="0.25">
      <c r="A535" s="5" t="s">
        <v>3327</v>
      </c>
      <c r="B535" s="5">
        <v>534</v>
      </c>
      <c r="C535" s="6" t="s">
        <v>2039</v>
      </c>
      <c r="D535" s="6" t="s">
        <v>1247</v>
      </c>
      <c r="E535" s="6">
        <v>13</v>
      </c>
      <c r="F535" s="6" t="s">
        <v>1340</v>
      </c>
      <c r="G535" s="6">
        <v>490</v>
      </c>
      <c r="H535" s="6" t="s">
        <v>804</v>
      </c>
      <c r="I535" s="6" t="s">
        <v>1427</v>
      </c>
      <c r="J535" s="6" t="s">
        <v>1066</v>
      </c>
      <c r="K535" s="6" t="s">
        <v>18</v>
      </c>
      <c r="L535" s="6">
        <v>69007088</v>
      </c>
      <c r="M535" s="6" t="s">
        <v>50</v>
      </c>
      <c r="N535" s="6" t="s">
        <v>1267</v>
      </c>
      <c r="O535" s="6">
        <v>3</v>
      </c>
      <c r="P535" s="6" t="s">
        <v>1369</v>
      </c>
      <c r="Q535" s="6" t="s">
        <v>22</v>
      </c>
      <c r="R535" s="8" t="s">
        <v>1808</v>
      </c>
      <c r="S535" s="6" t="s">
        <v>3858</v>
      </c>
    </row>
    <row r="536" spans="1:19" ht="25.5" x14ac:dyDescent="0.25">
      <c r="A536" s="5" t="s">
        <v>3327</v>
      </c>
      <c r="B536" s="5">
        <v>535</v>
      </c>
      <c r="C536" s="6" t="s">
        <v>2037</v>
      </c>
      <c r="D536" s="6" t="s">
        <v>1247</v>
      </c>
      <c r="E536" s="6">
        <v>10</v>
      </c>
      <c r="F536" s="6" t="s">
        <v>1344</v>
      </c>
      <c r="G536" s="6">
        <v>312</v>
      </c>
      <c r="H536" s="6" t="s">
        <v>1345</v>
      </c>
      <c r="I536" s="6" t="s">
        <v>1346</v>
      </c>
      <c r="J536" s="6" t="s">
        <v>1347</v>
      </c>
      <c r="K536" s="6" t="s">
        <v>18</v>
      </c>
      <c r="L536" s="6">
        <v>59837458</v>
      </c>
      <c r="M536" s="6" t="s">
        <v>50</v>
      </c>
      <c r="N536" s="6" t="s">
        <v>1267</v>
      </c>
      <c r="O536" s="6">
        <v>4</v>
      </c>
      <c r="P536" s="6" t="s">
        <v>1329</v>
      </c>
      <c r="Q536" s="6" t="s">
        <v>22</v>
      </c>
      <c r="R536" s="8" t="s">
        <v>1808</v>
      </c>
      <c r="S536" s="6" t="s">
        <v>3858</v>
      </c>
    </row>
    <row r="537" spans="1:19" ht="25.5" x14ac:dyDescent="0.25">
      <c r="A537" s="5" t="s">
        <v>3327</v>
      </c>
      <c r="B537" s="5">
        <v>536</v>
      </c>
      <c r="C537" s="6" t="s">
        <v>1831</v>
      </c>
      <c r="D537" s="6" t="s">
        <v>1247</v>
      </c>
      <c r="E537" s="6">
        <v>23</v>
      </c>
      <c r="F537" s="6" t="s">
        <v>448</v>
      </c>
      <c r="G537" s="6">
        <v>1057</v>
      </c>
      <c r="H537" s="6" t="s">
        <v>449</v>
      </c>
      <c r="I537" s="6" t="s">
        <v>1348</v>
      </c>
      <c r="J537" s="6" t="s">
        <v>1349</v>
      </c>
      <c r="K537" s="6" t="s">
        <v>18</v>
      </c>
      <c r="L537" s="6">
        <v>12974684</v>
      </c>
      <c r="M537" s="6" t="s">
        <v>50</v>
      </c>
      <c r="N537" s="6" t="s">
        <v>1267</v>
      </c>
      <c r="O537" s="6">
        <v>3</v>
      </c>
      <c r="P537" s="6" t="s">
        <v>1337</v>
      </c>
      <c r="Q537" s="6" t="s">
        <v>22</v>
      </c>
      <c r="R537" s="8" t="s">
        <v>1808</v>
      </c>
      <c r="S537" s="6" t="s">
        <v>3858</v>
      </c>
    </row>
    <row r="538" spans="1:19" ht="25.5" x14ac:dyDescent="0.25">
      <c r="A538" s="5" t="s">
        <v>3327</v>
      </c>
      <c r="B538" s="5">
        <v>537</v>
      </c>
      <c r="C538" s="6" t="s">
        <v>2086</v>
      </c>
      <c r="D538" s="6" t="s">
        <v>1247</v>
      </c>
      <c r="E538" s="6">
        <v>51</v>
      </c>
      <c r="F538" s="6" t="s">
        <v>1428</v>
      </c>
      <c r="G538" s="6">
        <v>1957</v>
      </c>
      <c r="H538" s="6" t="s">
        <v>216</v>
      </c>
      <c r="I538" s="6" t="s">
        <v>1429</v>
      </c>
      <c r="J538" s="6" t="s">
        <v>591</v>
      </c>
      <c r="K538" s="6" t="s">
        <v>18</v>
      </c>
      <c r="L538" s="6">
        <v>93348644</v>
      </c>
      <c r="M538" s="6" t="s">
        <v>401</v>
      </c>
      <c r="N538" s="6" t="s">
        <v>1267</v>
      </c>
      <c r="O538" s="6">
        <v>1</v>
      </c>
      <c r="P538" s="6" t="s">
        <v>1430</v>
      </c>
      <c r="Q538" s="6" t="s">
        <v>22</v>
      </c>
      <c r="R538" s="8" t="s">
        <v>1808</v>
      </c>
      <c r="S538" s="6" t="s">
        <v>3861</v>
      </c>
    </row>
    <row r="539" spans="1:19" ht="25.5" x14ac:dyDescent="0.25">
      <c r="A539" s="5" t="s">
        <v>3327</v>
      </c>
      <c r="B539" s="5">
        <v>538</v>
      </c>
      <c r="C539" s="6" t="s">
        <v>1813</v>
      </c>
      <c r="D539" s="6" t="s">
        <v>1247</v>
      </c>
      <c r="E539" s="6">
        <v>5</v>
      </c>
      <c r="F539" s="6" t="s">
        <v>1431</v>
      </c>
      <c r="G539" s="6">
        <v>269</v>
      </c>
      <c r="H539" s="6" t="s">
        <v>734</v>
      </c>
      <c r="I539" s="6" t="s">
        <v>1432</v>
      </c>
      <c r="J539" s="6" t="s">
        <v>1433</v>
      </c>
      <c r="K539" s="6" t="s">
        <v>18</v>
      </c>
      <c r="L539" s="6">
        <v>5208998</v>
      </c>
      <c r="M539" s="6" t="s">
        <v>401</v>
      </c>
      <c r="N539" s="6" t="s">
        <v>1251</v>
      </c>
      <c r="O539" s="6">
        <v>3</v>
      </c>
      <c r="P539" s="6" t="s">
        <v>1395</v>
      </c>
      <c r="Q539" s="6" t="s">
        <v>22</v>
      </c>
      <c r="R539" s="8" t="s">
        <v>1808</v>
      </c>
      <c r="S539" s="6" t="s">
        <v>3858</v>
      </c>
    </row>
    <row r="540" spans="1:19" ht="25.5" x14ac:dyDescent="0.25">
      <c r="A540" s="5" t="s">
        <v>3327</v>
      </c>
      <c r="B540" s="5">
        <v>539</v>
      </c>
      <c r="C540" s="6" t="s">
        <v>1844</v>
      </c>
      <c r="D540" s="6" t="s">
        <v>1247</v>
      </c>
      <c r="E540" s="6">
        <v>34</v>
      </c>
      <c r="F540" s="6" t="s">
        <v>1158</v>
      </c>
      <c r="G540" s="6">
        <v>1009</v>
      </c>
      <c r="H540" s="6" t="s">
        <v>323</v>
      </c>
      <c r="I540" s="6" t="s">
        <v>1434</v>
      </c>
      <c r="J540" s="6" t="s">
        <v>1435</v>
      </c>
      <c r="K540" s="6" t="s">
        <v>18</v>
      </c>
      <c r="L540" s="6">
        <v>13069902</v>
      </c>
      <c r="M540" s="6" t="s">
        <v>401</v>
      </c>
      <c r="N540" s="6" t="s">
        <v>1251</v>
      </c>
      <c r="O540" s="6">
        <v>2</v>
      </c>
      <c r="P540" s="6" t="s">
        <v>1387</v>
      </c>
      <c r="Q540" s="6" t="s">
        <v>22</v>
      </c>
      <c r="R540" s="8" t="s">
        <v>1808</v>
      </c>
      <c r="S540" s="6"/>
    </row>
    <row r="541" spans="1:19" ht="25.5" x14ac:dyDescent="0.25">
      <c r="A541" s="5" t="s">
        <v>3327</v>
      </c>
      <c r="B541" s="5">
        <v>540</v>
      </c>
      <c r="C541" s="6" t="s">
        <v>3299</v>
      </c>
      <c r="D541" s="6" t="s">
        <v>1247</v>
      </c>
      <c r="E541" s="6">
        <v>1</v>
      </c>
      <c r="F541" s="6" t="s">
        <v>3307</v>
      </c>
      <c r="G541" s="6">
        <v>1</v>
      </c>
      <c r="H541" s="6" t="s">
        <v>3307</v>
      </c>
      <c r="I541" s="6" t="s">
        <v>3308</v>
      </c>
      <c r="J541" s="6" t="s">
        <v>3309</v>
      </c>
      <c r="K541" s="6" t="s">
        <v>18</v>
      </c>
      <c r="L541" s="6">
        <v>1698698</v>
      </c>
      <c r="M541" s="6" t="s">
        <v>3310</v>
      </c>
      <c r="N541" s="6" t="s">
        <v>3311</v>
      </c>
      <c r="O541" s="6" t="s">
        <v>21</v>
      </c>
      <c r="P541" s="6" t="s">
        <v>21</v>
      </c>
      <c r="Q541" s="6" t="s">
        <v>3312</v>
      </c>
      <c r="R541" s="8" t="s">
        <v>1808</v>
      </c>
      <c r="S541" s="6" t="s">
        <v>3862</v>
      </c>
    </row>
    <row r="542" spans="1:19" ht="25.5" x14ac:dyDescent="0.25">
      <c r="A542" s="5" t="s">
        <v>3327</v>
      </c>
      <c r="B542" s="5">
        <v>541</v>
      </c>
      <c r="C542" s="6" t="s">
        <v>3300</v>
      </c>
      <c r="D542" s="6" t="s">
        <v>1247</v>
      </c>
      <c r="E542" s="6">
        <v>18</v>
      </c>
      <c r="F542" s="6" t="s">
        <v>3313</v>
      </c>
      <c r="G542" s="6">
        <v>18</v>
      </c>
      <c r="H542" s="6" t="s">
        <v>3314</v>
      </c>
      <c r="I542" s="6" t="s">
        <v>3315</v>
      </c>
      <c r="J542" s="6" t="s">
        <v>1631</v>
      </c>
      <c r="K542" s="6" t="s">
        <v>18</v>
      </c>
      <c r="L542" s="6">
        <v>5194279</v>
      </c>
      <c r="M542" s="6" t="s">
        <v>3310</v>
      </c>
      <c r="N542" s="6" t="s">
        <v>3311</v>
      </c>
      <c r="O542" s="6" t="s">
        <v>21</v>
      </c>
      <c r="P542" s="7">
        <v>14598</v>
      </c>
      <c r="Q542" s="6" t="s">
        <v>3312</v>
      </c>
      <c r="R542" s="8" t="s">
        <v>1808</v>
      </c>
      <c r="S542" s="6" t="s">
        <v>3863</v>
      </c>
    </row>
    <row r="543" spans="1:19" ht="25.5" x14ac:dyDescent="0.25">
      <c r="A543" s="5" t="s">
        <v>3327</v>
      </c>
      <c r="B543" s="5">
        <v>542</v>
      </c>
      <c r="C543" s="6" t="s">
        <v>2815</v>
      </c>
      <c r="D543" s="6" t="s">
        <v>1247</v>
      </c>
      <c r="E543" s="6">
        <v>14</v>
      </c>
      <c r="F543" s="6" t="s">
        <v>1363</v>
      </c>
      <c r="G543" s="6">
        <v>1008</v>
      </c>
      <c r="H543" s="6" t="s">
        <v>115</v>
      </c>
      <c r="I543" s="6" t="s">
        <v>1364</v>
      </c>
      <c r="J543" s="6" t="s">
        <v>38</v>
      </c>
      <c r="K543" s="6" t="s">
        <v>18</v>
      </c>
      <c r="L543" s="6">
        <v>30714300</v>
      </c>
      <c r="M543" s="6" t="s">
        <v>1281</v>
      </c>
      <c r="N543" s="6" t="s">
        <v>3864</v>
      </c>
      <c r="O543" s="6">
        <v>3</v>
      </c>
      <c r="P543" s="7">
        <v>31036</v>
      </c>
      <c r="Q543" s="6" t="s">
        <v>22</v>
      </c>
      <c r="R543" s="8" t="s">
        <v>1808</v>
      </c>
      <c r="S543" s="6" t="s">
        <v>3865</v>
      </c>
    </row>
    <row r="544" spans="1:19" ht="25.5" x14ac:dyDescent="0.25">
      <c r="A544" s="5" t="s">
        <v>3327</v>
      </c>
      <c r="B544" s="5">
        <v>543</v>
      </c>
      <c r="C544" s="6" t="s">
        <v>2803</v>
      </c>
      <c r="D544" s="6" t="s">
        <v>1247</v>
      </c>
      <c r="E544" s="6">
        <v>5</v>
      </c>
      <c r="F544" s="6" t="s">
        <v>1306</v>
      </c>
      <c r="G544" s="6">
        <v>841</v>
      </c>
      <c r="H544" s="6" t="s">
        <v>107</v>
      </c>
      <c r="I544" s="6" t="s">
        <v>1322</v>
      </c>
      <c r="J544" s="6" t="s">
        <v>25</v>
      </c>
      <c r="K544" s="6" t="s">
        <v>18</v>
      </c>
      <c r="L544" s="6">
        <v>30715800</v>
      </c>
      <c r="M544" s="6" t="s">
        <v>186</v>
      </c>
      <c r="N544" s="6" t="s">
        <v>1323</v>
      </c>
      <c r="O544" s="6">
        <v>54</v>
      </c>
      <c r="P544" s="7">
        <v>29207</v>
      </c>
      <c r="Q544" s="6" t="s">
        <v>22</v>
      </c>
      <c r="R544" s="8" t="s">
        <v>1808</v>
      </c>
      <c r="S544" s="6"/>
    </row>
    <row r="545" spans="1:19" ht="25.5" x14ac:dyDescent="0.25">
      <c r="A545" s="5" t="s">
        <v>3327</v>
      </c>
      <c r="B545" s="5">
        <v>544</v>
      </c>
      <c r="C545" s="6" t="s">
        <v>2810</v>
      </c>
      <c r="D545" s="6" t="s">
        <v>1247</v>
      </c>
      <c r="E545" s="6">
        <v>7</v>
      </c>
      <c r="F545" s="6" t="s">
        <v>1353</v>
      </c>
      <c r="G545" s="6">
        <v>434</v>
      </c>
      <c r="H545" s="6" t="s">
        <v>266</v>
      </c>
      <c r="I545" s="6" t="s">
        <v>1354</v>
      </c>
      <c r="J545" s="6" t="s">
        <v>1355</v>
      </c>
      <c r="K545" s="6" t="s">
        <v>18</v>
      </c>
      <c r="L545" s="6">
        <v>98378815</v>
      </c>
      <c r="M545" s="6" t="s">
        <v>1281</v>
      </c>
      <c r="N545" s="6" t="s">
        <v>1251</v>
      </c>
      <c r="O545" s="6">
        <v>6</v>
      </c>
      <c r="P545" s="7">
        <v>34320</v>
      </c>
      <c r="Q545" s="6" t="s">
        <v>22</v>
      </c>
      <c r="R545" s="8" t="s">
        <v>1808</v>
      </c>
      <c r="S545" s="6"/>
    </row>
    <row r="546" spans="1:19" ht="25.5" x14ac:dyDescent="0.25">
      <c r="A546" s="5" t="s">
        <v>3327</v>
      </c>
      <c r="B546" s="5">
        <v>545</v>
      </c>
      <c r="C546" s="6" t="s">
        <v>2816</v>
      </c>
      <c r="D546" s="6" t="s">
        <v>1247</v>
      </c>
      <c r="E546" s="6">
        <v>21</v>
      </c>
      <c r="F546" s="6" t="s">
        <v>1325</v>
      </c>
      <c r="G546" s="6">
        <v>1417</v>
      </c>
      <c r="H546" s="6" t="s">
        <v>125</v>
      </c>
      <c r="I546" s="6" t="s">
        <v>1365</v>
      </c>
      <c r="J546" s="6" t="s">
        <v>1366</v>
      </c>
      <c r="K546" s="6" t="s">
        <v>18</v>
      </c>
      <c r="L546" s="6">
        <v>30744243</v>
      </c>
      <c r="M546" s="6" t="s">
        <v>1281</v>
      </c>
      <c r="N546" s="6" t="s">
        <v>1267</v>
      </c>
      <c r="O546" s="6">
        <v>3</v>
      </c>
      <c r="P546" s="7">
        <v>33781</v>
      </c>
      <c r="Q546" s="6" t="s">
        <v>22</v>
      </c>
      <c r="R546" s="8" t="s">
        <v>1808</v>
      </c>
      <c r="S546" s="6"/>
    </row>
    <row r="547" spans="1:19" ht="25.5" x14ac:dyDescent="0.25">
      <c r="A547" s="5" t="s">
        <v>3327</v>
      </c>
      <c r="B547" s="5">
        <v>546</v>
      </c>
      <c r="C547" s="6" t="s">
        <v>1872</v>
      </c>
      <c r="D547" s="6" t="s">
        <v>1247</v>
      </c>
      <c r="E547" s="6">
        <v>2</v>
      </c>
      <c r="F547" s="6" t="s">
        <v>1312</v>
      </c>
      <c r="G547" s="6">
        <v>140</v>
      </c>
      <c r="H547" s="6" t="s">
        <v>66</v>
      </c>
      <c r="I547" s="6" t="s">
        <v>1313</v>
      </c>
      <c r="J547" s="6" t="s">
        <v>1314</v>
      </c>
      <c r="K547" s="6" t="s">
        <v>18</v>
      </c>
      <c r="L547" s="6">
        <v>30725099</v>
      </c>
      <c r="M547" s="6" t="s">
        <v>1281</v>
      </c>
      <c r="N547" s="6" t="s">
        <v>1267</v>
      </c>
      <c r="O547" s="6">
        <v>5</v>
      </c>
      <c r="P547" s="7">
        <v>31835</v>
      </c>
      <c r="Q547" s="6" t="s">
        <v>22</v>
      </c>
      <c r="R547" s="8" t="s">
        <v>1808</v>
      </c>
      <c r="S547" s="6"/>
    </row>
    <row r="548" spans="1:19" ht="25.5" x14ac:dyDescent="0.25">
      <c r="A548" s="5" t="s">
        <v>3327</v>
      </c>
      <c r="B548" s="5">
        <v>547</v>
      </c>
      <c r="C548" s="6" t="s">
        <v>2811</v>
      </c>
      <c r="D548" s="6" t="s">
        <v>1247</v>
      </c>
      <c r="E548" s="6">
        <v>15</v>
      </c>
      <c r="F548" s="6" t="s">
        <v>798</v>
      </c>
      <c r="G548" s="6">
        <v>637</v>
      </c>
      <c r="H548" s="6" t="s">
        <v>333</v>
      </c>
      <c r="I548" s="6" t="s">
        <v>1356</v>
      </c>
      <c r="J548" s="6" t="s">
        <v>47</v>
      </c>
      <c r="K548" s="6" t="s">
        <v>18</v>
      </c>
      <c r="L548" s="6">
        <v>30733738</v>
      </c>
      <c r="M548" s="6" t="s">
        <v>1281</v>
      </c>
      <c r="N548" s="6" t="s">
        <v>1267</v>
      </c>
      <c r="O548" s="6">
        <v>3</v>
      </c>
      <c r="P548" s="7">
        <v>32689</v>
      </c>
      <c r="Q548" s="6" t="s">
        <v>22</v>
      </c>
      <c r="R548" s="8" t="s">
        <v>1808</v>
      </c>
      <c r="S548" s="6"/>
    </row>
    <row r="549" spans="1:19" ht="25.5" x14ac:dyDescent="0.25">
      <c r="A549" s="5" t="s">
        <v>3327</v>
      </c>
      <c r="B549" s="5">
        <v>548</v>
      </c>
      <c r="C549" s="6" t="s">
        <v>2809</v>
      </c>
      <c r="D549" s="6" t="s">
        <v>1247</v>
      </c>
      <c r="E549" s="6">
        <v>2</v>
      </c>
      <c r="F549" s="6" t="s">
        <v>1350</v>
      </c>
      <c r="G549" s="6">
        <v>332</v>
      </c>
      <c r="H549" s="6" t="s">
        <v>84</v>
      </c>
      <c r="I549" s="6" t="s">
        <v>1351</v>
      </c>
      <c r="J549" s="6" t="s">
        <v>1352</v>
      </c>
      <c r="K549" s="6" t="s">
        <v>18</v>
      </c>
      <c r="L549" s="6">
        <v>13013836</v>
      </c>
      <c r="M549" s="6" t="s">
        <v>1281</v>
      </c>
      <c r="N549" s="6" t="s">
        <v>1267</v>
      </c>
      <c r="O549" s="6">
        <v>3</v>
      </c>
      <c r="P549" s="7">
        <v>34509</v>
      </c>
      <c r="Q549" s="6" t="s">
        <v>22</v>
      </c>
      <c r="R549" s="8" t="s">
        <v>1808</v>
      </c>
      <c r="S549" s="6"/>
    </row>
    <row r="550" spans="1:19" ht="25.5" x14ac:dyDescent="0.25">
      <c r="A550" s="5" t="s">
        <v>3327</v>
      </c>
      <c r="B550" s="5">
        <v>549</v>
      </c>
      <c r="C550" s="6" t="s">
        <v>1832</v>
      </c>
      <c r="D550" s="6" t="s">
        <v>1247</v>
      </c>
      <c r="E550" s="6">
        <v>2</v>
      </c>
      <c r="F550" s="6" t="s">
        <v>1312</v>
      </c>
      <c r="G550" s="6">
        <v>140</v>
      </c>
      <c r="H550" s="6" t="s">
        <v>66</v>
      </c>
      <c r="I550" s="6" t="s">
        <v>1317</v>
      </c>
      <c r="J550" s="6" t="s">
        <v>1318</v>
      </c>
      <c r="K550" s="6" t="s">
        <v>18</v>
      </c>
      <c r="L550" s="6">
        <v>12975887</v>
      </c>
      <c r="M550" s="6" t="s">
        <v>1281</v>
      </c>
      <c r="N550" s="6" t="s">
        <v>1267</v>
      </c>
      <c r="O550" s="6">
        <v>29</v>
      </c>
      <c r="P550" s="7">
        <v>32133</v>
      </c>
      <c r="Q550" s="6" t="s">
        <v>22</v>
      </c>
      <c r="R550" s="8" t="s">
        <v>1808</v>
      </c>
      <c r="S550" s="6"/>
    </row>
    <row r="551" spans="1:19" ht="25.5" x14ac:dyDescent="0.25">
      <c r="A551" s="5" t="s">
        <v>3327</v>
      </c>
      <c r="B551" s="5">
        <v>550</v>
      </c>
      <c r="C551" s="6" t="s">
        <v>1837</v>
      </c>
      <c r="D551" s="6" t="s">
        <v>1247</v>
      </c>
      <c r="E551" s="6">
        <v>2</v>
      </c>
      <c r="F551" s="6" t="s">
        <v>1312</v>
      </c>
      <c r="G551" s="6">
        <v>140</v>
      </c>
      <c r="H551" s="6" t="s">
        <v>66</v>
      </c>
      <c r="I551" s="6" t="s">
        <v>1315</v>
      </c>
      <c r="J551" s="6" t="s">
        <v>1316</v>
      </c>
      <c r="K551" s="6" t="s">
        <v>18</v>
      </c>
      <c r="L551" s="6">
        <v>12982189</v>
      </c>
      <c r="M551" s="6" t="s">
        <v>3866</v>
      </c>
      <c r="N551" s="6" t="s">
        <v>1267</v>
      </c>
      <c r="O551" s="6">
        <v>10</v>
      </c>
      <c r="P551" s="7">
        <v>31869</v>
      </c>
      <c r="Q551" s="6" t="s">
        <v>22</v>
      </c>
      <c r="R551" s="8" t="s">
        <v>1808</v>
      </c>
      <c r="S551" s="6"/>
    </row>
    <row r="552" spans="1:19" ht="25.5" x14ac:dyDescent="0.25">
      <c r="A552" s="5" t="s">
        <v>3327</v>
      </c>
      <c r="B552" s="5">
        <v>551</v>
      </c>
      <c r="C552" s="6" t="s">
        <v>2035</v>
      </c>
      <c r="D552" s="6" t="s">
        <v>1247</v>
      </c>
      <c r="E552" s="6">
        <v>1</v>
      </c>
      <c r="F552" s="6" t="s">
        <v>1309</v>
      </c>
      <c r="G552" s="6">
        <v>93</v>
      </c>
      <c r="H552" s="6" t="s">
        <v>64</v>
      </c>
      <c r="I552" s="6" t="s">
        <v>1310</v>
      </c>
      <c r="J552" s="6" t="s">
        <v>1311</v>
      </c>
      <c r="K552" s="6" t="s">
        <v>18</v>
      </c>
      <c r="L552" s="6">
        <v>59817542</v>
      </c>
      <c r="M552" s="6" t="s">
        <v>3866</v>
      </c>
      <c r="N552" s="6" t="s">
        <v>1267</v>
      </c>
      <c r="O552" s="6">
        <v>3</v>
      </c>
      <c r="P552" s="7">
        <v>34145</v>
      </c>
      <c r="Q552" s="6" t="s">
        <v>22</v>
      </c>
      <c r="R552" s="8" t="s">
        <v>1808</v>
      </c>
      <c r="S552" s="6"/>
    </row>
    <row r="553" spans="1:19" ht="25.5" x14ac:dyDescent="0.25">
      <c r="A553" s="5" t="s">
        <v>3327</v>
      </c>
      <c r="B553" s="5">
        <v>552</v>
      </c>
      <c r="C553" s="6" t="s">
        <v>2813</v>
      </c>
      <c r="D553" s="6" t="s">
        <v>1247</v>
      </c>
      <c r="E553" s="6">
        <v>5</v>
      </c>
      <c r="F553" s="6" t="s">
        <v>1306</v>
      </c>
      <c r="G553" s="6">
        <v>841</v>
      </c>
      <c r="H553" s="6" t="s">
        <v>107</v>
      </c>
      <c r="I553" s="6" t="s">
        <v>1359</v>
      </c>
      <c r="J553" s="6" t="s">
        <v>1360</v>
      </c>
      <c r="K553" s="6" t="s">
        <v>18</v>
      </c>
      <c r="L553" s="6">
        <v>30743009</v>
      </c>
      <c r="M553" s="6" t="s">
        <v>1281</v>
      </c>
      <c r="N553" s="6" t="s">
        <v>1267</v>
      </c>
      <c r="O553" s="6">
        <v>3</v>
      </c>
      <c r="P553" s="7">
        <v>34509</v>
      </c>
      <c r="Q553" s="6" t="s">
        <v>22</v>
      </c>
      <c r="R553" s="8" t="s">
        <v>1808</v>
      </c>
      <c r="S553" s="6"/>
    </row>
    <row r="554" spans="1:19" ht="25.5" x14ac:dyDescent="0.25">
      <c r="A554" s="5" t="s">
        <v>3327</v>
      </c>
      <c r="B554" s="5">
        <v>553</v>
      </c>
      <c r="C554" s="6" t="s">
        <v>2812</v>
      </c>
      <c r="D554" s="6" t="s">
        <v>1247</v>
      </c>
      <c r="E554" s="6">
        <v>24</v>
      </c>
      <c r="F554" s="6" t="s">
        <v>1305</v>
      </c>
      <c r="G554" s="6">
        <v>792</v>
      </c>
      <c r="H554" s="6" t="s">
        <v>105</v>
      </c>
      <c r="I554" s="6" t="s">
        <v>1357</v>
      </c>
      <c r="J554" s="6" t="s">
        <v>1358</v>
      </c>
      <c r="K554" s="6" t="s">
        <v>18</v>
      </c>
      <c r="L554" s="6">
        <v>27472643</v>
      </c>
      <c r="M554" s="6" t="s">
        <v>1281</v>
      </c>
      <c r="N554" s="6" t="s">
        <v>1267</v>
      </c>
      <c r="O554" s="6">
        <v>9</v>
      </c>
      <c r="P554" s="7">
        <v>32498</v>
      </c>
      <c r="Q554" s="6" t="s">
        <v>22</v>
      </c>
      <c r="R554" s="8" t="s">
        <v>1808</v>
      </c>
      <c r="S554" s="6"/>
    </row>
    <row r="555" spans="1:19" ht="25.5" x14ac:dyDescent="0.25">
      <c r="A555" s="5" t="s">
        <v>3327</v>
      </c>
      <c r="B555" s="5">
        <v>554</v>
      </c>
      <c r="C555" s="6" t="s">
        <v>1834</v>
      </c>
      <c r="D555" s="6" t="s">
        <v>1247</v>
      </c>
      <c r="E555" s="6">
        <v>2</v>
      </c>
      <c r="F555" s="6" t="s">
        <v>1312</v>
      </c>
      <c r="G555" s="6">
        <v>140</v>
      </c>
      <c r="H555" s="6" t="s">
        <v>66</v>
      </c>
      <c r="I555" s="6" t="s">
        <v>1319</v>
      </c>
      <c r="J555" s="6" t="s">
        <v>55</v>
      </c>
      <c r="K555" s="6" t="s">
        <v>18</v>
      </c>
      <c r="L555" s="6">
        <v>12980197</v>
      </c>
      <c r="M555" s="6" t="s">
        <v>3866</v>
      </c>
      <c r="N555" s="6" t="s">
        <v>1267</v>
      </c>
      <c r="O555" s="6">
        <v>18</v>
      </c>
      <c r="P555" s="7">
        <v>31954</v>
      </c>
      <c r="Q555" s="6" t="s">
        <v>22</v>
      </c>
      <c r="R555" s="8" t="s">
        <v>1808</v>
      </c>
      <c r="S555" s="6"/>
    </row>
    <row r="556" spans="1:19" ht="25.5" x14ac:dyDescent="0.25">
      <c r="A556" s="5" t="s">
        <v>3327</v>
      </c>
      <c r="B556" s="5">
        <v>555</v>
      </c>
      <c r="C556" s="6" t="s">
        <v>2817</v>
      </c>
      <c r="D556" s="6" t="s">
        <v>1247</v>
      </c>
      <c r="E556" s="6">
        <v>21</v>
      </c>
      <c r="F556" s="6" t="s">
        <v>1325</v>
      </c>
      <c r="G556" s="6">
        <v>1417</v>
      </c>
      <c r="H556" s="6" t="s">
        <v>125</v>
      </c>
      <c r="I556" s="6" t="s">
        <v>1367</v>
      </c>
      <c r="J556" s="6" t="s">
        <v>1368</v>
      </c>
      <c r="K556" s="6" t="s">
        <v>18</v>
      </c>
      <c r="L556" s="6">
        <v>12970587</v>
      </c>
      <c r="M556" s="6" t="s">
        <v>1281</v>
      </c>
      <c r="N556" s="6" t="s">
        <v>3864</v>
      </c>
      <c r="O556" s="6">
        <v>3</v>
      </c>
      <c r="P556" s="7">
        <v>31562</v>
      </c>
      <c r="Q556" s="6" t="s">
        <v>22</v>
      </c>
      <c r="R556" s="8" t="s">
        <v>1808</v>
      </c>
      <c r="S556" s="6" t="s">
        <v>3865</v>
      </c>
    </row>
    <row r="557" spans="1:19" ht="25.5" x14ac:dyDescent="0.25">
      <c r="A557" s="5" t="s">
        <v>3327</v>
      </c>
      <c r="B557" s="5">
        <v>556</v>
      </c>
      <c r="C557" s="6" t="s">
        <v>2033</v>
      </c>
      <c r="D557" s="6" t="s">
        <v>1247</v>
      </c>
      <c r="E557" s="6">
        <v>3</v>
      </c>
      <c r="F557" s="6" t="s">
        <v>1320</v>
      </c>
      <c r="G557" s="6">
        <v>140</v>
      </c>
      <c r="H557" s="6" t="s">
        <v>66</v>
      </c>
      <c r="I557" s="6" t="s">
        <v>1321</v>
      </c>
      <c r="J557" s="6" t="s">
        <v>48</v>
      </c>
      <c r="K557" s="6" t="s">
        <v>18</v>
      </c>
      <c r="L557" s="6">
        <v>59812908</v>
      </c>
      <c r="M557" s="6" t="s">
        <v>1281</v>
      </c>
      <c r="N557" s="6" t="s">
        <v>1267</v>
      </c>
      <c r="O557" s="6">
        <v>5</v>
      </c>
      <c r="P557" s="7">
        <v>33956</v>
      </c>
      <c r="Q557" s="6" t="s">
        <v>22</v>
      </c>
      <c r="R557" s="8" t="s">
        <v>1808</v>
      </c>
      <c r="S557" s="6"/>
    </row>
    <row r="558" spans="1:19" ht="25.5" x14ac:dyDescent="0.25">
      <c r="A558" s="5" t="s">
        <v>3327</v>
      </c>
      <c r="B558" s="5">
        <v>557</v>
      </c>
      <c r="C558" s="6" t="s">
        <v>2814</v>
      </c>
      <c r="D558" s="6" t="s">
        <v>1247</v>
      </c>
      <c r="E558" s="6">
        <v>5</v>
      </c>
      <c r="F558" s="6" t="s">
        <v>1306</v>
      </c>
      <c r="G558" s="6">
        <v>841</v>
      </c>
      <c r="H558" s="6" t="s">
        <v>107</v>
      </c>
      <c r="I558" s="6" t="s">
        <v>1361</v>
      </c>
      <c r="J558" s="6" t="s">
        <v>1362</v>
      </c>
      <c r="K558" s="6" t="s">
        <v>18</v>
      </c>
      <c r="L558" s="6">
        <v>30745558</v>
      </c>
      <c r="M558" s="6" t="s">
        <v>1281</v>
      </c>
      <c r="N558" s="6" t="s">
        <v>1267</v>
      </c>
      <c r="O558" s="6">
        <v>3</v>
      </c>
      <c r="P558" s="7">
        <v>34509</v>
      </c>
      <c r="Q558" s="6" t="s">
        <v>22</v>
      </c>
      <c r="R558" s="8" t="s">
        <v>1808</v>
      </c>
      <c r="S558" s="6"/>
    </row>
    <row r="559" spans="1:19" ht="25.5" x14ac:dyDescent="0.25">
      <c r="A559" s="5" t="s">
        <v>3327</v>
      </c>
      <c r="B559" s="5">
        <v>558</v>
      </c>
      <c r="C559" s="6" t="s">
        <v>1987</v>
      </c>
      <c r="D559" s="6" t="s">
        <v>1247</v>
      </c>
      <c r="E559" s="6">
        <v>1</v>
      </c>
      <c r="F559" s="6" t="s">
        <v>1248</v>
      </c>
      <c r="G559" s="6">
        <v>7</v>
      </c>
      <c r="H559" s="6" t="s">
        <v>33</v>
      </c>
      <c r="I559" s="6" t="s">
        <v>1265</v>
      </c>
      <c r="J559" s="6" t="s">
        <v>1266</v>
      </c>
      <c r="K559" s="6" t="s">
        <v>18</v>
      </c>
      <c r="L559" s="6">
        <v>30712014</v>
      </c>
      <c r="M559" s="6" t="s">
        <v>3867</v>
      </c>
      <c r="N559" s="6" t="s">
        <v>3868</v>
      </c>
      <c r="O559" s="6">
        <v>61</v>
      </c>
      <c r="P559" s="7">
        <v>30300</v>
      </c>
      <c r="Q559" s="6" t="s">
        <v>22</v>
      </c>
      <c r="R559" s="8" t="s">
        <v>1808</v>
      </c>
      <c r="S559" s="6"/>
    </row>
    <row r="560" spans="1:19" ht="25.5" x14ac:dyDescent="0.25">
      <c r="A560" s="5" t="s">
        <v>3327</v>
      </c>
      <c r="B560" s="5">
        <v>559</v>
      </c>
      <c r="C560" s="6" t="s">
        <v>1835</v>
      </c>
      <c r="D560" s="6" t="s">
        <v>1247</v>
      </c>
      <c r="E560" s="6">
        <v>1</v>
      </c>
      <c r="F560" s="6" t="s">
        <v>1248</v>
      </c>
      <c r="G560" s="6">
        <v>7</v>
      </c>
      <c r="H560" s="6" t="s">
        <v>33</v>
      </c>
      <c r="I560" s="6" t="s">
        <v>1283</v>
      </c>
      <c r="J560" s="6" t="s">
        <v>1284</v>
      </c>
      <c r="K560" s="6" t="s">
        <v>18</v>
      </c>
      <c r="L560" s="6">
        <v>12981490</v>
      </c>
      <c r="M560" s="6" t="s">
        <v>3866</v>
      </c>
      <c r="N560" s="6" t="s">
        <v>1251</v>
      </c>
      <c r="O560" s="6">
        <v>3</v>
      </c>
      <c r="P560" s="7">
        <v>32689</v>
      </c>
      <c r="Q560" s="6" t="s">
        <v>22</v>
      </c>
      <c r="R560" s="8" t="s">
        <v>1808</v>
      </c>
      <c r="S560" s="6"/>
    </row>
    <row r="561" spans="1:19" ht="25.5" x14ac:dyDescent="0.25">
      <c r="A561" s="5" t="s">
        <v>3327</v>
      </c>
      <c r="B561" s="5">
        <v>560</v>
      </c>
      <c r="C561" s="6" t="s">
        <v>1838</v>
      </c>
      <c r="D561" s="6" t="s">
        <v>1247</v>
      </c>
      <c r="E561" s="6">
        <v>1</v>
      </c>
      <c r="F561" s="6" t="s">
        <v>1248</v>
      </c>
      <c r="G561" s="6">
        <v>7</v>
      </c>
      <c r="H561" s="6" t="s">
        <v>33</v>
      </c>
      <c r="I561" s="6" t="s">
        <v>1285</v>
      </c>
      <c r="J561" s="6" t="s">
        <v>1286</v>
      </c>
      <c r="K561" s="6" t="s">
        <v>18</v>
      </c>
      <c r="L561" s="6">
        <v>12982622</v>
      </c>
      <c r="M561" s="6" t="s">
        <v>3866</v>
      </c>
      <c r="N561" s="6" t="s">
        <v>3868</v>
      </c>
      <c r="O561" s="6">
        <v>5</v>
      </c>
      <c r="P561" s="7">
        <v>31835</v>
      </c>
      <c r="Q561" s="6" t="s">
        <v>22</v>
      </c>
      <c r="R561" s="8" t="s">
        <v>1808</v>
      </c>
      <c r="S561" s="6"/>
    </row>
    <row r="562" spans="1:19" ht="25.5" x14ac:dyDescent="0.25">
      <c r="A562" s="5" t="s">
        <v>3327</v>
      </c>
      <c r="B562" s="5">
        <v>561</v>
      </c>
      <c r="C562" s="6" t="s">
        <v>1879</v>
      </c>
      <c r="D562" s="6" t="s">
        <v>1247</v>
      </c>
      <c r="E562" s="6">
        <v>1</v>
      </c>
      <c r="F562" s="6" t="s">
        <v>1248</v>
      </c>
      <c r="G562" s="6">
        <v>7</v>
      </c>
      <c r="H562" s="6" t="s">
        <v>33</v>
      </c>
      <c r="I562" s="6" t="s">
        <v>1287</v>
      </c>
      <c r="J562" s="6" t="s">
        <v>1288</v>
      </c>
      <c r="K562" s="6" t="s">
        <v>18</v>
      </c>
      <c r="L562" s="6">
        <v>30741177</v>
      </c>
      <c r="M562" s="6" t="s">
        <v>3866</v>
      </c>
      <c r="N562" s="6" t="s">
        <v>3868</v>
      </c>
      <c r="O562" s="6">
        <v>13</v>
      </c>
      <c r="P562" s="7">
        <v>33228</v>
      </c>
      <c r="Q562" s="6" t="s">
        <v>22</v>
      </c>
      <c r="R562" s="8" t="s">
        <v>1808</v>
      </c>
      <c r="S562" s="6" t="s">
        <v>3869</v>
      </c>
    </row>
    <row r="563" spans="1:19" ht="25.5" x14ac:dyDescent="0.25">
      <c r="A563" s="5" t="s">
        <v>3327</v>
      </c>
      <c r="B563" s="5">
        <v>562</v>
      </c>
      <c r="C563" s="6" t="s">
        <v>1876</v>
      </c>
      <c r="D563" s="6" t="s">
        <v>1247</v>
      </c>
      <c r="E563" s="6">
        <v>1</v>
      </c>
      <c r="F563" s="6" t="s">
        <v>1248</v>
      </c>
      <c r="G563" s="6">
        <v>7</v>
      </c>
      <c r="H563" s="6" t="s">
        <v>33</v>
      </c>
      <c r="I563" s="6" t="s">
        <v>1289</v>
      </c>
      <c r="J563" s="6" t="s">
        <v>1290</v>
      </c>
      <c r="K563" s="6" t="s">
        <v>18</v>
      </c>
      <c r="L563" s="6">
        <v>30737225</v>
      </c>
      <c r="M563" s="6" t="s">
        <v>3866</v>
      </c>
      <c r="N563" s="6" t="s">
        <v>1267</v>
      </c>
      <c r="O563" s="6">
        <v>9</v>
      </c>
      <c r="P563" s="7">
        <v>32498</v>
      </c>
      <c r="Q563" s="6" t="s">
        <v>22</v>
      </c>
      <c r="R563" s="8" t="s">
        <v>1808</v>
      </c>
      <c r="S563" s="6"/>
    </row>
    <row r="564" spans="1:19" ht="25.5" x14ac:dyDescent="0.25">
      <c r="A564" s="5" t="s">
        <v>3327</v>
      </c>
      <c r="B564" s="5">
        <v>563</v>
      </c>
      <c r="C564" s="6" t="s">
        <v>1840</v>
      </c>
      <c r="D564" s="6" t="s">
        <v>1247</v>
      </c>
      <c r="E564" s="6">
        <v>1</v>
      </c>
      <c r="F564" s="6" t="s">
        <v>1248</v>
      </c>
      <c r="G564" s="6">
        <v>7</v>
      </c>
      <c r="H564" s="6" t="s">
        <v>33</v>
      </c>
      <c r="I564" s="6" t="s">
        <v>1291</v>
      </c>
      <c r="J564" s="6" t="s">
        <v>55</v>
      </c>
      <c r="K564" s="6" t="s">
        <v>18</v>
      </c>
      <c r="L564" s="6">
        <v>12999830</v>
      </c>
      <c r="M564" s="6" t="s">
        <v>3866</v>
      </c>
      <c r="N564" s="6" t="s">
        <v>1267</v>
      </c>
      <c r="O564" s="6">
        <v>9</v>
      </c>
      <c r="P564" s="7">
        <v>33592</v>
      </c>
      <c r="Q564" s="6" t="s">
        <v>22</v>
      </c>
      <c r="R564" s="8" t="s">
        <v>1808</v>
      </c>
      <c r="S564" s="6"/>
    </row>
    <row r="565" spans="1:19" ht="25.5" x14ac:dyDescent="0.25">
      <c r="A565" s="5" t="s">
        <v>3327</v>
      </c>
      <c r="B565" s="5">
        <v>564</v>
      </c>
      <c r="C565" s="6" t="s">
        <v>1873</v>
      </c>
      <c r="D565" s="6" t="s">
        <v>1247</v>
      </c>
      <c r="E565" s="6">
        <v>1</v>
      </c>
      <c r="F565" s="6" t="s">
        <v>1248</v>
      </c>
      <c r="G565" s="6">
        <v>7</v>
      </c>
      <c r="H565" s="6" t="s">
        <v>33</v>
      </c>
      <c r="I565" s="6" t="s">
        <v>1292</v>
      </c>
      <c r="J565" s="6" t="s">
        <v>1293</v>
      </c>
      <c r="K565" s="6" t="s">
        <v>18</v>
      </c>
      <c r="L565" s="6">
        <v>30728556</v>
      </c>
      <c r="M565" s="6" t="s">
        <v>3866</v>
      </c>
      <c r="N565" s="6" t="s">
        <v>3868</v>
      </c>
      <c r="O565" s="6">
        <v>18</v>
      </c>
      <c r="P565" s="7">
        <v>31954</v>
      </c>
      <c r="Q565" s="6" t="s">
        <v>22</v>
      </c>
      <c r="R565" s="8" t="s">
        <v>1808</v>
      </c>
      <c r="S565" s="6"/>
    </row>
    <row r="566" spans="1:19" ht="25.5" x14ac:dyDescent="0.25">
      <c r="A566" s="5" t="s">
        <v>3327</v>
      </c>
      <c r="B566" s="5">
        <v>565</v>
      </c>
      <c r="C566" s="6" t="s">
        <v>1874</v>
      </c>
      <c r="D566" s="6" t="s">
        <v>1247</v>
      </c>
      <c r="E566" s="6">
        <v>1</v>
      </c>
      <c r="F566" s="6" t="s">
        <v>1248</v>
      </c>
      <c r="G566" s="6">
        <v>7</v>
      </c>
      <c r="H566" s="6" t="s">
        <v>33</v>
      </c>
      <c r="I566" s="6" t="s">
        <v>1294</v>
      </c>
      <c r="J566" s="6" t="s">
        <v>1295</v>
      </c>
      <c r="K566" s="6" t="s">
        <v>18</v>
      </c>
      <c r="L566" s="6">
        <v>30732800</v>
      </c>
      <c r="M566" s="6" t="s">
        <v>3866</v>
      </c>
      <c r="N566" s="6" t="s">
        <v>3868</v>
      </c>
      <c r="O566" s="6">
        <v>10</v>
      </c>
      <c r="P566" s="7">
        <v>31869</v>
      </c>
      <c r="Q566" s="6" t="s">
        <v>22</v>
      </c>
      <c r="R566" s="8" t="s">
        <v>1808</v>
      </c>
      <c r="S566" s="6"/>
    </row>
    <row r="567" spans="1:19" ht="25.5" x14ac:dyDescent="0.25">
      <c r="A567" s="5" t="s">
        <v>3327</v>
      </c>
      <c r="B567" s="5">
        <v>566</v>
      </c>
      <c r="C567" s="6" t="s">
        <v>2791</v>
      </c>
      <c r="D567" s="6" t="s">
        <v>1247</v>
      </c>
      <c r="E567" s="6">
        <v>1</v>
      </c>
      <c r="F567" s="6" t="s">
        <v>1248</v>
      </c>
      <c r="G567" s="6">
        <v>7</v>
      </c>
      <c r="H567" s="6" t="s">
        <v>33</v>
      </c>
      <c r="I567" s="6" t="s">
        <v>1296</v>
      </c>
      <c r="J567" s="6" t="s">
        <v>1297</v>
      </c>
      <c r="K567" s="6" t="s">
        <v>18</v>
      </c>
      <c r="L567" s="6">
        <v>12983277</v>
      </c>
      <c r="M567" s="6" t="s">
        <v>3866</v>
      </c>
      <c r="N567" s="6" t="s">
        <v>3868</v>
      </c>
      <c r="O567" s="6">
        <v>18</v>
      </c>
      <c r="P567" s="7">
        <v>31954</v>
      </c>
      <c r="Q567" s="6" t="s">
        <v>22</v>
      </c>
      <c r="R567" s="8" t="s">
        <v>1808</v>
      </c>
      <c r="S567" s="6"/>
    </row>
    <row r="568" spans="1:19" ht="25.5" x14ac:dyDescent="0.25">
      <c r="A568" s="5" t="s">
        <v>3327</v>
      </c>
      <c r="B568" s="5">
        <v>567</v>
      </c>
      <c r="C568" s="6" t="s">
        <v>1880</v>
      </c>
      <c r="D568" s="6" t="s">
        <v>1247</v>
      </c>
      <c r="E568" s="6">
        <v>1</v>
      </c>
      <c r="F568" s="6" t="s">
        <v>1248</v>
      </c>
      <c r="G568" s="6">
        <v>7</v>
      </c>
      <c r="H568" s="6" t="s">
        <v>33</v>
      </c>
      <c r="I568" s="6" t="s">
        <v>1276</v>
      </c>
      <c r="J568" s="6" t="s">
        <v>1264</v>
      </c>
      <c r="K568" s="6" t="s">
        <v>18</v>
      </c>
      <c r="L568" s="6">
        <v>30745436</v>
      </c>
      <c r="M568" s="6" t="s">
        <v>3866</v>
      </c>
      <c r="N568" s="6" t="s">
        <v>1267</v>
      </c>
      <c r="O568" s="6">
        <v>3</v>
      </c>
      <c r="P568" s="7">
        <v>32689</v>
      </c>
      <c r="Q568" s="6" t="s">
        <v>22</v>
      </c>
      <c r="R568" s="8" t="s">
        <v>1808</v>
      </c>
      <c r="S568" s="6"/>
    </row>
    <row r="569" spans="1:19" ht="25.5" x14ac:dyDescent="0.25">
      <c r="A569" s="5" t="s">
        <v>3327</v>
      </c>
      <c r="B569" s="5">
        <v>568</v>
      </c>
      <c r="C569" s="6" t="s">
        <v>1829</v>
      </c>
      <c r="D569" s="6" t="s">
        <v>1247</v>
      </c>
      <c r="E569" s="6">
        <v>1</v>
      </c>
      <c r="F569" s="6" t="s">
        <v>1248</v>
      </c>
      <c r="G569" s="6">
        <v>25</v>
      </c>
      <c r="H569" s="6" t="s">
        <v>867</v>
      </c>
      <c r="I569" s="6" t="s">
        <v>1299</v>
      </c>
      <c r="J569" s="6" t="s">
        <v>1300</v>
      </c>
      <c r="K569" s="6" t="s">
        <v>18</v>
      </c>
      <c r="L569" s="6">
        <v>12970892</v>
      </c>
      <c r="M569" s="6" t="s">
        <v>1281</v>
      </c>
      <c r="N569" s="6" t="s">
        <v>1267</v>
      </c>
      <c r="O569" s="6">
        <v>1</v>
      </c>
      <c r="P569" s="7">
        <v>30840</v>
      </c>
      <c r="Q569" s="6" t="s">
        <v>22</v>
      </c>
      <c r="R569" s="8" t="s">
        <v>1808</v>
      </c>
      <c r="S569" s="6"/>
    </row>
    <row r="570" spans="1:19" ht="25.5" x14ac:dyDescent="0.25">
      <c r="A570" s="5" t="s">
        <v>3327</v>
      </c>
      <c r="B570" s="5">
        <v>569</v>
      </c>
      <c r="C570" s="6" t="s">
        <v>2034</v>
      </c>
      <c r="D570" s="6" t="s">
        <v>1247</v>
      </c>
      <c r="E570" s="6">
        <v>4</v>
      </c>
      <c r="F570" s="6" t="s">
        <v>1301</v>
      </c>
      <c r="G570" s="6">
        <v>187</v>
      </c>
      <c r="H570" s="6" t="s">
        <v>70</v>
      </c>
      <c r="I570" s="6" t="s">
        <v>1302</v>
      </c>
      <c r="J570" s="6" t="s">
        <v>499</v>
      </c>
      <c r="K570" s="6" t="s">
        <v>18</v>
      </c>
      <c r="L570" s="6">
        <v>59813443</v>
      </c>
      <c r="M570" s="6" t="s">
        <v>1281</v>
      </c>
      <c r="N570" s="6" t="s">
        <v>1267</v>
      </c>
      <c r="O570" s="6">
        <v>3</v>
      </c>
      <c r="P570" s="7">
        <v>34509</v>
      </c>
      <c r="Q570" s="6" t="s">
        <v>22</v>
      </c>
      <c r="R570" s="8" t="s">
        <v>1808</v>
      </c>
      <c r="S570" s="6"/>
    </row>
    <row r="571" spans="1:19" ht="25.5" x14ac:dyDescent="0.25">
      <c r="A571" s="5" t="s">
        <v>3327</v>
      </c>
      <c r="B571" s="5">
        <v>570</v>
      </c>
      <c r="C571" s="6" t="s">
        <v>1870</v>
      </c>
      <c r="D571" s="6" t="s">
        <v>1247</v>
      </c>
      <c r="E571" s="6">
        <v>1</v>
      </c>
      <c r="F571" s="6" t="s">
        <v>1248</v>
      </c>
      <c r="G571" s="6">
        <v>7</v>
      </c>
      <c r="H571" s="6" t="s">
        <v>33</v>
      </c>
      <c r="I571" s="6" t="s">
        <v>1249</v>
      </c>
      <c r="J571" s="6" t="s">
        <v>1250</v>
      </c>
      <c r="K571" s="6" t="s">
        <v>18</v>
      </c>
      <c r="L571" s="6">
        <v>30723679</v>
      </c>
      <c r="M571" s="6" t="s">
        <v>1281</v>
      </c>
      <c r="N571" s="6" t="s">
        <v>3864</v>
      </c>
      <c r="O571" s="6">
        <v>3</v>
      </c>
      <c r="P571" s="7">
        <v>31036</v>
      </c>
      <c r="Q571" s="6" t="s">
        <v>22</v>
      </c>
      <c r="R571" s="8" t="s">
        <v>1808</v>
      </c>
      <c r="S571" s="6" t="s">
        <v>3870</v>
      </c>
    </row>
    <row r="572" spans="1:19" ht="25.5" x14ac:dyDescent="0.25">
      <c r="A572" s="5" t="s">
        <v>3327</v>
      </c>
      <c r="B572" s="5">
        <v>571</v>
      </c>
      <c r="C572" s="6" t="s">
        <v>1848</v>
      </c>
      <c r="D572" s="6" t="s">
        <v>1247</v>
      </c>
      <c r="E572" s="6">
        <v>1</v>
      </c>
      <c r="F572" s="6" t="s">
        <v>1248</v>
      </c>
      <c r="G572" s="6">
        <v>7</v>
      </c>
      <c r="H572" s="6" t="s">
        <v>33</v>
      </c>
      <c r="I572" s="6" t="s">
        <v>1252</v>
      </c>
      <c r="J572" s="6" t="s">
        <v>1132</v>
      </c>
      <c r="K572" s="6" t="s">
        <v>18</v>
      </c>
      <c r="L572" s="6">
        <v>16643042</v>
      </c>
      <c r="M572" s="6" t="s">
        <v>1281</v>
      </c>
      <c r="N572" s="6" t="s">
        <v>3868</v>
      </c>
      <c r="O572" s="6">
        <v>5</v>
      </c>
      <c r="P572" s="7">
        <v>31835</v>
      </c>
      <c r="Q572" s="6" t="s">
        <v>22</v>
      </c>
      <c r="R572" s="8" t="s">
        <v>1808</v>
      </c>
      <c r="S572" s="6"/>
    </row>
    <row r="573" spans="1:19" ht="25.5" x14ac:dyDescent="0.25">
      <c r="A573" s="5" t="s">
        <v>3327</v>
      </c>
      <c r="B573" s="5">
        <v>572</v>
      </c>
      <c r="C573" s="6" t="s">
        <v>2088</v>
      </c>
      <c r="D573" s="6" t="s">
        <v>1247</v>
      </c>
      <c r="E573" s="6">
        <v>1</v>
      </c>
      <c r="F573" s="6" t="s">
        <v>1248</v>
      </c>
      <c r="G573" s="6">
        <v>7</v>
      </c>
      <c r="H573" s="6" t="s">
        <v>33</v>
      </c>
      <c r="I573" s="6" t="s">
        <v>1253</v>
      </c>
      <c r="J573" s="6" t="s">
        <v>1254</v>
      </c>
      <c r="K573" s="6" t="s">
        <v>18</v>
      </c>
      <c r="L573" s="6">
        <v>98195232</v>
      </c>
      <c r="M573" s="6" t="s">
        <v>1281</v>
      </c>
      <c r="N573" s="6" t="s">
        <v>3864</v>
      </c>
      <c r="O573" s="6">
        <v>18</v>
      </c>
      <c r="P573" s="7">
        <v>31954</v>
      </c>
      <c r="Q573" s="6" t="s">
        <v>22</v>
      </c>
      <c r="R573" s="8" t="s">
        <v>1808</v>
      </c>
      <c r="S573" s="6"/>
    </row>
    <row r="574" spans="1:19" ht="25.5" x14ac:dyDescent="0.25">
      <c r="A574" s="5" t="s">
        <v>3327</v>
      </c>
      <c r="B574" s="5">
        <v>573</v>
      </c>
      <c r="C574" s="6" t="s">
        <v>1841</v>
      </c>
      <c r="D574" s="6" t="s">
        <v>1247</v>
      </c>
      <c r="E574" s="6">
        <v>1</v>
      </c>
      <c r="F574" s="6" t="s">
        <v>1248</v>
      </c>
      <c r="G574" s="6">
        <v>7</v>
      </c>
      <c r="H574" s="6" t="s">
        <v>33</v>
      </c>
      <c r="I574" s="6" t="s">
        <v>1255</v>
      </c>
      <c r="J574" s="6" t="s">
        <v>1256</v>
      </c>
      <c r="K574" s="6" t="s">
        <v>18</v>
      </c>
      <c r="L574" s="6">
        <v>13016901</v>
      </c>
      <c r="M574" s="6" t="s">
        <v>1281</v>
      </c>
      <c r="N574" s="6" t="s">
        <v>1267</v>
      </c>
      <c r="O574" s="6">
        <v>9</v>
      </c>
      <c r="P574" s="7">
        <v>33592</v>
      </c>
      <c r="Q574" s="6" t="s">
        <v>22</v>
      </c>
      <c r="R574" s="8" t="s">
        <v>1808</v>
      </c>
      <c r="S574" s="6"/>
    </row>
    <row r="575" spans="1:19" ht="25.5" x14ac:dyDescent="0.25">
      <c r="A575" s="5" t="s">
        <v>3327</v>
      </c>
      <c r="B575" s="5">
        <v>574</v>
      </c>
      <c r="C575" s="6" t="s">
        <v>1871</v>
      </c>
      <c r="D575" s="6" t="s">
        <v>1247</v>
      </c>
      <c r="E575" s="6">
        <v>1</v>
      </c>
      <c r="F575" s="6" t="s">
        <v>1248</v>
      </c>
      <c r="G575" s="6">
        <v>7</v>
      </c>
      <c r="H575" s="6" t="s">
        <v>33</v>
      </c>
      <c r="I575" s="6" t="s">
        <v>1257</v>
      </c>
      <c r="J575" s="6" t="s">
        <v>1258</v>
      </c>
      <c r="K575" s="6" t="s">
        <v>18</v>
      </c>
      <c r="L575" s="6">
        <v>30724334</v>
      </c>
      <c r="M575" s="6" t="s">
        <v>1281</v>
      </c>
      <c r="N575" s="6" t="s">
        <v>3864</v>
      </c>
      <c r="O575" s="6">
        <v>3</v>
      </c>
      <c r="P575" s="7">
        <v>31036</v>
      </c>
      <c r="Q575" s="6" t="s">
        <v>22</v>
      </c>
      <c r="R575" s="8" t="s">
        <v>1808</v>
      </c>
      <c r="S575" s="6"/>
    </row>
    <row r="576" spans="1:19" ht="25.5" x14ac:dyDescent="0.25">
      <c r="A576" s="5" t="s">
        <v>3327</v>
      </c>
      <c r="B576" s="5">
        <v>575</v>
      </c>
      <c r="C576" s="6" t="s">
        <v>1836</v>
      </c>
      <c r="D576" s="6" t="s">
        <v>1247</v>
      </c>
      <c r="E576" s="6">
        <v>1</v>
      </c>
      <c r="F576" s="6" t="s">
        <v>1248</v>
      </c>
      <c r="G576" s="6">
        <v>7</v>
      </c>
      <c r="H576" s="6" t="s">
        <v>33</v>
      </c>
      <c r="I576" s="6" t="s">
        <v>1259</v>
      </c>
      <c r="J576" s="6" t="s">
        <v>1260</v>
      </c>
      <c r="K576" s="6" t="s">
        <v>18</v>
      </c>
      <c r="L576" s="6">
        <v>12981637</v>
      </c>
      <c r="M576" s="6" t="s">
        <v>1281</v>
      </c>
      <c r="N576" s="6" t="s">
        <v>1267</v>
      </c>
      <c r="O576" s="6">
        <v>3</v>
      </c>
      <c r="P576" s="7">
        <v>32689</v>
      </c>
      <c r="Q576" s="6" t="s">
        <v>22</v>
      </c>
      <c r="R576" s="8" t="s">
        <v>1808</v>
      </c>
      <c r="S576" s="6"/>
    </row>
    <row r="577" spans="1:19" ht="25.5" x14ac:dyDescent="0.25">
      <c r="A577" s="5" t="s">
        <v>3327</v>
      </c>
      <c r="B577" s="5">
        <v>576</v>
      </c>
      <c r="C577" s="6" t="s">
        <v>1917</v>
      </c>
      <c r="D577" s="6" t="s">
        <v>1247</v>
      </c>
      <c r="E577" s="6">
        <v>1</v>
      </c>
      <c r="F577" s="6" t="s">
        <v>1248</v>
      </c>
      <c r="G577" s="6">
        <v>7</v>
      </c>
      <c r="H577" s="6" t="s">
        <v>33</v>
      </c>
      <c r="I577" s="6" t="s">
        <v>1261</v>
      </c>
      <c r="J577" s="6" t="s">
        <v>1262</v>
      </c>
      <c r="K577" s="6" t="s">
        <v>18</v>
      </c>
      <c r="L577" s="6">
        <v>37002251</v>
      </c>
      <c r="M577" s="6" t="s">
        <v>1281</v>
      </c>
      <c r="N577" s="6" t="s">
        <v>1267</v>
      </c>
      <c r="O577" s="6">
        <v>13</v>
      </c>
      <c r="P577" s="7">
        <v>33220</v>
      </c>
      <c r="Q577" s="6" t="s">
        <v>22</v>
      </c>
      <c r="R577" s="8" t="s">
        <v>1808</v>
      </c>
      <c r="S577" s="6"/>
    </row>
    <row r="578" spans="1:19" ht="25.5" x14ac:dyDescent="0.25">
      <c r="A578" s="5" t="s">
        <v>3327</v>
      </c>
      <c r="B578" s="5">
        <v>577</v>
      </c>
      <c r="C578" s="6" t="s">
        <v>1830</v>
      </c>
      <c r="D578" s="6" t="s">
        <v>1247</v>
      </c>
      <c r="E578" s="6">
        <v>1</v>
      </c>
      <c r="F578" s="6" t="s">
        <v>1248</v>
      </c>
      <c r="G578" s="6">
        <v>7</v>
      </c>
      <c r="H578" s="6" t="s">
        <v>33</v>
      </c>
      <c r="I578" s="6" t="s">
        <v>1268</v>
      </c>
      <c r="J578" s="6" t="s">
        <v>1269</v>
      </c>
      <c r="K578" s="6" t="s">
        <v>18</v>
      </c>
      <c r="L578" s="6">
        <v>12971981</v>
      </c>
      <c r="M578" s="6" t="s">
        <v>3866</v>
      </c>
      <c r="N578" s="6" t="s">
        <v>1267</v>
      </c>
      <c r="O578" s="6">
        <v>5</v>
      </c>
      <c r="P578" s="7">
        <v>31835</v>
      </c>
      <c r="Q578" s="6" t="s">
        <v>22</v>
      </c>
      <c r="R578" s="8" t="s">
        <v>1808</v>
      </c>
      <c r="S578" s="6"/>
    </row>
    <row r="579" spans="1:19" ht="25.5" x14ac:dyDescent="0.25">
      <c r="A579" s="5" t="s">
        <v>3327</v>
      </c>
      <c r="B579" s="5">
        <v>578</v>
      </c>
      <c r="C579" s="6" t="s">
        <v>1875</v>
      </c>
      <c r="D579" s="6" t="s">
        <v>1247</v>
      </c>
      <c r="E579" s="6">
        <v>1</v>
      </c>
      <c r="F579" s="6" t="s">
        <v>1248</v>
      </c>
      <c r="G579" s="6">
        <v>7</v>
      </c>
      <c r="H579" s="6" t="s">
        <v>33</v>
      </c>
      <c r="I579" s="6" t="s">
        <v>1263</v>
      </c>
      <c r="J579" s="6" t="s">
        <v>1264</v>
      </c>
      <c r="K579" s="6" t="s">
        <v>18</v>
      </c>
      <c r="L579" s="6">
        <v>30732880</v>
      </c>
      <c r="M579" s="6" t="s">
        <v>3866</v>
      </c>
      <c r="N579" s="6" t="s">
        <v>3871</v>
      </c>
      <c r="O579" s="6">
        <v>3</v>
      </c>
      <c r="P579" s="7">
        <v>32317</v>
      </c>
      <c r="Q579" s="6" t="s">
        <v>22</v>
      </c>
      <c r="R579" s="8" t="s">
        <v>1808</v>
      </c>
      <c r="S579" s="6"/>
    </row>
    <row r="580" spans="1:19" ht="25.5" x14ac:dyDescent="0.25">
      <c r="A580" s="5" t="s">
        <v>3327</v>
      </c>
      <c r="B580" s="5">
        <v>579</v>
      </c>
      <c r="C580" s="6" t="s">
        <v>1839</v>
      </c>
      <c r="D580" s="6" t="s">
        <v>1247</v>
      </c>
      <c r="E580" s="6">
        <v>1</v>
      </c>
      <c r="F580" s="6" t="s">
        <v>1248</v>
      </c>
      <c r="G580" s="6">
        <v>7</v>
      </c>
      <c r="H580" s="6" t="s">
        <v>33</v>
      </c>
      <c r="I580" s="6" t="s">
        <v>1270</v>
      </c>
      <c r="J580" s="6" t="s">
        <v>1271</v>
      </c>
      <c r="K580" s="6" t="s">
        <v>18</v>
      </c>
      <c r="L580" s="6">
        <v>12999110</v>
      </c>
      <c r="M580" s="6" t="s">
        <v>1281</v>
      </c>
      <c r="N580" s="6" t="s">
        <v>1267</v>
      </c>
      <c r="O580" s="6">
        <v>9</v>
      </c>
      <c r="P580" s="7">
        <v>33592</v>
      </c>
      <c r="Q580" s="6" t="s">
        <v>22</v>
      </c>
      <c r="R580" s="8" t="s">
        <v>1808</v>
      </c>
      <c r="S580" s="6"/>
    </row>
    <row r="581" spans="1:19" ht="25.5" x14ac:dyDescent="0.25">
      <c r="A581" s="5" t="s">
        <v>3327</v>
      </c>
      <c r="B581" s="5">
        <v>580</v>
      </c>
      <c r="C581" s="6" t="s">
        <v>1877</v>
      </c>
      <c r="D581" s="6" t="s">
        <v>1247</v>
      </c>
      <c r="E581" s="6">
        <v>1</v>
      </c>
      <c r="F581" s="6" t="s">
        <v>1248</v>
      </c>
      <c r="G581" s="6">
        <v>7</v>
      </c>
      <c r="H581" s="6" t="s">
        <v>33</v>
      </c>
      <c r="I581" s="6" t="s">
        <v>1272</v>
      </c>
      <c r="J581" s="6" t="s">
        <v>1273</v>
      </c>
      <c r="K581" s="6" t="s">
        <v>18</v>
      </c>
      <c r="L581" s="6">
        <v>30738848</v>
      </c>
      <c r="M581" s="6" t="s">
        <v>3866</v>
      </c>
      <c r="N581" s="6" t="s">
        <v>1267</v>
      </c>
      <c r="O581" s="6">
        <v>3</v>
      </c>
      <c r="P581" s="7">
        <v>32689</v>
      </c>
      <c r="Q581" s="6" t="s">
        <v>22</v>
      </c>
      <c r="R581" s="8" t="s">
        <v>1808</v>
      </c>
      <c r="S581" s="6"/>
    </row>
    <row r="582" spans="1:19" ht="25.5" x14ac:dyDescent="0.25">
      <c r="A582" s="5" t="s">
        <v>3327</v>
      </c>
      <c r="B582" s="5">
        <v>581</v>
      </c>
      <c r="C582" s="6" t="s">
        <v>1869</v>
      </c>
      <c r="D582" s="6" t="s">
        <v>1247</v>
      </c>
      <c r="E582" s="6">
        <v>1</v>
      </c>
      <c r="F582" s="6" t="s">
        <v>1248</v>
      </c>
      <c r="G582" s="6">
        <v>7</v>
      </c>
      <c r="H582" s="6" t="s">
        <v>33</v>
      </c>
      <c r="I582" s="6" t="s">
        <v>1274</v>
      </c>
      <c r="J582" s="6" t="s">
        <v>1275</v>
      </c>
      <c r="K582" s="6" t="s">
        <v>18</v>
      </c>
      <c r="L582" s="6">
        <v>30719207</v>
      </c>
      <c r="M582" s="6" t="s">
        <v>1281</v>
      </c>
      <c r="N582" s="6" t="s">
        <v>1267</v>
      </c>
      <c r="O582" s="6">
        <v>6</v>
      </c>
      <c r="P582" s="7">
        <v>33053</v>
      </c>
      <c r="Q582" s="6" t="s">
        <v>22</v>
      </c>
      <c r="R582" s="8" t="s">
        <v>1808</v>
      </c>
      <c r="S582" s="6"/>
    </row>
    <row r="583" spans="1:19" ht="25.5" x14ac:dyDescent="0.25">
      <c r="A583" s="5" t="s">
        <v>3327</v>
      </c>
      <c r="B583" s="5">
        <v>582</v>
      </c>
      <c r="C583" s="6" t="s">
        <v>1878</v>
      </c>
      <c r="D583" s="6" t="s">
        <v>1247</v>
      </c>
      <c r="E583" s="6">
        <v>1</v>
      </c>
      <c r="F583" s="6" t="s">
        <v>1248</v>
      </c>
      <c r="G583" s="6">
        <v>7</v>
      </c>
      <c r="H583" s="6" t="s">
        <v>33</v>
      </c>
      <c r="I583" s="6" t="s">
        <v>1277</v>
      </c>
      <c r="J583" s="6" t="s">
        <v>1278</v>
      </c>
      <c r="K583" s="6" t="s">
        <v>18</v>
      </c>
      <c r="L583" s="6">
        <v>30740435</v>
      </c>
      <c r="M583" s="6" t="s">
        <v>3866</v>
      </c>
      <c r="N583" s="6" t="s">
        <v>1267</v>
      </c>
      <c r="O583" s="6">
        <v>3</v>
      </c>
      <c r="P583" s="7">
        <v>29036</v>
      </c>
      <c r="Q583" s="6" t="s">
        <v>22</v>
      </c>
      <c r="R583" s="8" t="s">
        <v>1808</v>
      </c>
      <c r="S583" s="6"/>
    </row>
    <row r="584" spans="1:19" ht="25.5" x14ac:dyDescent="0.25">
      <c r="A584" s="5" t="s">
        <v>3327</v>
      </c>
      <c r="B584" s="5">
        <v>583</v>
      </c>
      <c r="C584" s="6" t="s">
        <v>1833</v>
      </c>
      <c r="D584" s="6" t="s">
        <v>1247</v>
      </c>
      <c r="E584" s="6">
        <v>1</v>
      </c>
      <c r="F584" s="6" t="s">
        <v>1248</v>
      </c>
      <c r="G584" s="6">
        <v>7</v>
      </c>
      <c r="H584" s="6" t="s">
        <v>33</v>
      </c>
      <c r="I584" s="6" t="s">
        <v>1279</v>
      </c>
      <c r="J584" s="6" t="s">
        <v>1280</v>
      </c>
      <c r="K584" s="6" t="s">
        <v>18</v>
      </c>
      <c r="L584" s="6">
        <v>12978236</v>
      </c>
      <c r="M584" s="6" t="s">
        <v>1281</v>
      </c>
      <c r="N584" s="6" t="s">
        <v>3864</v>
      </c>
      <c r="O584" s="6">
        <v>5</v>
      </c>
      <c r="P584" s="7">
        <v>31835</v>
      </c>
      <c r="Q584" s="6" t="s">
        <v>22</v>
      </c>
      <c r="R584" s="8" t="s">
        <v>1808</v>
      </c>
      <c r="S584" s="6"/>
    </row>
    <row r="585" spans="1:19" ht="25.5" x14ac:dyDescent="0.25">
      <c r="A585" s="5" t="s">
        <v>3872</v>
      </c>
      <c r="B585" s="5">
        <v>584</v>
      </c>
      <c r="C585" s="6" t="s">
        <v>2192</v>
      </c>
      <c r="D585" s="6" t="s">
        <v>3328</v>
      </c>
      <c r="E585" s="6">
        <v>13</v>
      </c>
      <c r="F585" s="6" t="s">
        <v>160</v>
      </c>
      <c r="G585" s="6">
        <v>392</v>
      </c>
      <c r="H585" s="6" t="s">
        <v>161</v>
      </c>
      <c r="I585" s="6" t="s">
        <v>3873</v>
      </c>
      <c r="J585" s="6" t="s">
        <v>3874</v>
      </c>
      <c r="K585" s="6" t="s">
        <v>3331</v>
      </c>
      <c r="L585" s="6">
        <v>71385773</v>
      </c>
      <c r="M585" s="6" t="s">
        <v>79</v>
      </c>
      <c r="N585" s="6" t="s">
        <v>34</v>
      </c>
      <c r="O585" s="6">
        <v>186</v>
      </c>
      <c r="P585" s="6" t="s">
        <v>162</v>
      </c>
      <c r="Q585" s="6" t="s">
        <v>3332</v>
      </c>
      <c r="R585" s="8" t="s">
        <v>1808</v>
      </c>
      <c r="S585" s="6"/>
    </row>
    <row r="586" spans="1:19" ht="25.5" x14ac:dyDescent="0.25">
      <c r="A586" s="5" t="s">
        <v>3872</v>
      </c>
      <c r="B586" s="5">
        <v>585</v>
      </c>
      <c r="C586" s="6" t="s">
        <v>2193</v>
      </c>
      <c r="D586" s="6" t="s">
        <v>3328</v>
      </c>
      <c r="E586" s="6">
        <v>28</v>
      </c>
      <c r="F586" s="6" t="s">
        <v>163</v>
      </c>
      <c r="G586" s="6">
        <v>798</v>
      </c>
      <c r="H586" s="6" t="s">
        <v>164</v>
      </c>
      <c r="I586" s="6" t="s">
        <v>3875</v>
      </c>
      <c r="J586" s="6" t="s">
        <v>3733</v>
      </c>
      <c r="K586" s="6" t="s">
        <v>3331</v>
      </c>
      <c r="L586" s="6">
        <v>43434692</v>
      </c>
      <c r="M586" s="6" t="s">
        <v>79</v>
      </c>
      <c r="N586" s="6" t="s">
        <v>88</v>
      </c>
      <c r="O586" s="6">
        <v>138</v>
      </c>
      <c r="P586" s="6" t="s">
        <v>154</v>
      </c>
      <c r="Q586" s="6" t="s">
        <v>3332</v>
      </c>
      <c r="R586" s="8" t="s">
        <v>1808</v>
      </c>
      <c r="S586" s="6"/>
    </row>
    <row r="587" spans="1:19" ht="25.5" x14ac:dyDescent="0.25">
      <c r="A587" s="5" t="s">
        <v>3872</v>
      </c>
      <c r="B587" s="5">
        <v>586</v>
      </c>
      <c r="C587" s="6" t="s">
        <v>2194</v>
      </c>
      <c r="D587" s="6" t="s">
        <v>3328</v>
      </c>
      <c r="E587" s="6">
        <v>53</v>
      </c>
      <c r="F587" s="6" t="s">
        <v>165</v>
      </c>
      <c r="G587" s="6">
        <v>1407</v>
      </c>
      <c r="H587" s="6" t="s">
        <v>166</v>
      </c>
      <c r="I587" s="6" t="s">
        <v>3876</v>
      </c>
      <c r="J587" s="6" t="s">
        <v>3767</v>
      </c>
      <c r="K587" s="6" t="s">
        <v>3331</v>
      </c>
      <c r="L587" s="6">
        <v>43500429</v>
      </c>
      <c r="M587" s="6" t="s">
        <v>79</v>
      </c>
      <c r="N587" s="6" t="s">
        <v>88</v>
      </c>
      <c r="O587" s="6">
        <v>140</v>
      </c>
      <c r="P587" s="6" t="s">
        <v>167</v>
      </c>
      <c r="Q587" s="6" t="s">
        <v>3332</v>
      </c>
      <c r="R587" s="8" t="s">
        <v>1808</v>
      </c>
      <c r="S587" s="6"/>
    </row>
    <row r="588" spans="1:19" ht="25.5" x14ac:dyDescent="0.25">
      <c r="A588" s="5" t="s">
        <v>3872</v>
      </c>
      <c r="B588" s="5">
        <v>587</v>
      </c>
      <c r="C588" s="6" t="s">
        <v>2195</v>
      </c>
      <c r="D588" s="6" t="s">
        <v>3328</v>
      </c>
      <c r="E588" s="6">
        <v>53</v>
      </c>
      <c r="F588" s="6" t="s">
        <v>165</v>
      </c>
      <c r="G588" s="6">
        <v>1407</v>
      </c>
      <c r="H588" s="6" t="s">
        <v>166</v>
      </c>
      <c r="I588" s="6" t="s">
        <v>3877</v>
      </c>
      <c r="J588" s="6" t="s">
        <v>3878</v>
      </c>
      <c r="K588" s="6" t="s">
        <v>3331</v>
      </c>
      <c r="L588" s="6">
        <v>43670836</v>
      </c>
      <c r="M588" s="6" t="s">
        <v>79</v>
      </c>
      <c r="N588" s="6" t="s">
        <v>88</v>
      </c>
      <c r="O588" s="6">
        <v>142</v>
      </c>
      <c r="P588" s="6" t="s">
        <v>168</v>
      </c>
      <c r="Q588" s="6" t="s">
        <v>3332</v>
      </c>
      <c r="R588" s="8" t="s">
        <v>1808</v>
      </c>
      <c r="S588" s="6"/>
    </row>
    <row r="589" spans="1:19" ht="25.5" x14ac:dyDescent="0.25">
      <c r="A589" s="5" t="s">
        <v>3872</v>
      </c>
      <c r="B589" s="5">
        <v>588</v>
      </c>
      <c r="C589" s="6" t="s">
        <v>2197</v>
      </c>
      <c r="D589" s="6" t="s">
        <v>3328</v>
      </c>
      <c r="E589" s="6">
        <v>91</v>
      </c>
      <c r="F589" s="6" t="s">
        <v>174</v>
      </c>
      <c r="G589" s="6">
        <v>1964</v>
      </c>
      <c r="H589" s="6" t="s">
        <v>175</v>
      </c>
      <c r="I589" s="6" t="s">
        <v>3879</v>
      </c>
      <c r="J589" s="6" t="s">
        <v>3880</v>
      </c>
      <c r="K589" s="6" t="s">
        <v>3331</v>
      </c>
      <c r="L589" s="6">
        <v>98638357</v>
      </c>
      <c r="M589" s="6" t="s">
        <v>79</v>
      </c>
      <c r="N589" s="6" t="s">
        <v>88</v>
      </c>
      <c r="O589" s="6">
        <v>183</v>
      </c>
      <c r="P589" s="6" t="s">
        <v>176</v>
      </c>
      <c r="Q589" s="6" t="s">
        <v>3332</v>
      </c>
      <c r="R589" s="8" t="s">
        <v>1808</v>
      </c>
      <c r="S589" s="6"/>
    </row>
    <row r="590" spans="1:19" ht="25.5" x14ac:dyDescent="0.25">
      <c r="A590" s="5" t="s">
        <v>3872</v>
      </c>
      <c r="B590" s="5">
        <v>589</v>
      </c>
      <c r="C590" s="6" t="s">
        <v>2198</v>
      </c>
      <c r="D590" s="6" t="s">
        <v>3328</v>
      </c>
      <c r="E590" s="6">
        <v>95</v>
      </c>
      <c r="F590" s="6" t="s">
        <v>175</v>
      </c>
      <c r="G590" s="6">
        <v>2017</v>
      </c>
      <c r="H590" s="6" t="s">
        <v>177</v>
      </c>
      <c r="I590" s="6" t="s">
        <v>3881</v>
      </c>
      <c r="J590" s="6" t="s">
        <v>3882</v>
      </c>
      <c r="K590" s="6" t="s">
        <v>3331</v>
      </c>
      <c r="L590" s="6">
        <v>43867000</v>
      </c>
      <c r="M590" s="6" t="s">
        <v>178</v>
      </c>
      <c r="N590" s="6" t="s">
        <v>88</v>
      </c>
      <c r="O590" s="6">
        <v>183</v>
      </c>
      <c r="P590" s="6" t="s">
        <v>176</v>
      </c>
      <c r="Q590" s="6" t="s">
        <v>3332</v>
      </c>
      <c r="R590" s="8" t="s">
        <v>1808</v>
      </c>
      <c r="S590" s="6"/>
    </row>
    <row r="591" spans="1:19" ht="25.5" x14ac:dyDescent="0.25">
      <c r="A591" s="5" t="s">
        <v>3872</v>
      </c>
      <c r="B591" s="5">
        <v>590</v>
      </c>
      <c r="C591" s="6" t="s">
        <v>2300</v>
      </c>
      <c r="D591" s="6" t="s">
        <v>3328</v>
      </c>
      <c r="E591" s="6">
        <v>13</v>
      </c>
      <c r="F591" s="6" t="s">
        <v>394</v>
      </c>
      <c r="G591" s="6">
        <v>573</v>
      </c>
      <c r="H591" s="6" t="s">
        <v>395</v>
      </c>
      <c r="I591" s="6" t="s">
        <v>3883</v>
      </c>
      <c r="J591" s="6" t="s">
        <v>3884</v>
      </c>
      <c r="K591" s="6" t="s">
        <v>3331</v>
      </c>
      <c r="L591" s="6">
        <v>98563551</v>
      </c>
      <c r="M591" s="6" t="s">
        <v>396</v>
      </c>
      <c r="N591" s="6" t="s">
        <v>397</v>
      </c>
      <c r="O591" s="6">
        <v>235</v>
      </c>
      <c r="P591" s="6" t="s">
        <v>398</v>
      </c>
      <c r="Q591" s="6" t="s">
        <v>3332</v>
      </c>
      <c r="R591" s="8" t="s">
        <v>1808</v>
      </c>
      <c r="S591" s="6"/>
    </row>
    <row r="592" spans="1:19" ht="25.5" x14ac:dyDescent="0.25">
      <c r="A592" s="5" t="s">
        <v>3872</v>
      </c>
      <c r="B592" s="5">
        <v>591</v>
      </c>
      <c r="C592" s="6" t="s">
        <v>2328</v>
      </c>
      <c r="D592" s="6" t="s">
        <v>3885</v>
      </c>
      <c r="E592" s="6">
        <v>2246</v>
      </c>
      <c r="F592" s="6" t="s">
        <v>597</v>
      </c>
      <c r="G592" s="6">
        <v>951</v>
      </c>
      <c r="H592" s="6" t="s">
        <v>111</v>
      </c>
      <c r="I592" s="6" t="s">
        <v>3886</v>
      </c>
      <c r="J592" s="6" t="s">
        <v>3887</v>
      </c>
      <c r="K592" s="6" t="s">
        <v>3331</v>
      </c>
      <c r="L592" s="6">
        <v>72140453</v>
      </c>
      <c r="M592" s="6" t="s">
        <v>598</v>
      </c>
      <c r="N592" s="6" t="s">
        <v>599</v>
      </c>
      <c r="O592" s="6" t="s">
        <v>21</v>
      </c>
      <c r="P592" s="6" t="s">
        <v>21</v>
      </c>
      <c r="Q592" s="6" t="s">
        <v>3332</v>
      </c>
      <c r="R592" s="8" t="s">
        <v>1808</v>
      </c>
      <c r="S592" s="6"/>
    </row>
    <row r="593" spans="1:19" ht="25.5" x14ac:dyDescent="0.25">
      <c r="A593" s="5" t="s">
        <v>3872</v>
      </c>
      <c r="B593" s="5">
        <v>592</v>
      </c>
      <c r="C593" s="6" t="s">
        <v>2371</v>
      </c>
      <c r="D593" s="6" t="s">
        <v>3888</v>
      </c>
      <c r="E593" s="6">
        <v>2802</v>
      </c>
      <c r="F593" s="6" t="s">
        <v>860</v>
      </c>
      <c r="G593" s="6">
        <v>10</v>
      </c>
      <c r="H593" s="6" t="s">
        <v>861</v>
      </c>
      <c r="I593" s="6" t="s">
        <v>3889</v>
      </c>
      <c r="J593" s="6" t="s">
        <v>3890</v>
      </c>
      <c r="K593" s="6" t="s">
        <v>3331</v>
      </c>
      <c r="L593" s="6">
        <v>34535108</v>
      </c>
      <c r="M593" s="6" t="s">
        <v>186</v>
      </c>
      <c r="N593" s="6" t="s">
        <v>862</v>
      </c>
      <c r="O593" s="6" t="s">
        <v>21</v>
      </c>
      <c r="P593" s="6" t="s">
        <v>21</v>
      </c>
      <c r="Q593" s="6" t="s">
        <v>3332</v>
      </c>
      <c r="R593" s="8" t="s">
        <v>1808</v>
      </c>
      <c r="S593" s="6"/>
    </row>
    <row r="594" spans="1:19" ht="25.5" x14ac:dyDescent="0.25">
      <c r="A594" s="5" t="s">
        <v>3872</v>
      </c>
      <c r="B594" s="5">
        <v>593</v>
      </c>
      <c r="C594" s="6" t="s">
        <v>2372</v>
      </c>
      <c r="D594" s="6" t="s">
        <v>3888</v>
      </c>
      <c r="E594" s="6">
        <v>2802</v>
      </c>
      <c r="F594" s="6" t="s">
        <v>860</v>
      </c>
      <c r="G594" s="6">
        <v>10</v>
      </c>
      <c r="H594" s="6" t="s">
        <v>861</v>
      </c>
      <c r="I594" s="6" t="s">
        <v>3891</v>
      </c>
      <c r="J594" s="6" t="s">
        <v>3409</v>
      </c>
      <c r="K594" s="6" t="s">
        <v>3331</v>
      </c>
      <c r="L594" s="6">
        <v>34531221</v>
      </c>
      <c r="M594" s="6" t="s">
        <v>186</v>
      </c>
      <c r="N594" s="6" t="s">
        <v>862</v>
      </c>
      <c r="O594" s="6" t="s">
        <v>21</v>
      </c>
      <c r="P594" s="6" t="s">
        <v>21</v>
      </c>
      <c r="Q594" s="6" t="s">
        <v>3332</v>
      </c>
      <c r="R594" s="8" t="s">
        <v>1808</v>
      </c>
      <c r="S594" s="6"/>
    </row>
    <row r="595" spans="1:19" ht="25.5" x14ac:dyDescent="0.25">
      <c r="A595" s="5" t="s">
        <v>3872</v>
      </c>
      <c r="B595" s="5">
        <v>594</v>
      </c>
      <c r="C595" s="6" t="s">
        <v>2373</v>
      </c>
      <c r="D595" s="6" t="s">
        <v>3888</v>
      </c>
      <c r="E595" s="6">
        <v>2802</v>
      </c>
      <c r="F595" s="6" t="s">
        <v>860</v>
      </c>
      <c r="G595" s="6">
        <v>10</v>
      </c>
      <c r="H595" s="6" t="s">
        <v>861</v>
      </c>
      <c r="I595" s="6" t="s">
        <v>3892</v>
      </c>
      <c r="J595" s="6" t="s">
        <v>3893</v>
      </c>
      <c r="K595" s="6" t="s">
        <v>3331</v>
      </c>
      <c r="L595" s="6">
        <v>10528757</v>
      </c>
      <c r="M595" s="6" t="s">
        <v>26</v>
      </c>
      <c r="N595" s="6" t="s">
        <v>862</v>
      </c>
      <c r="O595" s="6" t="s">
        <v>21</v>
      </c>
      <c r="P595" s="6" t="s">
        <v>21</v>
      </c>
      <c r="Q595" s="6" t="s">
        <v>3332</v>
      </c>
      <c r="R595" s="8" t="s">
        <v>1808</v>
      </c>
      <c r="S595" s="6"/>
    </row>
    <row r="596" spans="1:19" ht="25.5" x14ac:dyDescent="0.25">
      <c r="A596" s="5" t="s">
        <v>3872</v>
      </c>
      <c r="B596" s="5">
        <v>595</v>
      </c>
      <c r="C596" s="6" t="s">
        <v>2374</v>
      </c>
      <c r="D596" s="6" t="s">
        <v>3888</v>
      </c>
      <c r="E596" s="6">
        <v>2802</v>
      </c>
      <c r="F596" s="6" t="s">
        <v>860</v>
      </c>
      <c r="G596" s="6">
        <v>10</v>
      </c>
      <c r="H596" s="6" t="s">
        <v>861</v>
      </c>
      <c r="I596" s="6" t="s">
        <v>3894</v>
      </c>
      <c r="J596" s="6" t="s">
        <v>3895</v>
      </c>
      <c r="K596" s="6" t="s">
        <v>3331</v>
      </c>
      <c r="L596" s="6">
        <v>34524574</v>
      </c>
      <c r="M596" s="6" t="s">
        <v>186</v>
      </c>
      <c r="N596" s="6" t="s">
        <v>862</v>
      </c>
      <c r="O596" s="6">
        <v>1</v>
      </c>
      <c r="P596" s="6" t="s">
        <v>21</v>
      </c>
      <c r="Q596" s="6" t="s">
        <v>3332</v>
      </c>
      <c r="R596" s="8" t="s">
        <v>1808</v>
      </c>
      <c r="S596" s="6"/>
    </row>
    <row r="597" spans="1:19" ht="25.5" x14ac:dyDescent="0.25">
      <c r="A597" s="5" t="s">
        <v>3872</v>
      </c>
      <c r="B597" s="5">
        <v>596</v>
      </c>
      <c r="C597" s="6" t="s">
        <v>2375</v>
      </c>
      <c r="D597" s="6" t="s">
        <v>3888</v>
      </c>
      <c r="E597" s="6">
        <v>2802</v>
      </c>
      <c r="F597" s="6" t="s">
        <v>860</v>
      </c>
      <c r="G597" s="6">
        <v>10</v>
      </c>
      <c r="H597" s="6" t="s">
        <v>861</v>
      </c>
      <c r="I597" s="6" t="s">
        <v>3896</v>
      </c>
      <c r="J597" s="6" t="s">
        <v>3897</v>
      </c>
      <c r="K597" s="6" t="s">
        <v>3331</v>
      </c>
      <c r="L597" s="6">
        <v>34526656</v>
      </c>
      <c r="M597" s="6" t="s">
        <v>186</v>
      </c>
      <c r="N597" s="6" t="s">
        <v>862</v>
      </c>
      <c r="O597" s="6" t="s">
        <v>21</v>
      </c>
      <c r="P597" s="6" t="s">
        <v>21</v>
      </c>
      <c r="Q597" s="6" t="s">
        <v>3332</v>
      </c>
      <c r="R597" s="8" t="s">
        <v>1808</v>
      </c>
      <c r="S597" s="6"/>
    </row>
    <row r="598" spans="1:19" ht="25.5" x14ac:dyDescent="0.25">
      <c r="A598" s="5" t="s">
        <v>3872</v>
      </c>
      <c r="B598" s="5">
        <v>597</v>
      </c>
      <c r="C598" s="6" t="s">
        <v>2376</v>
      </c>
      <c r="D598" s="6" t="s">
        <v>3888</v>
      </c>
      <c r="E598" s="6">
        <v>2802</v>
      </c>
      <c r="F598" s="6" t="s">
        <v>860</v>
      </c>
      <c r="G598" s="6">
        <v>10</v>
      </c>
      <c r="H598" s="6" t="s">
        <v>861</v>
      </c>
      <c r="I598" s="6" t="s">
        <v>3898</v>
      </c>
      <c r="J598" s="6" t="s">
        <v>3899</v>
      </c>
      <c r="K598" s="6" t="s">
        <v>3331</v>
      </c>
      <c r="L598" s="6">
        <v>34523323</v>
      </c>
      <c r="M598" s="6" t="s">
        <v>186</v>
      </c>
      <c r="N598" s="6" t="s">
        <v>862</v>
      </c>
      <c r="O598" s="6" t="s">
        <v>21</v>
      </c>
      <c r="P598" s="6" t="s">
        <v>21</v>
      </c>
      <c r="Q598" s="6" t="s">
        <v>3332</v>
      </c>
      <c r="R598" s="8" t="s">
        <v>1808</v>
      </c>
      <c r="S598" s="6"/>
    </row>
    <row r="599" spans="1:19" ht="25.5" x14ac:dyDescent="0.25">
      <c r="A599" s="5" t="s">
        <v>3872</v>
      </c>
      <c r="B599" s="5">
        <v>598</v>
      </c>
      <c r="C599" s="6" t="s">
        <v>2377</v>
      </c>
      <c r="D599" s="6" t="s">
        <v>3888</v>
      </c>
      <c r="E599" s="6">
        <v>2802</v>
      </c>
      <c r="F599" s="6" t="s">
        <v>860</v>
      </c>
      <c r="G599" s="6">
        <v>10</v>
      </c>
      <c r="H599" s="6" t="s">
        <v>861</v>
      </c>
      <c r="I599" s="6" t="s">
        <v>3900</v>
      </c>
      <c r="J599" s="6" t="s">
        <v>3901</v>
      </c>
      <c r="K599" s="6" t="s">
        <v>3331</v>
      </c>
      <c r="L599" s="6">
        <v>34526673</v>
      </c>
      <c r="M599" s="6" t="s">
        <v>26</v>
      </c>
      <c r="N599" s="6" t="s">
        <v>862</v>
      </c>
      <c r="O599" s="6" t="s">
        <v>21</v>
      </c>
      <c r="P599" s="6" t="s">
        <v>21</v>
      </c>
      <c r="Q599" s="6" t="s">
        <v>3332</v>
      </c>
      <c r="R599" s="8" t="s">
        <v>1808</v>
      </c>
      <c r="S599" s="6"/>
    </row>
    <row r="600" spans="1:19" ht="25.5" x14ac:dyDescent="0.25">
      <c r="A600" s="5" t="s">
        <v>3872</v>
      </c>
      <c r="B600" s="5">
        <v>599</v>
      </c>
      <c r="C600" s="6" t="s">
        <v>2378</v>
      </c>
      <c r="D600" s="6" t="s">
        <v>3888</v>
      </c>
      <c r="E600" s="6">
        <v>2802</v>
      </c>
      <c r="F600" s="6" t="s">
        <v>860</v>
      </c>
      <c r="G600" s="6">
        <v>10</v>
      </c>
      <c r="H600" s="6" t="s">
        <v>861</v>
      </c>
      <c r="I600" s="6" t="s">
        <v>3902</v>
      </c>
      <c r="J600" s="6" t="s">
        <v>3476</v>
      </c>
      <c r="K600" s="6" t="s">
        <v>3331</v>
      </c>
      <c r="L600" s="6">
        <v>34525474</v>
      </c>
      <c r="M600" s="6" t="s">
        <v>186</v>
      </c>
      <c r="N600" s="6" t="s">
        <v>862</v>
      </c>
      <c r="O600" s="6" t="s">
        <v>21</v>
      </c>
      <c r="P600" s="6" t="s">
        <v>21</v>
      </c>
      <c r="Q600" s="6" t="s">
        <v>3332</v>
      </c>
      <c r="R600" s="8" t="s">
        <v>1808</v>
      </c>
      <c r="S600" s="6"/>
    </row>
    <row r="601" spans="1:19" ht="25.5" x14ac:dyDescent="0.25">
      <c r="A601" s="5" t="s">
        <v>3872</v>
      </c>
      <c r="B601" s="5">
        <v>600</v>
      </c>
      <c r="C601" s="6" t="s">
        <v>2379</v>
      </c>
      <c r="D601" s="6" t="s">
        <v>3888</v>
      </c>
      <c r="E601" s="6">
        <v>2802</v>
      </c>
      <c r="F601" s="6" t="s">
        <v>860</v>
      </c>
      <c r="G601" s="6">
        <v>10</v>
      </c>
      <c r="H601" s="6" t="s">
        <v>861</v>
      </c>
      <c r="I601" s="6" t="s">
        <v>3903</v>
      </c>
      <c r="J601" s="6" t="s">
        <v>3904</v>
      </c>
      <c r="K601" s="6" t="s">
        <v>3331</v>
      </c>
      <c r="L601" s="6">
        <v>25271711</v>
      </c>
      <c r="M601" s="6" t="s">
        <v>26</v>
      </c>
      <c r="N601" s="6" t="s">
        <v>862</v>
      </c>
      <c r="O601" s="6" t="s">
        <v>21</v>
      </c>
      <c r="P601" s="6" t="s">
        <v>21</v>
      </c>
      <c r="Q601" s="6" t="s">
        <v>3332</v>
      </c>
      <c r="R601" s="8" t="s">
        <v>1808</v>
      </c>
      <c r="S601" s="6"/>
    </row>
    <row r="602" spans="1:19" ht="25.5" x14ac:dyDescent="0.25">
      <c r="A602" s="5" t="s">
        <v>3872</v>
      </c>
      <c r="B602" s="5">
        <v>601</v>
      </c>
      <c r="C602" s="6" t="s">
        <v>2380</v>
      </c>
      <c r="D602" s="6" t="s">
        <v>3888</v>
      </c>
      <c r="E602" s="6">
        <v>2802</v>
      </c>
      <c r="F602" s="6" t="s">
        <v>860</v>
      </c>
      <c r="G602" s="6">
        <v>10</v>
      </c>
      <c r="H602" s="6" t="s">
        <v>861</v>
      </c>
      <c r="I602" s="6" t="s">
        <v>3905</v>
      </c>
      <c r="J602" s="6" t="s">
        <v>3906</v>
      </c>
      <c r="K602" s="6" t="s">
        <v>3331</v>
      </c>
      <c r="L602" s="6">
        <v>34529087</v>
      </c>
      <c r="M602" s="6" t="s">
        <v>186</v>
      </c>
      <c r="N602" s="6" t="s">
        <v>862</v>
      </c>
      <c r="O602" s="6" t="s">
        <v>21</v>
      </c>
      <c r="P602" s="6" t="s">
        <v>21</v>
      </c>
      <c r="Q602" s="6" t="s">
        <v>3332</v>
      </c>
      <c r="R602" s="8" t="s">
        <v>1808</v>
      </c>
      <c r="S602" s="6"/>
    </row>
    <row r="603" spans="1:19" ht="25.5" x14ac:dyDescent="0.25">
      <c r="A603" s="5" t="s">
        <v>3872</v>
      </c>
      <c r="B603" s="5">
        <v>602</v>
      </c>
      <c r="C603" s="6" t="s">
        <v>2381</v>
      </c>
      <c r="D603" s="6" t="s">
        <v>3888</v>
      </c>
      <c r="E603" s="6">
        <v>2802</v>
      </c>
      <c r="F603" s="6" t="s">
        <v>860</v>
      </c>
      <c r="G603" s="6">
        <v>10</v>
      </c>
      <c r="H603" s="6" t="s">
        <v>861</v>
      </c>
      <c r="I603" s="6" t="s">
        <v>3907</v>
      </c>
      <c r="J603" s="6" t="s">
        <v>3908</v>
      </c>
      <c r="K603" s="6" t="s">
        <v>3331</v>
      </c>
      <c r="L603" s="6">
        <v>25267920</v>
      </c>
      <c r="M603" s="6" t="s">
        <v>186</v>
      </c>
      <c r="N603" s="6" t="s">
        <v>862</v>
      </c>
      <c r="O603" s="6" t="s">
        <v>21</v>
      </c>
      <c r="P603" s="6" t="s">
        <v>21</v>
      </c>
      <c r="Q603" s="6" t="s">
        <v>3332</v>
      </c>
      <c r="R603" s="8" t="s">
        <v>1808</v>
      </c>
      <c r="S603" s="6"/>
    </row>
    <row r="604" spans="1:19" ht="25.5" x14ac:dyDescent="0.25">
      <c r="A604" s="5" t="s">
        <v>3872</v>
      </c>
      <c r="B604" s="5">
        <v>603</v>
      </c>
      <c r="C604" s="6" t="s">
        <v>2382</v>
      </c>
      <c r="D604" s="6" t="s">
        <v>3888</v>
      </c>
      <c r="E604" s="6">
        <v>2802</v>
      </c>
      <c r="F604" s="6" t="s">
        <v>860</v>
      </c>
      <c r="G604" s="6">
        <v>10</v>
      </c>
      <c r="H604" s="6" t="s">
        <v>861</v>
      </c>
      <c r="I604" s="6" t="s">
        <v>3909</v>
      </c>
      <c r="J604" s="6" t="s">
        <v>3910</v>
      </c>
      <c r="K604" s="6" t="s">
        <v>3331</v>
      </c>
      <c r="L604" s="6">
        <v>34523502</v>
      </c>
      <c r="M604" s="6" t="s">
        <v>26</v>
      </c>
      <c r="N604" s="6" t="s">
        <v>862</v>
      </c>
      <c r="O604" s="6" t="s">
        <v>21</v>
      </c>
      <c r="P604" s="6" t="s">
        <v>21</v>
      </c>
      <c r="Q604" s="6" t="s">
        <v>3332</v>
      </c>
      <c r="R604" s="8" t="s">
        <v>1808</v>
      </c>
      <c r="S604" s="6"/>
    </row>
    <row r="605" spans="1:19" ht="25.5" x14ac:dyDescent="0.25">
      <c r="A605" s="5" t="s">
        <v>3872</v>
      </c>
      <c r="B605" s="5">
        <v>604</v>
      </c>
      <c r="C605" s="6" t="s">
        <v>2383</v>
      </c>
      <c r="D605" s="6" t="s">
        <v>3888</v>
      </c>
      <c r="E605" s="6">
        <v>2802</v>
      </c>
      <c r="F605" s="6" t="s">
        <v>860</v>
      </c>
      <c r="G605" s="6">
        <v>10</v>
      </c>
      <c r="H605" s="6" t="s">
        <v>861</v>
      </c>
      <c r="I605" s="6" t="s">
        <v>3911</v>
      </c>
      <c r="J605" s="6" t="s">
        <v>3912</v>
      </c>
      <c r="K605" s="6" t="s">
        <v>3331</v>
      </c>
      <c r="L605" s="6">
        <v>10525984</v>
      </c>
      <c r="M605" s="6" t="s">
        <v>26</v>
      </c>
      <c r="N605" s="6" t="s">
        <v>862</v>
      </c>
      <c r="O605" s="6" t="s">
        <v>21</v>
      </c>
      <c r="P605" s="6" t="s">
        <v>21</v>
      </c>
      <c r="Q605" s="6" t="s">
        <v>3332</v>
      </c>
      <c r="R605" s="8" t="s">
        <v>1808</v>
      </c>
      <c r="S605" s="6"/>
    </row>
    <row r="606" spans="1:19" ht="25.5" x14ac:dyDescent="0.25">
      <c r="A606" s="5" t="s">
        <v>3872</v>
      </c>
      <c r="B606" s="5">
        <v>605</v>
      </c>
      <c r="C606" s="6" t="s">
        <v>2384</v>
      </c>
      <c r="D606" s="6" t="s">
        <v>3888</v>
      </c>
      <c r="E606" s="6">
        <v>2802</v>
      </c>
      <c r="F606" s="6" t="s">
        <v>860</v>
      </c>
      <c r="G606" s="6">
        <v>10</v>
      </c>
      <c r="H606" s="6" t="s">
        <v>861</v>
      </c>
      <c r="I606" s="6" t="s">
        <v>3913</v>
      </c>
      <c r="J606" s="6" t="s">
        <v>3914</v>
      </c>
      <c r="K606" s="6" t="s">
        <v>3331</v>
      </c>
      <c r="L606" s="6">
        <v>25271614</v>
      </c>
      <c r="M606" s="6" t="s">
        <v>26</v>
      </c>
      <c r="N606" s="6" t="s">
        <v>862</v>
      </c>
      <c r="O606" s="6" t="s">
        <v>21</v>
      </c>
      <c r="P606" s="6" t="s">
        <v>21</v>
      </c>
      <c r="Q606" s="6" t="s">
        <v>3332</v>
      </c>
      <c r="R606" s="8" t="s">
        <v>1808</v>
      </c>
      <c r="S606" s="6"/>
    </row>
    <row r="607" spans="1:19" ht="25.5" x14ac:dyDescent="0.25">
      <c r="A607" s="5" t="s">
        <v>3872</v>
      </c>
      <c r="B607" s="5">
        <v>606</v>
      </c>
      <c r="C607" s="6" t="s">
        <v>2385</v>
      </c>
      <c r="D607" s="6" t="s">
        <v>3888</v>
      </c>
      <c r="E607" s="6">
        <v>2802</v>
      </c>
      <c r="F607" s="6" t="s">
        <v>860</v>
      </c>
      <c r="G607" s="6">
        <v>10</v>
      </c>
      <c r="H607" s="6" t="s">
        <v>861</v>
      </c>
      <c r="I607" s="6" t="s">
        <v>3915</v>
      </c>
      <c r="J607" s="6" t="s">
        <v>3916</v>
      </c>
      <c r="K607" s="6" t="s">
        <v>3331</v>
      </c>
      <c r="L607" s="6">
        <v>34525306</v>
      </c>
      <c r="M607" s="6" t="s">
        <v>186</v>
      </c>
      <c r="N607" s="6" t="s">
        <v>862</v>
      </c>
      <c r="O607" s="6" t="s">
        <v>21</v>
      </c>
      <c r="P607" s="6" t="s">
        <v>21</v>
      </c>
      <c r="Q607" s="6" t="s">
        <v>3332</v>
      </c>
      <c r="R607" s="8" t="s">
        <v>1808</v>
      </c>
      <c r="S607" s="6"/>
    </row>
    <row r="608" spans="1:19" ht="25.5" x14ac:dyDescent="0.25">
      <c r="A608" s="5" t="s">
        <v>3872</v>
      </c>
      <c r="B608" s="5">
        <v>607</v>
      </c>
      <c r="C608" s="6" t="s">
        <v>2386</v>
      </c>
      <c r="D608" s="6" t="s">
        <v>3888</v>
      </c>
      <c r="E608" s="6">
        <v>2808</v>
      </c>
      <c r="F608" s="6" t="s">
        <v>863</v>
      </c>
      <c r="G608" s="6">
        <v>54</v>
      </c>
      <c r="H608" s="6" t="s">
        <v>44</v>
      </c>
      <c r="I608" s="6" t="s">
        <v>3917</v>
      </c>
      <c r="J608" s="6" t="s">
        <v>3918</v>
      </c>
      <c r="K608" s="6" t="s">
        <v>3331</v>
      </c>
      <c r="L608" s="6">
        <v>34523740</v>
      </c>
      <c r="M608" s="6" t="s">
        <v>186</v>
      </c>
      <c r="N608" s="6" t="s">
        <v>862</v>
      </c>
      <c r="O608" s="6" t="s">
        <v>21</v>
      </c>
      <c r="P608" s="6" t="s">
        <v>21</v>
      </c>
      <c r="Q608" s="6" t="s">
        <v>3332</v>
      </c>
      <c r="R608" s="8" t="s">
        <v>1808</v>
      </c>
      <c r="S608" s="6"/>
    </row>
    <row r="609" spans="1:19" ht="25.5" x14ac:dyDescent="0.25">
      <c r="A609" s="5" t="s">
        <v>3872</v>
      </c>
      <c r="B609" s="5">
        <v>608</v>
      </c>
      <c r="C609" s="6" t="s">
        <v>2387</v>
      </c>
      <c r="D609" s="6" t="s">
        <v>3888</v>
      </c>
      <c r="E609" s="6">
        <v>2817</v>
      </c>
      <c r="F609" s="6" t="s">
        <v>864</v>
      </c>
      <c r="G609" s="6">
        <v>137</v>
      </c>
      <c r="H609" s="6" t="s">
        <v>66</v>
      </c>
      <c r="I609" s="6" t="s">
        <v>3919</v>
      </c>
      <c r="J609" s="6" t="s">
        <v>3920</v>
      </c>
      <c r="K609" s="6" t="s">
        <v>3331</v>
      </c>
      <c r="L609" s="6">
        <v>34528466</v>
      </c>
      <c r="M609" s="6" t="s">
        <v>26</v>
      </c>
      <c r="N609" s="6" t="s">
        <v>862</v>
      </c>
      <c r="O609" s="6" t="s">
        <v>21</v>
      </c>
      <c r="P609" s="6" t="s">
        <v>21</v>
      </c>
      <c r="Q609" s="6" t="s">
        <v>3332</v>
      </c>
      <c r="R609" s="8" t="s">
        <v>1808</v>
      </c>
      <c r="S609" s="6"/>
    </row>
    <row r="610" spans="1:19" ht="25.5" x14ac:dyDescent="0.25">
      <c r="A610" s="5" t="s">
        <v>3872</v>
      </c>
      <c r="B610" s="5">
        <v>609</v>
      </c>
      <c r="C610" s="6" t="s">
        <v>2388</v>
      </c>
      <c r="D610" s="6" t="s">
        <v>3888</v>
      </c>
      <c r="E610" s="6">
        <v>2802</v>
      </c>
      <c r="F610" s="6" t="s">
        <v>860</v>
      </c>
      <c r="G610" s="6">
        <v>10</v>
      </c>
      <c r="H610" s="6" t="s">
        <v>861</v>
      </c>
      <c r="I610" s="6" t="s">
        <v>3921</v>
      </c>
      <c r="J610" s="6" t="s">
        <v>3922</v>
      </c>
      <c r="K610" s="6" t="s">
        <v>3331</v>
      </c>
      <c r="L610" s="6">
        <v>34549527</v>
      </c>
      <c r="M610" s="6" t="s">
        <v>79</v>
      </c>
      <c r="N610" s="6" t="s">
        <v>862</v>
      </c>
      <c r="O610" s="6" t="s">
        <v>21</v>
      </c>
      <c r="P610" s="6" t="s">
        <v>21</v>
      </c>
      <c r="Q610" s="6" t="s">
        <v>3332</v>
      </c>
      <c r="R610" s="8" t="s">
        <v>1808</v>
      </c>
      <c r="S610" s="6"/>
    </row>
    <row r="611" spans="1:19" ht="25.5" x14ac:dyDescent="0.25">
      <c r="A611" s="5" t="s">
        <v>3872</v>
      </c>
      <c r="B611" s="5">
        <v>610</v>
      </c>
      <c r="C611" s="6" t="s">
        <v>2389</v>
      </c>
      <c r="D611" s="6" t="s">
        <v>3888</v>
      </c>
      <c r="E611" s="6">
        <v>2802</v>
      </c>
      <c r="F611" s="6" t="s">
        <v>860</v>
      </c>
      <c r="G611" s="6">
        <v>10</v>
      </c>
      <c r="H611" s="6" t="s">
        <v>861</v>
      </c>
      <c r="I611" s="6" t="s">
        <v>3923</v>
      </c>
      <c r="J611" s="6" t="s">
        <v>3924</v>
      </c>
      <c r="K611" s="6" t="s">
        <v>3331</v>
      </c>
      <c r="L611" s="6">
        <v>34550614</v>
      </c>
      <c r="M611" s="6" t="s">
        <v>79</v>
      </c>
      <c r="N611" s="6" t="s">
        <v>862</v>
      </c>
      <c r="O611" s="6" t="s">
        <v>21</v>
      </c>
      <c r="P611" s="6" t="s">
        <v>21</v>
      </c>
      <c r="Q611" s="6" t="s">
        <v>3332</v>
      </c>
      <c r="R611" s="8" t="s">
        <v>1808</v>
      </c>
      <c r="S611" s="6"/>
    </row>
    <row r="612" spans="1:19" ht="25.5" x14ac:dyDescent="0.25">
      <c r="A612" s="5" t="s">
        <v>3872</v>
      </c>
      <c r="B612" s="5">
        <v>611</v>
      </c>
      <c r="C612" s="6" t="s">
        <v>2390</v>
      </c>
      <c r="D612" s="6" t="s">
        <v>3888</v>
      </c>
      <c r="E612" s="6">
        <v>2802</v>
      </c>
      <c r="F612" s="6" t="s">
        <v>860</v>
      </c>
      <c r="G612" s="6">
        <v>10</v>
      </c>
      <c r="H612" s="6" t="s">
        <v>861</v>
      </c>
      <c r="I612" s="6" t="s">
        <v>3925</v>
      </c>
      <c r="J612" s="6" t="s">
        <v>3926</v>
      </c>
      <c r="K612" s="6" t="s">
        <v>3331</v>
      </c>
      <c r="L612" s="6">
        <v>76310651</v>
      </c>
      <c r="M612" s="6" t="s">
        <v>79</v>
      </c>
      <c r="N612" s="6" t="s">
        <v>862</v>
      </c>
      <c r="O612" s="6" t="s">
        <v>21</v>
      </c>
      <c r="P612" s="6" t="s">
        <v>21</v>
      </c>
      <c r="Q612" s="6" t="s">
        <v>3332</v>
      </c>
      <c r="R612" s="8" t="s">
        <v>1808</v>
      </c>
      <c r="S612" s="6"/>
    </row>
    <row r="613" spans="1:19" ht="25.5" x14ac:dyDescent="0.25">
      <c r="A613" s="5" t="s">
        <v>3872</v>
      </c>
      <c r="B613" s="5">
        <v>612</v>
      </c>
      <c r="C613" s="6" t="s">
        <v>2391</v>
      </c>
      <c r="D613" s="6" t="s">
        <v>3888</v>
      </c>
      <c r="E613" s="6">
        <v>2802</v>
      </c>
      <c r="F613" s="6" t="s">
        <v>860</v>
      </c>
      <c r="G613" s="6">
        <v>10</v>
      </c>
      <c r="H613" s="6" t="s">
        <v>861</v>
      </c>
      <c r="I613" s="6" t="s">
        <v>3927</v>
      </c>
      <c r="J613" s="6" t="s">
        <v>3928</v>
      </c>
      <c r="K613" s="6" t="s">
        <v>3331</v>
      </c>
      <c r="L613" s="6">
        <v>34552407</v>
      </c>
      <c r="M613" s="6" t="s">
        <v>79</v>
      </c>
      <c r="N613" s="6" t="s">
        <v>862</v>
      </c>
      <c r="O613" s="6" t="s">
        <v>21</v>
      </c>
      <c r="P613" s="6" t="s">
        <v>21</v>
      </c>
      <c r="Q613" s="6" t="s">
        <v>3332</v>
      </c>
      <c r="R613" s="8" t="s">
        <v>1808</v>
      </c>
      <c r="S613" s="6"/>
    </row>
    <row r="614" spans="1:19" ht="25.5" x14ac:dyDescent="0.25">
      <c r="A614" s="5" t="s">
        <v>3872</v>
      </c>
      <c r="B614" s="5">
        <v>613</v>
      </c>
      <c r="C614" s="6" t="s">
        <v>2392</v>
      </c>
      <c r="D614" s="6" t="s">
        <v>3888</v>
      </c>
      <c r="E614" s="6">
        <v>2802</v>
      </c>
      <c r="F614" s="6" t="s">
        <v>860</v>
      </c>
      <c r="G614" s="6">
        <v>10</v>
      </c>
      <c r="H614" s="6" t="s">
        <v>861</v>
      </c>
      <c r="I614" s="6" t="s">
        <v>3929</v>
      </c>
      <c r="J614" s="6" t="s">
        <v>3930</v>
      </c>
      <c r="K614" s="6" t="s">
        <v>3331</v>
      </c>
      <c r="L614" s="6">
        <v>34543207</v>
      </c>
      <c r="M614" s="6" t="s">
        <v>79</v>
      </c>
      <c r="N614" s="6" t="s">
        <v>862</v>
      </c>
      <c r="O614" s="6" t="s">
        <v>21</v>
      </c>
      <c r="P614" s="6" t="s">
        <v>21</v>
      </c>
      <c r="Q614" s="6" t="s">
        <v>3332</v>
      </c>
      <c r="R614" s="8" t="s">
        <v>1808</v>
      </c>
      <c r="S614" s="6"/>
    </row>
    <row r="615" spans="1:19" ht="25.5" x14ac:dyDescent="0.25">
      <c r="A615" s="5" t="s">
        <v>3872</v>
      </c>
      <c r="B615" s="5">
        <v>614</v>
      </c>
      <c r="C615" s="6" t="s">
        <v>2393</v>
      </c>
      <c r="D615" s="6" t="s">
        <v>3888</v>
      </c>
      <c r="E615" s="6">
        <v>2802</v>
      </c>
      <c r="F615" s="6" t="s">
        <v>860</v>
      </c>
      <c r="G615" s="6">
        <v>10</v>
      </c>
      <c r="H615" s="6" t="s">
        <v>861</v>
      </c>
      <c r="I615" s="6" t="s">
        <v>3931</v>
      </c>
      <c r="J615" s="6" t="s">
        <v>3932</v>
      </c>
      <c r="K615" s="6" t="s">
        <v>3331</v>
      </c>
      <c r="L615" s="6">
        <v>76310389</v>
      </c>
      <c r="M615" s="6" t="s">
        <v>79</v>
      </c>
      <c r="N615" s="6" t="s">
        <v>862</v>
      </c>
      <c r="O615" s="6" t="s">
        <v>21</v>
      </c>
      <c r="P615" s="6" t="s">
        <v>21</v>
      </c>
      <c r="Q615" s="6" t="s">
        <v>3332</v>
      </c>
      <c r="R615" s="8" t="s">
        <v>1808</v>
      </c>
      <c r="S615" s="6"/>
    </row>
    <row r="616" spans="1:19" ht="25.5" x14ac:dyDescent="0.25">
      <c r="A616" s="5" t="s">
        <v>3872</v>
      </c>
      <c r="B616" s="5">
        <v>615</v>
      </c>
      <c r="C616" s="6" t="s">
        <v>2394</v>
      </c>
      <c r="D616" s="6" t="s">
        <v>3888</v>
      </c>
      <c r="E616" s="6">
        <v>2802</v>
      </c>
      <c r="F616" s="6" t="s">
        <v>860</v>
      </c>
      <c r="G616" s="6">
        <v>10</v>
      </c>
      <c r="H616" s="6" t="s">
        <v>861</v>
      </c>
      <c r="I616" s="6" t="s">
        <v>3933</v>
      </c>
      <c r="J616" s="6" t="s">
        <v>3934</v>
      </c>
      <c r="K616" s="6" t="s">
        <v>3331</v>
      </c>
      <c r="L616" s="6">
        <v>34542177</v>
      </c>
      <c r="M616" s="6" t="s">
        <v>79</v>
      </c>
      <c r="N616" s="6" t="s">
        <v>862</v>
      </c>
      <c r="O616" s="6" t="s">
        <v>21</v>
      </c>
      <c r="P616" s="6" t="s">
        <v>21</v>
      </c>
      <c r="Q616" s="6" t="s">
        <v>3332</v>
      </c>
      <c r="R616" s="8" t="s">
        <v>1808</v>
      </c>
      <c r="S616" s="6"/>
    </row>
    <row r="617" spans="1:19" ht="25.5" x14ac:dyDescent="0.25">
      <c r="A617" s="5" t="s">
        <v>3872</v>
      </c>
      <c r="B617" s="5">
        <v>616</v>
      </c>
      <c r="C617" s="6" t="s">
        <v>2395</v>
      </c>
      <c r="D617" s="6" t="s">
        <v>3888</v>
      </c>
      <c r="E617" s="6">
        <v>2802</v>
      </c>
      <c r="F617" s="6" t="s">
        <v>860</v>
      </c>
      <c r="G617" s="6">
        <v>10</v>
      </c>
      <c r="H617" s="6" t="s">
        <v>861</v>
      </c>
      <c r="I617" s="6" t="s">
        <v>3935</v>
      </c>
      <c r="J617" s="6" t="s">
        <v>3431</v>
      </c>
      <c r="K617" s="6" t="s">
        <v>3331</v>
      </c>
      <c r="L617" s="6">
        <v>34552220</v>
      </c>
      <c r="M617" s="6" t="s">
        <v>79</v>
      </c>
      <c r="N617" s="6" t="s">
        <v>862</v>
      </c>
      <c r="O617" s="6" t="s">
        <v>21</v>
      </c>
      <c r="P617" s="6" t="s">
        <v>21</v>
      </c>
      <c r="Q617" s="6" t="s">
        <v>3332</v>
      </c>
      <c r="R617" s="8" t="s">
        <v>1808</v>
      </c>
      <c r="S617" s="6"/>
    </row>
    <row r="618" spans="1:19" ht="25.5" x14ac:dyDescent="0.25">
      <c r="A618" s="5" t="s">
        <v>3872</v>
      </c>
      <c r="B618" s="5">
        <v>617</v>
      </c>
      <c r="C618" s="6" t="s">
        <v>2396</v>
      </c>
      <c r="D618" s="6" t="s">
        <v>3888</v>
      </c>
      <c r="E618" s="6">
        <v>2802</v>
      </c>
      <c r="F618" s="6" t="s">
        <v>860</v>
      </c>
      <c r="G618" s="6">
        <v>10</v>
      </c>
      <c r="H618" s="6" t="s">
        <v>861</v>
      </c>
      <c r="I618" s="6" t="s">
        <v>3936</v>
      </c>
      <c r="J618" s="6" t="s">
        <v>3937</v>
      </c>
      <c r="K618" s="6" t="s">
        <v>3331</v>
      </c>
      <c r="L618" s="6">
        <v>10549338</v>
      </c>
      <c r="M618" s="6" t="s">
        <v>79</v>
      </c>
      <c r="N618" s="6" t="s">
        <v>862</v>
      </c>
      <c r="O618" s="6" t="s">
        <v>21</v>
      </c>
      <c r="P618" s="6" t="s">
        <v>21</v>
      </c>
      <c r="Q618" s="6" t="s">
        <v>3332</v>
      </c>
      <c r="R618" s="8" t="s">
        <v>1808</v>
      </c>
      <c r="S618" s="6"/>
    </row>
    <row r="619" spans="1:19" ht="25.5" x14ac:dyDescent="0.25">
      <c r="A619" s="5" t="s">
        <v>3872</v>
      </c>
      <c r="B619" s="5">
        <v>618</v>
      </c>
      <c r="C619" s="6" t="s">
        <v>2397</v>
      </c>
      <c r="D619" s="6" t="s">
        <v>3888</v>
      </c>
      <c r="E619" s="6">
        <v>2802</v>
      </c>
      <c r="F619" s="6" t="s">
        <v>860</v>
      </c>
      <c r="G619" s="6">
        <v>10</v>
      </c>
      <c r="H619" s="6" t="s">
        <v>861</v>
      </c>
      <c r="I619" s="6" t="s">
        <v>3938</v>
      </c>
      <c r="J619" s="6" t="s">
        <v>3330</v>
      </c>
      <c r="K619" s="6" t="s">
        <v>3331</v>
      </c>
      <c r="L619" s="6">
        <v>34550395</v>
      </c>
      <c r="M619" s="6" t="s">
        <v>79</v>
      </c>
      <c r="N619" s="6" t="s">
        <v>862</v>
      </c>
      <c r="O619" s="6" t="s">
        <v>21</v>
      </c>
      <c r="P619" s="6" t="s">
        <v>21</v>
      </c>
      <c r="Q619" s="6" t="s">
        <v>3332</v>
      </c>
      <c r="R619" s="8" t="s">
        <v>1808</v>
      </c>
      <c r="S619" s="6"/>
    </row>
    <row r="620" spans="1:19" ht="25.5" x14ac:dyDescent="0.25">
      <c r="A620" s="5" t="s">
        <v>3872</v>
      </c>
      <c r="B620" s="5">
        <v>619</v>
      </c>
      <c r="C620" s="6" t="s">
        <v>2398</v>
      </c>
      <c r="D620" s="6" t="s">
        <v>3888</v>
      </c>
      <c r="E620" s="6">
        <v>2802</v>
      </c>
      <c r="F620" s="6" t="s">
        <v>860</v>
      </c>
      <c r="G620" s="6">
        <v>10</v>
      </c>
      <c r="H620" s="6" t="s">
        <v>861</v>
      </c>
      <c r="I620" s="6" t="s">
        <v>3939</v>
      </c>
      <c r="J620" s="6" t="s">
        <v>3940</v>
      </c>
      <c r="K620" s="6" t="s">
        <v>3331</v>
      </c>
      <c r="L620" s="6">
        <v>34554097</v>
      </c>
      <c r="M620" s="6" t="s">
        <v>79</v>
      </c>
      <c r="N620" s="6" t="s">
        <v>862</v>
      </c>
      <c r="O620" s="6" t="s">
        <v>21</v>
      </c>
      <c r="P620" s="6" t="s">
        <v>21</v>
      </c>
      <c r="Q620" s="6" t="s">
        <v>3332</v>
      </c>
      <c r="R620" s="8" t="s">
        <v>1808</v>
      </c>
      <c r="S620" s="6"/>
    </row>
    <row r="621" spans="1:19" ht="25.5" x14ac:dyDescent="0.25">
      <c r="A621" s="5" t="s">
        <v>3872</v>
      </c>
      <c r="B621" s="5">
        <v>620</v>
      </c>
      <c r="C621" s="6" t="s">
        <v>2399</v>
      </c>
      <c r="D621" s="6" t="s">
        <v>3888</v>
      </c>
      <c r="E621" s="6">
        <v>2802</v>
      </c>
      <c r="F621" s="6" t="s">
        <v>860</v>
      </c>
      <c r="G621" s="6">
        <v>10</v>
      </c>
      <c r="H621" s="6" t="s">
        <v>861</v>
      </c>
      <c r="I621" s="6" t="s">
        <v>3941</v>
      </c>
      <c r="J621" s="6" t="s">
        <v>3942</v>
      </c>
      <c r="K621" s="6" t="s">
        <v>3331</v>
      </c>
      <c r="L621" s="6">
        <v>76314915</v>
      </c>
      <c r="M621" s="6" t="s">
        <v>79</v>
      </c>
      <c r="N621" s="6" t="s">
        <v>862</v>
      </c>
      <c r="O621" s="6" t="s">
        <v>21</v>
      </c>
      <c r="P621" s="6" t="s">
        <v>21</v>
      </c>
      <c r="Q621" s="6" t="s">
        <v>3332</v>
      </c>
      <c r="R621" s="8" t="s">
        <v>1808</v>
      </c>
      <c r="S621" s="6"/>
    </row>
    <row r="622" spans="1:19" ht="25.5" x14ac:dyDescent="0.25">
      <c r="A622" s="5" t="s">
        <v>3872</v>
      </c>
      <c r="B622" s="5">
        <v>621</v>
      </c>
      <c r="C622" s="6" t="s">
        <v>2400</v>
      </c>
      <c r="D622" s="6" t="s">
        <v>3888</v>
      </c>
      <c r="E622" s="6">
        <v>2802</v>
      </c>
      <c r="F622" s="6" t="s">
        <v>860</v>
      </c>
      <c r="G622" s="6">
        <v>10</v>
      </c>
      <c r="H622" s="6" t="s">
        <v>861</v>
      </c>
      <c r="I622" s="6" t="s">
        <v>3896</v>
      </c>
      <c r="J622" s="6" t="s">
        <v>3943</v>
      </c>
      <c r="K622" s="6" t="s">
        <v>3331</v>
      </c>
      <c r="L622" s="6">
        <v>10535470</v>
      </c>
      <c r="M622" s="6" t="s">
        <v>79</v>
      </c>
      <c r="N622" s="6" t="s">
        <v>862</v>
      </c>
      <c r="O622" s="6" t="s">
        <v>21</v>
      </c>
      <c r="P622" s="6" t="s">
        <v>21</v>
      </c>
      <c r="Q622" s="6" t="s">
        <v>3332</v>
      </c>
      <c r="R622" s="8" t="s">
        <v>1808</v>
      </c>
      <c r="S622" s="6"/>
    </row>
    <row r="623" spans="1:19" ht="25.5" x14ac:dyDescent="0.25">
      <c r="A623" s="5" t="s">
        <v>3872</v>
      </c>
      <c r="B623" s="5">
        <v>622</v>
      </c>
      <c r="C623" s="6" t="s">
        <v>2401</v>
      </c>
      <c r="D623" s="6" t="s">
        <v>3888</v>
      </c>
      <c r="E623" s="6">
        <v>2802</v>
      </c>
      <c r="F623" s="6" t="s">
        <v>860</v>
      </c>
      <c r="G623" s="6">
        <v>10</v>
      </c>
      <c r="H623" s="6" t="s">
        <v>861</v>
      </c>
      <c r="I623" s="6" t="s">
        <v>3944</v>
      </c>
      <c r="J623" s="6" t="s">
        <v>3623</v>
      </c>
      <c r="K623" s="6" t="s">
        <v>3331</v>
      </c>
      <c r="L623" s="6">
        <v>10540275</v>
      </c>
      <c r="M623" s="6" t="s">
        <v>79</v>
      </c>
      <c r="N623" s="6" t="s">
        <v>862</v>
      </c>
      <c r="O623" s="6" t="s">
        <v>21</v>
      </c>
      <c r="P623" s="6" t="s">
        <v>21</v>
      </c>
      <c r="Q623" s="6" t="s">
        <v>3332</v>
      </c>
      <c r="R623" s="8" t="s">
        <v>1808</v>
      </c>
      <c r="S623" s="6"/>
    </row>
    <row r="624" spans="1:19" ht="25.5" x14ac:dyDescent="0.25">
      <c r="A624" s="5" t="s">
        <v>3872</v>
      </c>
      <c r="B624" s="5">
        <v>623</v>
      </c>
      <c r="C624" s="6" t="s">
        <v>2402</v>
      </c>
      <c r="D624" s="6" t="s">
        <v>3888</v>
      </c>
      <c r="E624" s="6">
        <v>2802</v>
      </c>
      <c r="F624" s="6" t="s">
        <v>860</v>
      </c>
      <c r="G624" s="6">
        <v>10</v>
      </c>
      <c r="H624" s="6" t="s">
        <v>861</v>
      </c>
      <c r="I624" s="6" t="s">
        <v>3945</v>
      </c>
      <c r="J624" s="6" t="s">
        <v>3946</v>
      </c>
      <c r="K624" s="6" t="s">
        <v>3331</v>
      </c>
      <c r="L624" s="6">
        <v>76306029</v>
      </c>
      <c r="M624" s="6" t="s">
        <v>79</v>
      </c>
      <c r="N624" s="6" t="s">
        <v>862</v>
      </c>
      <c r="O624" s="6" t="s">
        <v>21</v>
      </c>
      <c r="P624" s="6" t="s">
        <v>21</v>
      </c>
      <c r="Q624" s="6" t="s">
        <v>3332</v>
      </c>
      <c r="R624" s="8" t="s">
        <v>1808</v>
      </c>
      <c r="S624" s="6"/>
    </row>
    <row r="625" spans="1:19" ht="25.5" x14ac:dyDescent="0.25">
      <c r="A625" s="5" t="s">
        <v>3872</v>
      </c>
      <c r="B625" s="5">
        <v>624</v>
      </c>
      <c r="C625" s="6" t="s">
        <v>2403</v>
      </c>
      <c r="D625" s="6" t="s">
        <v>3888</v>
      </c>
      <c r="E625" s="6">
        <v>2802</v>
      </c>
      <c r="F625" s="6" t="s">
        <v>860</v>
      </c>
      <c r="G625" s="6">
        <v>10</v>
      </c>
      <c r="H625" s="6" t="s">
        <v>861</v>
      </c>
      <c r="I625" s="6" t="s">
        <v>3947</v>
      </c>
      <c r="J625" s="6" t="s">
        <v>3948</v>
      </c>
      <c r="K625" s="6" t="s">
        <v>3331</v>
      </c>
      <c r="L625" s="6">
        <v>76304157</v>
      </c>
      <c r="M625" s="6" t="s">
        <v>79</v>
      </c>
      <c r="N625" s="6" t="s">
        <v>862</v>
      </c>
      <c r="O625" s="6" t="s">
        <v>21</v>
      </c>
      <c r="P625" s="6" t="s">
        <v>21</v>
      </c>
      <c r="Q625" s="6" t="s">
        <v>3332</v>
      </c>
      <c r="R625" s="8" t="s">
        <v>1808</v>
      </c>
      <c r="S625" s="6"/>
    </row>
    <row r="626" spans="1:19" ht="25.5" x14ac:dyDescent="0.25">
      <c r="A626" s="5" t="s">
        <v>3872</v>
      </c>
      <c r="B626" s="5">
        <v>625</v>
      </c>
      <c r="C626" s="6" t="s">
        <v>2404</v>
      </c>
      <c r="D626" s="6" t="s">
        <v>3888</v>
      </c>
      <c r="E626" s="6">
        <v>2802</v>
      </c>
      <c r="F626" s="6" t="s">
        <v>860</v>
      </c>
      <c r="G626" s="6">
        <v>10</v>
      </c>
      <c r="H626" s="6" t="s">
        <v>861</v>
      </c>
      <c r="I626" s="6" t="s">
        <v>3949</v>
      </c>
      <c r="J626" s="6" t="s">
        <v>3950</v>
      </c>
      <c r="K626" s="6" t="s">
        <v>3331</v>
      </c>
      <c r="L626" s="6">
        <v>34546606</v>
      </c>
      <c r="M626" s="6" t="s">
        <v>79</v>
      </c>
      <c r="N626" s="6" t="s">
        <v>862</v>
      </c>
      <c r="O626" s="6" t="s">
        <v>21</v>
      </c>
      <c r="P626" s="6" t="s">
        <v>21</v>
      </c>
      <c r="Q626" s="6" t="s">
        <v>3332</v>
      </c>
      <c r="R626" s="8" t="s">
        <v>1808</v>
      </c>
      <c r="S626" s="6"/>
    </row>
    <row r="627" spans="1:19" ht="25.5" x14ac:dyDescent="0.25">
      <c r="A627" s="5" t="s">
        <v>3872</v>
      </c>
      <c r="B627" s="5">
        <v>626</v>
      </c>
      <c r="C627" s="6" t="s">
        <v>2405</v>
      </c>
      <c r="D627" s="6" t="s">
        <v>3888</v>
      </c>
      <c r="E627" s="6">
        <v>2802</v>
      </c>
      <c r="F627" s="6" t="s">
        <v>860</v>
      </c>
      <c r="G627" s="6">
        <v>10</v>
      </c>
      <c r="H627" s="6" t="s">
        <v>861</v>
      </c>
      <c r="I627" s="6" t="s">
        <v>3951</v>
      </c>
      <c r="J627" s="6" t="s">
        <v>3409</v>
      </c>
      <c r="K627" s="6" t="s">
        <v>3331</v>
      </c>
      <c r="L627" s="6">
        <v>34561385</v>
      </c>
      <c r="M627" s="6" t="s">
        <v>79</v>
      </c>
      <c r="N627" s="6" t="s">
        <v>862</v>
      </c>
      <c r="O627" s="6" t="s">
        <v>21</v>
      </c>
      <c r="P627" s="6" t="s">
        <v>21</v>
      </c>
      <c r="Q627" s="6" t="s">
        <v>3332</v>
      </c>
      <c r="R627" s="8" t="s">
        <v>1808</v>
      </c>
      <c r="S627" s="6"/>
    </row>
    <row r="628" spans="1:19" ht="25.5" x14ac:dyDescent="0.25">
      <c r="A628" s="5" t="s">
        <v>3872</v>
      </c>
      <c r="B628" s="5">
        <v>627</v>
      </c>
      <c r="C628" s="6" t="s">
        <v>2406</v>
      </c>
      <c r="D628" s="6" t="s">
        <v>3888</v>
      </c>
      <c r="E628" s="6">
        <v>2802</v>
      </c>
      <c r="F628" s="6" t="s">
        <v>860</v>
      </c>
      <c r="G628" s="6">
        <v>10</v>
      </c>
      <c r="H628" s="6" t="s">
        <v>861</v>
      </c>
      <c r="I628" s="6" t="s">
        <v>3952</v>
      </c>
      <c r="J628" s="6" t="s">
        <v>3953</v>
      </c>
      <c r="K628" s="6" t="s">
        <v>3331</v>
      </c>
      <c r="L628" s="6">
        <v>34539368</v>
      </c>
      <c r="M628" s="6" t="s">
        <v>79</v>
      </c>
      <c r="N628" s="6" t="s">
        <v>862</v>
      </c>
      <c r="O628" s="6" t="s">
        <v>21</v>
      </c>
      <c r="P628" s="6" t="s">
        <v>21</v>
      </c>
      <c r="Q628" s="6" t="s">
        <v>3332</v>
      </c>
      <c r="R628" s="8" t="s">
        <v>1808</v>
      </c>
      <c r="S628" s="6"/>
    </row>
    <row r="629" spans="1:19" ht="25.5" x14ac:dyDescent="0.25">
      <c r="A629" s="5" t="s">
        <v>3872</v>
      </c>
      <c r="B629" s="5">
        <v>628</v>
      </c>
      <c r="C629" s="6" t="s">
        <v>2407</v>
      </c>
      <c r="D629" s="6" t="s">
        <v>3888</v>
      </c>
      <c r="E629" s="6">
        <v>2802</v>
      </c>
      <c r="F629" s="6" t="s">
        <v>860</v>
      </c>
      <c r="G629" s="6">
        <v>10</v>
      </c>
      <c r="H629" s="6" t="s">
        <v>861</v>
      </c>
      <c r="I629" s="6" t="s">
        <v>3954</v>
      </c>
      <c r="J629" s="6" t="s">
        <v>3733</v>
      </c>
      <c r="K629" s="6" t="s">
        <v>3331</v>
      </c>
      <c r="L629" s="6">
        <v>34555469</v>
      </c>
      <c r="M629" s="6" t="s">
        <v>79</v>
      </c>
      <c r="N629" s="6" t="s">
        <v>862</v>
      </c>
      <c r="O629" s="6" t="s">
        <v>21</v>
      </c>
      <c r="P629" s="6" t="s">
        <v>21</v>
      </c>
      <c r="Q629" s="6" t="s">
        <v>3332</v>
      </c>
      <c r="R629" s="8" t="s">
        <v>1808</v>
      </c>
      <c r="S629" s="6"/>
    </row>
    <row r="630" spans="1:19" ht="25.5" x14ac:dyDescent="0.25">
      <c r="A630" s="5" t="s">
        <v>3872</v>
      </c>
      <c r="B630" s="5">
        <v>629</v>
      </c>
      <c r="C630" s="6" t="s">
        <v>2408</v>
      </c>
      <c r="D630" s="6" t="s">
        <v>3888</v>
      </c>
      <c r="E630" s="6">
        <v>2802</v>
      </c>
      <c r="F630" s="6" t="s">
        <v>860</v>
      </c>
      <c r="G630" s="6">
        <v>10</v>
      </c>
      <c r="H630" s="6" t="s">
        <v>861</v>
      </c>
      <c r="I630" s="6" t="s">
        <v>3955</v>
      </c>
      <c r="J630" s="6" t="s">
        <v>3956</v>
      </c>
      <c r="K630" s="6" t="s">
        <v>3331</v>
      </c>
      <c r="L630" s="6">
        <v>34531530</v>
      </c>
      <c r="M630" s="6" t="s">
        <v>79</v>
      </c>
      <c r="N630" s="6" t="s">
        <v>862</v>
      </c>
      <c r="O630" s="6" t="s">
        <v>21</v>
      </c>
      <c r="P630" s="6" t="s">
        <v>21</v>
      </c>
      <c r="Q630" s="6" t="s">
        <v>3332</v>
      </c>
      <c r="R630" s="8" t="s">
        <v>1808</v>
      </c>
      <c r="S630" s="6"/>
    </row>
    <row r="631" spans="1:19" ht="25.5" x14ac:dyDescent="0.25">
      <c r="A631" s="5" t="s">
        <v>3872</v>
      </c>
      <c r="B631" s="5">
        <v>630</v>
      </c>
      <c r="C631" s="6" t="s">
        <v>2409</v>
      </c>
      <c r="D631" s="6" t="s">
        <v>3888</v>
      </c>
      <c r="E631" s="6">
        <v>2802</v>
      </c>
      <c r="F631" s="6" t="s">
        <v>860</v>
      </c>
      <c r="G631" s="6">
        <v>10</v>
      </c>
      <c r="H631" s="6" t="s">
        <v>861</v>
      </c>
      <c r="I631" s="6" t="s">
        <v>3957</v>
      </c>
      <c r="J631" s="6" t="s">
        <v>3789</v>
      </c>
      <c r="K631" s="6" t="s">
        <v>3331</v>
      </c>
      <c r="L631" s="6">
        <v>10548692</v>
      </c>
      <c r="M631" s="6" t="s">
        <v>79</v>
      </c>
      <c r="N631" s="6" t="s">
        <v>862</v>
      </c>
      <c r="O631" s="6" t="s">
        <v>21</v>
      </c>
      <c r="P631" s="6" t="s">
        <v>21</v>
      </c>
      <c r="Q631" s="6" t="s">
        <v>3332</v>
      </c>
      <c r="R631" s="8" t="s">
        <v>1808</v>
      </c>
      <c r="S631" s="6"/>
    </row>
    <row r="632" spans="1:19" ht="25.5" x14ac:dyDescent="0.25">
      <c r="A632" s="5" t="s">
        <v>3872</v>
      </c>
      <c r="B632" s="5">
        <v>631</v>
      </c>
      <c r="C632" s="6" t="s">
        <v>2410</v>
      </c>
      <c r="D632" s="6" t="s">
        <v>3888</v>
      </c>
      <c r="E632" s="6">
        <v>2802</v>
      </c>
      <c r="F632" s="6" t="s">
        <v>860</v>
      </c>
      <c r="G632" s="6">
        <v>10</v>
      </c>
      <c r="H632" s="6" t="s">
        <v>861</v>
      </c>
      <c r="I632" s="6" t="s">
        <v>3958</v>
      </c>
      <c r="J632" s="6" t="s">
        <v>3959</v>
      </c>
      <c r="K632" s="6" t="s">
        <v>3331</v>
      </c>
      <c r="L632" s="6">
        <v>34549344</v>
      </c>
      <c r="M632" s="6" t="s">
        <v>79</v>
      </c>
      <c r="N632" s="6" t="s">
        <v>862</v>
      </c>
      <c r="O632" s="6" t="s">
        <v>21</v>
      </c>
      <c r="P632" s="6" t="s">
        <v>21</v>
      </c>
      <c r="Q632" s="6" t="s">
        <v>3332</v>
      </c>
      <c r="R632" s="8" t="s">
        <v>1808</v>
      </c>
      <c r="S632" s="6"/>
    </row>
    <row r="633" spans="1:19" ht="25.5" x14ac:dyDescent="0.25">
      <c r="A633" s="5" t="s">
        <v>3872</v>
      </c>
      <c r="B633" s="5">
        <v>632</v>
      </c>
      <c r="C633" s="6" t="s">
        <v>2411</v>
      </c>
      <c r="D633" s="6" t="s">
        <v>3888</v>
      </c>
      <c r="E633" s="6">
        <v>2802</v>
      </c>
      <c r="F633" s="6" t="s">
        <v>860</v>
      </c>
      <c r="G633" s="6">
        <v>10</v>
      </c>
      <c r="H633" s="6" t="s">
        <v>861</v>
      </c>
      <c r="I633" s="6" t="s">
        <v>3960</v>
      </c>
      <c r="J633" s="6" t="s">
        <v>3694</v>
      </c>
      <c r="K633" s="6" t="s">
        <v>3331</v>
      </c>
      <c r="L633" s="6">
        <v>34563021</v>
      </c>
      <c r="M633" s="6" t="s">
        <v>79</v>
      </c>
      <c r="N633" s="6" t="s">
        <v>862</v>
      </c>
      <c r="O633" s="6" t="s">
        <v>21</v>
      </c>
      <c r="P633" s="6" t="s">
        <v>21</v>
      </c>
      <c r="Q633" s="6" t="s">
        <v>3332</v>
      </c>
      <c r="R633" s="8" t="s">
        <v>1808</v>
      </c>
      <c r="S633" s="6"/>
    </row>
    <row r="634" spans="1:19" ht="25.5" x14ac:dyDescent="0.25">
      <c r="A634" s="5" t="s">
        <v>3872</v>
      </c>
      <c r="B634" s="5">
        <v>633</v>
      </c>
      <c r="C634" s="6" t="s">
        <v>2412</v>
      </c>
      <c r="D634" s="6" t="s">
        <v>3888</v>
      </c>
      <c r="E634" s="6">
        <v>2802</v>
      </c>
      <c r="F634" s="6" t="s">
        <v>860</v>
      </c>
      <c r="G634" s="6">
        <v>10</v>
      </c>
      <c r="H634" s="6" t="s">
        <v>861</v>
      </c>
      <c r="I634" s="6" t="s">
        <v>3961</v>
      </c>
      <c r="J634" s="6" t="s">
        <v>3962</v>
      </c>
      <c r="K634" s="6" t="s">
        <v>3331</v>
      </c>
      <c r="L634" s="6">
        <v>34533065</v>
      </c>
      <c r="M634" s="6" t="s">
        <v>79</v>
      </c>
      <c r="N634" s="6" t="s">
        <v>862</v>
      </c>
      <c r="O634" s="6" t="s">
        <v>21</v>
      </c>
      <c r="P634" s="6" t="s">
        <v>21</v>
      </c>
      <c r="Q634" s="6" t="s">
        <v>3332</v>
      </c>
      <c r="R634" s="8" t="s">
        <v>1808</v>
      </c>
      <c r="S634" s="6"/>
    </row>
    <row r="635" spans="1:19" ht="25.5" x14ac:dyDescent="0.25">
      <c r="A635" s="5" t="s">
        <v>3872</v>
      </c>
      <c r="B635" s="5">
        <v>634</v>
      </c>
      <c r="C635" s="6" t="s">
        <v>2413</v>
      </c>
      <c r="D635" s="6" t="s">
        <v>3888</v>
      </c>
      <c r="E635" s="6">
        <v>2802</v>
      </c>
      <c r="F635" s="6" t="s">
        <v>860</v>
      </c>
      <c r="G635" s="6">
        <v>10</v>
      </c>
      <c r="H635" s="6" t="s">
        <v>861</v>
      </c>
      <c r="I635" s="6" t="s">
        <v>3963</v>
      </c>
      <c r="J635" s="6" t="s">
        <v>3964</v>
      </c>
      <c r="K635" s="6" t="s">
        <v>3331</v>
      </c>
      <c r="L635" s="6">
        <v>48570762</v>
      </c>
      <c r="M635" s="6" t="s">
        <v>79</v>
      </c>
      <c r="N635" s="6" t="s">
        <v>862</v>
      </c>
      <c r="O635" s="6" t="s">
        <v>21</v>
      </c>
      <c r="P635" s="6" t="s">
        <v>21</v>
      </c>
      <c r="Q635" s="6" t="s">
        <v>3332</v>
      </c>
      <c r="R635" s="8" t="s">
        <v>1808</v>
      </c>
      <c r="S635" s="6"/>
    </row>
    <row r="636" spans="1:19" ht="25.5" x14ac:dyDescent="0.25">
      <c r="A636" s="5" t="s">
        <v>3872</v>
      </c>
      <c r="B636" s="5">
        <v>635</v>
      </c>
      <c r="C636" s="6" t="s">
        <v>2414</v>
      </c>
      <c r="D636" s="6" t="s">
        <v>3888</v>
      </c>
      <c r="E636" s="6">
        <v>2802</v>
      </c>
      <c r="F636" s="6" t="s">
        <v>860</v>
      </c>
      <c r="G636" s="6">
        <v>10</v>
      </c>
      <c r="H636" s="6" t="s">
        <v>861</v>
      </c>
      <c r="I636" s="6" t="s">
        <v>3965</v>
      </c>
      <c r="J636" s="6" t="s">
        <v>3966</v>
      </c>
      <c r="K636" s="6" t="s">
        <v>3331</v>
      </c>
      <c r="L636" s="6">
        <v>10549507</v>
      </c>
      <c r="M636" s="6" t="s">
        <v>79</v>
      </c>
      <c r="N636" s="6" t="s">
        <v>862</v>
      </c>
      <c r="O636" s="6" t="s">
        <v>21</v>
      </c>
      <c r="P636" s="6" t="s">
        <v>21</v>
      </c>
      <c r="Q636" s="6" t="s">
        <v>3332</v>
      </c>
      <c r="R636" s="8" t="s">
        <v>1808</v>
      </c>
      <c r="S636" s="6"/>
    </row>
    <row r="637" spans="1:19" ht="25.5" x14ac:dyDescent="0.25">
      <c r="A637" s="5" t="s">
        <v>3872</v>
      </c>
      <c r="B637" s="5">
        <v>636</v>
      </c>
      <c r="C637" s="6" t="s">
        <v>2415</v>
      </c>
      <c r="D637" s="6" t="s">
        <v>3888</v>
      </c>
      <c r="E637" s="6">
        <v>2802</v>
      </c>
      <c r="F637" s="6" t="s">
        <v>860</v>
      </c>
      <c r="G637" s="6">
        <v>10</v>
      </c>
      <c r="H637" s="6" t="s">
        <v>861</v>
      </c>
      <c r="I637" s="6" t="s">
        <v>3967</v>
      </c>
      <c r="J637" s="6" t="s">
        <v>3968</v>
      </c>
      <c r="K637" s="6" t="s">
        <v>3331</v>
      </c>
      <c r="L637" s="6">
        <v>76309519</v>
      </c>
      <c r="M637" s="6" t="s">
        <v>79</v>
      </c>
      <c r="N637" s="6" t="s">
        <v>862</v>
      </c>
      <c r="O637" s="6" t="s">
        <v>21</v>
      </c>
      <c r="P637" s="6" t="s">
        <v>21</v>
      </c>
      <c r="Q637" s="6" t="s">
        <v>3332</v>
      </c>
      <c r="R637" s="8" t="s">
        <v>1808</v>
      </c>
      <c r="S637" s="6"/>
    </row>
    <row r="638" spans="1:19" ht="25.5" x14ac:dyDescent="0.25">
      <c r="A638" s="5" t="s">
        <v>3872</v>
      </c>
      <c r="B638" s="5">
        <v>637</v>
      </c>
      <c r="C638" s="6" t="s">
        <v>2416</v>
      </c>
      <c r="D638" s="6" t="s">
        <v>3888</v>
      </c>
      <c r="E638" s="6">
        <v>2802</v>
      </c>
      <c r="F638" s="6" t="s">
        <v>860</v>
      </c>
      <c r="G638" s="6">
        <v>10</v>
      </c>
      <c r="H638" s="6" t="s">
        <v>861</v>
      </c>
      <c r="I638" s="6" t="s">
        <v>3969</v>
      </c>
      <c r="J638" s="6" t="s">
        <v>3970</v>
      </c>
      <c r="K638" s="6" t="s">
        <v>3331</v>
      </c>
      <c r="L638" s="6">
        <v>34551260</v>
      </c>
      <c r="M638" s="6" t="s">
        <v>79</v>
      </c>
      <c r="N638" s="6" t="s">
        <v>862</v>
      </c>
      <c r="O638" s="6" t="s">
        <v>21</v>
      </c>
      <c r="P638" s="6" t="s">
        <v>21</v>
      </c>
      <c r="Q638" s="6" t="s">
        <v>3332</v>
      </c>
      <c r="R638" s="8" t="s">
        <v>1808</v>
      </c>
      <c r="S638" s="6"/>
    </row>
    <row r="639" spans="1:19" ht="25.5" x14ac:dyDescent="0.25">
      <c r="A639" s="5" t="s">
        <v>3872</v>
      </c>
      <c r="B639" s="5">
        <v>638</v>
      </c>
      <c r="C639" s="6" t="s">
        <v>2417</v>
      </c>
      <c r="D639" s="6" t="s">
        <v>3888</v>
      </c>
      <c r="E639" s="6">
        <v>2802</v>
      </c>
      <c r="F639" s="6" t="s">
        <v>860</v>
      </c>
      <c r="G639" s="6">
        <v>10</v>
      </c>
      <c r="H639" s="6" t="s">
        <v>861</v>
      </c>
      <c r="I639" s="6" t="s">
        <v>3971</v>
      </c>
      <c r="J639" s="6" t="s">
        <v>3920</v>
      </c>
      <c r="K639" s="6" t="s">
        <v>3331</v>
      </c>
      <c r="L639" s="6">
        <v>34552198</v>
      </c>
      <c r="M639" s="6" t="s">
        <v>79</v>
      </c>
      <c r="N639" s="6" t="s">
        <v>862</v>
      </c>
      <c r="O639" s="6" t="s">
        <v>21</v>
      </c>
      <c r="P639" s="6" t="s">
        <v>21</v>
      </c>
      <c r="Q639" s="6" t="s">
        <v>3332</v>
      </c>
      <c r="R639" s="8" t="s">
        <v>1808</v>
      </c>
      <c r="S639" s="6"/>
    </row>
    <row r="640" spans="1:19" ht="25.5" x14ac:dyDescent="0.25">
      <c r="A640" s="5" t="s">
        <v>3872</v>
      </c>
      <c r="B640" s="5">
        <v>639</v>
      </c>
      <c r="C640" s="6" t="s">
        <v>2418</v>
      </c>
      <c r="D640" s="6" t="s">
        <v>3888</v>
      </c>
      <c r="E640" s="6">
        <v>2802</v>
      </c>
      <c r="F640" s="6" t="s">
        <v>860</v>
      </c>
      <c r="G640" s="6">
        <v>10</v>
      </c>
      <c r="H640" s="6" t="s">
        <v>861</v>
      </c>
      <c r="I640" s="6" t="s">
        <v>3972</v>
      </c>
      <c r="J640" s="6" t="s">
        <v>3973</v>
      </c>
      <c r="K640" s="6" t="s">
        <v>3331</v>
      </c>
      <c r="L640" s="6">
        <v>34556803</v>
      </c>
      <c r="M640" s="6" t="s">
        <v>79</v>
      </c>
      <c r="N640" s="6" t="s">
        <v>862</v>
      </c>
      <c r="O640" s="6" t="s">
        <v>21</v>
      </c>
      <c r="P640" s="6" t="s">
        <v>21</v>
      </c>
      <c r="Q640" s="6" t="s">
        <v>3332</v>
      </c>
      <c r="R640" s="8" t="s">
        <v>1808</v>
      </c>
      <c r="S640" s="6"/>
    </row>
    <row r="641" spans="1:19" ht="25.5" x14ac:dyDescent="0.25">
      <c r="A641" s="5" t="s">
        <v>3872</v>
      </c>
      <c r="B641" s="5">
        <v>640</v>
      </c>
      <c r="C641" s="6" t="s">
        <v>2419</v>
      </c>
      <c r="D641" s="6" t="s">
        <v>3888</v>
      </c>
      <c r="E641" s="6">
        <v>2802</v>
      </c>
      <c r="F641" s="6" t="s">
        <v>860</v>
      </c>
      <c r="G641" s="6">
        <v>10</v>
      </c>
      <c r="H641" s="6" t="s">
        <v>861</v>
      </c>
      <c r="I641" s="6" t="s">
        <v>3974</v>
      </c>
      <c r="J641" s="6" t="s">
        <v>3975</v>
      </c>
      <c r="K641" s="6" t="s">
        <v>3331</v>
      </c>
      <c r="L641" s="6">
        <v>34545641</v>
      </c>
      <c r="M641" s="6" t="s">
        <v>79</v>
      </c>
      <c r="N641" s="6" t="s">
        <v>862</v>
      </c>
      <c r="O641" s="6" t="s">
        <v>21</v>
      </c>
      <c r="P641" s="6" t="s">
        <v>21</v>
      </c>
      <c r="Q641" s="6" t="s">
        <v>3332</v>
      </c>
      <c r="R641" s="8" t="s">
        <v>1808</v>
      </c>
      <c r="S641" s="6"/>
    </row>
    <row r="642" spans="1:19" ht="25.5" x14ac:dyDescent="0.25">
      <c r="A642" s="5" t="s">
        <v>3872</v>
      </c>
      <c r="B642" s="5">
        <v>641</v>
      </c>
      <c r="C642" s="6" t="s">
        <v>2420</v>
      </c>
      <c r="D642" s="6" t="s">
        <v>3888</v>
      </c>
      <c r="E642" s="6">
        <v>2802</v>
      </c>
      <c r="F642" s="6" t="s">
        <v>860</v>
      </c>
      <c r="G642" s="6">
        <v>10</v>
      </c>
      <c r="H642" s="6" t="s">
        <v>861</v>
      </c>
      <c r="I642" s="6" t="s">
        <v>3974</v>
      </c>
      <c r="J642" s="6" t="s">
        <v>3602</v>
      </c>
      <c r="K642" s="6" t="s">
        <v>3331</v>
      </c>
      <c r="L642" s="6">
        <v>34537672</v>
      </c>
      <c r="M642" s="6" t="s">
        <v>79</v>
      </c>
      <c r="N642" s="6" t="s">
        <v>862</v>
      </c>
      <c r="O642" s="6" t="s">
        <v>21</v>
      </c>
      <c r="P642" s="6" t="s">
        <v>21</v>
      </c>
      <c r="Q642" s="6" t="s">
        <v>3332</v>
      </c>
      <c r="R642" s="8" t="s">
        <v>1808</v>
      </c>
      <c r="S642" s="6"/>
    </row>
    <row r="643" spans="1:19" ht="25.5" x14ac:dyDescent="0.25">
      <c r="A643" s="5" t="s">
        <v>3872</v>
      </c>
      <c r="B643" s="5">
        <v>642</v>
      </c>
      <c r="C643" s="6" t="s">
        <v>2421</v>
      </c>
      <c r="D643" s="6" t="s">
        <v>3888</v>
      </c>
      <c r="E643" s="6">
        <v>2802</v>
      </c>
      <c r="F643" s="6" t="s">
        <v>860</v>
      </c>
      <c r="G643" s="6">
        <v>10</v>
      </c>
      <c r="H643" s="6" t="s">
        <v>861</v>
      </c>
      <c r="I643" s="6" t="s">
        <v>3976</v>
      </c>
      <c r="J643" s="6" t="s">
        <v>3977</v>
      </c>
      <c r="K643" s="6" t="s">
        <v>3331</v>
      </c>
      <c r="L643" s="6">
        <v>34545650</v>
      </c>
      <c r="M643" s="6" t="s">
        <v>79</v>
      </c>
      <c r="N643" s="6" t="s">
        <v>862</v>
      </c>
      <c r="O643" s="6" t="s">
        <v>21</v>
      </c>
      <c r="P643" s="6" t="s">
        <v>21</v>
      </c>
      <c r="Q643" s="6" t="s">
        <v>3332</v>
      </c>
      <c r="R643" s="8" t="s">
        <v>1808</v>
      </c>
      <c r="S643" s="6"/>
    </row>
    <row r="644" spans="1:19" ht="25.5" x14ac:dyDescent="0.25">
      <c r="A644" s="5" t="s">
        <v>3872</v>
      </c>
      <c r="B644" s="5">
        <v>643</v>
      </c>
      <c r="C644" s="6" t="s">
        <v>2422</v>
      </c>
      <c r="D644" s="6" t="s">
        <v>3888</v>
      </c>
      <c r="E644" s="6">
        <v>2802</v>
      </c>
      <c r="F644" s="6" t="s">
        <v>860</v>
      </c>
      <c r="G644" s="6">
        <v>10</v>
      </c>
      <c r="H644" s="6" t="s">
        <v>861</v>
      </c>
      <c r="I644" s="6" t="s">
        <v>3978</v>
      </c>
      <c r="J644" s="6" t="s">
        <v>3979</v>
      </c>
      <c r="K644" s="6" t="s">
        <v>3331</v>
      </c>
      <c r="L644" s="6">
        <v>76311259</v>
      </c>
      <c r="M644" s="6" t="s">
        <v>79</v>
      </c>
      <c r="N644" s="6" t="s">
        <v>862</v>
      </c>
      <c r="O644" s="6" t="s">
        <v>21</v>
      </c>
      <c r="P644" s="6" t="s">
        <v>21</v>
      </c>
      <c r="Q644" s="6" t="s">
        <v>3332</v>
      </c>
      <c r="R644" s="8" t="s">
        <v>1808</v>
      </c>
      <c r="S644" s="6"/>
    </row>
    <row r="645" spans="1:19" ht="25.5" x14ac:dyDescent="0.25">
      <c r="A645" s="5" t="s">
        <v>3872</v>
      </c>
      <c r="B645" s="5">
        <v>644</v>
      </c>
      <c r="C645" s="6" t="s">
        <v>2423</v>
      </c>
      <c r="D645" s="6" t="s">
        <v>3888</v>
      </c>
      <c r="E645" s="6">
        <v>2802</v>
      </c>
      <c r="F645" s="6" t="s">
        <v>860</v>
      </c>
      <c r="G645" s="6">
        <v>10</v>
      </c>
      <c r="H645" s="6" t="s">
        <v>861</v>
      </c>
      <c r="I645" s="6" t="s">
        <v>3980</v>
      </c>
      <c r="J645" s="6" t="s">
        <v>3534</v>
      </c>
      <c r="K645" s="6" t="s">
        <v>3331</v>
      </c>
      <c r="L645" s="6">
        <v>34547363</v>
      </c>
      <c r="M645" s="6" t="s">
        <v>79</v>
      </c>
      <c r="N645" s="6" t="s">
        <v>862</v>
      </c>
      <c r="O645" s="6" t="s">
        <v>21</v>
      </c>
      <c r="P645" s="6" t="s">
        <v>21</v>
      </c>
      <c r="Q645" s="6" t="s">
        <v>3332</v>
      </c>
      <c r="R645" s="8" t="s">
        <v>1808</v>
      </c>
      <c r="S645" s="6"/>
    </row>
    <row r="646" spans="1:19" ht="25.5" x14ac:dyDescent="0.25">
      <c r="A646" s="5" t="s">
        <v>3872</v>
      </c>
      <c r="B646" s="5">
        <v>645</v>
      </c>
      <c r="C646" s="6" t="s">
        <v>2424</v>
      </c>
      <c r="D646" s="6" t="s">
        <v>3888</v>
      </c>
      <c r="E646" s="6">
        <v>2802</v>
      </c>
      <c r="F646" s="6" t="s">
        <v>860</v>
      </c>
      <c r="G646" s="6">
        <v>10</v>
      </c>
      <c r="H646" s="6" t="s">
        <v>861</v>
      </c>
      <c r="I646" s="6" t="s">
        <v>3981</v>
      </c>
      <c r="J646" s="6" t="s">
        <v>3928</v>
      </c>
      <c r="K646" s="6" t="s">
        <v>3331</v>
      </c>
      <c r="L646" s="6">
        <v>34553127</v>
      </c>
      <c r="M646" s="6" t="s">
        <v>79</v>
      </c>
      <c r="N646" s="6" t="s">
        <v>862</v>
      </c>
      <c r="O646" s="6" t="s">
        <v>21</v>
      </c>
      <c r="P646" s="6" t="s">
        <v>21</v>
      </c>
      <c r="Q646" s="6" t="s">
        <v>3332</v>
      </c>
      <c r="R646" s="8" t="s">
        <v>1808</v>
      </c>
      <c r="S646" s="6"/>
    </row>
    <row r="647" spans="1:19" ht="25.5" x14ac:dyDescent="0.25">
      <c r="A647" s="5" t="s">
        <v>3872</v>
      </c>
      <c r="B647" s="5">
        <v>646</v>
      </c>
      <c r="C647" s="6" t="s">
        <v>2425</v>
      </c>
      <c r="D647" s="6" t="s">
        <v>3888</v>
      </c>
      <c r="E647" s="6">
        <v>2802</v>
      </c>
      <c r="F647" s="6" t="s">
        <v>860</v>
      </c>
      <c r="G647" s="6">
        <v>10</v>
      </c>
      <c r="H647" s="6" t="s">
        <v>861</v>
      </c>
      <c r="I647" s="6" t="s">
        <v>3982</v>
      </c>
      <c r="J647" s="6" t="s">
        <v>3330</v>
      </c>
      <c r="K647" s="6" t="s">
        <v>3331</v>
      </c>
      <c r="L647" s="6">
        <v>34534589</v>
      </c>
      <c r="M647" s="6" t="s">
        <v>79</v>
      </c>
      <c r="N647" s="6" t="s">
        <v>862</v>
      </c>
      <c r="O647" s="6" t="s">
        <v>21</v>
      </c>
      <c r="P647" s="6" t="s">
        <v>21</v>
      </c>
      <c r="Q647" s="6" t="s">
        <v>3332</v>
      </c>
      <c r="R647" s="8" t="s">
        <v>1808</v>
      </c>
      <c r="S647" s="6"/>
    </row>
    <row r="648" spans="1:19" ht="25.5" x14ac:dyDescent="0.25">
      <c r="A648" s="5" t="s">
        <v>3872</v>
      </c>
      <c r="B648" s="5">
        <v>647</v>
      </c>
      <c r="C648" s="6" t="s">
        <v>2426</v>
      </c>
      <c r="D648" s="6" t="s">
        <v>3888</v>
      </c>
      <c r="E648" s="6">
        <v>2802</v>
      </c>
      <c r="F648" s="6" t="s">
        <v>860</v>
      </c>
      <c r="G648" s="6">
        <v>10</v>
      </c>
      <c r="H648" s="6" t="s">
        <v>861</v>
      </c>
      <c r="I648" s="6" t="s">
        <v>3983</v>
      </c>
      <c r="J648" s="6" t="s">
        <v>3431</v>
      </c>
      <c r="K648" s="6" t="s">
        <v>3331</v>
      </c>
      <c r="L648" s="6">
        <v>34539213</v>
      </c>
      <c r="M648" s="6" t="s">
        <v>79</v>
      </c>
      <c r="N648" s="6" t="s">
        <v>862</v>
      </c>
      <c r="O648" s="6" t="s">
        <v>21</v>
      </c>
      <c r="P648" s="6" t="s">
        <v>21</v>
      </c>
      <c r="Q648" s="6" t="s">
        <v>3332</v>
      </c>
      <c r="R648" s="8" t="s">
        <v>1808</v>
      </c>
      <c r="S648" s="6"/>
    </row>
    <row r="649" spans="1:19" ht="25.5" x14ac:dyDescent="0.25">
      <c r="A649" s="5" t="s">
        <v>3872</v>
      </c>
      <c r="B649" s="5">
        <v>648</v>
      </c>
      <c r="C649" s="6" t="s">
        <v>2427</v>
      </c>
      <c r="D649" s="6" t="s">
        <v>3888</v>
      </c>
      <c r="E649" s="6">
        <v>2802</v>
      </c>
      <c r="F649" s="6" t="s">
        <v>860</v>
      </c>
      <c r="G649" s="6">
        <v>10</v>
      </c>
      <c r="H649" s="6" t="s">
        <v>861</v>
      </c>
      <c r="I649" s="6" t="s">
        <v>3984</v>
      </c>
      <c r="J649" s="6" t="s">
        <v>3985</v>
      </c>
      <c r="K649" s="6" t="s">
        <v>3331</v>
      </c>
      <c r="L649" s="6">
        <v>10530051</v>
      </c>
      <c r="M649" s="6" t="s">
        <v>79</v>
      </c>
      <c r="N649" s="6" t="s">
        <v>862</v>
      </c>
      <c r="O649" s="6" t="s">
        <v>21</v>
      </c>
      <c r="P649" s="6" t="s">
        <v>21</v>
      </c>
      <c r="Q649" s="6" t="s">
        <v>3332</v>
      </c>
      <c r="R649" s="8" t="s">
        <v>1808</v>
      </c>
      <c r="S649" s="6"/>
    </row>
    <row r="650" spans="1:19" ht="25.5" x14ac:dyDescent="0.25">
      <c r="A650" s="5" t="s">
        <v>3872</v>
      </c>
      <c r="B650" s="5">
        <v>649</v>
      </c>
      <c r="C650" s="6" t="s">
        <v>2428</v>
      </c>
      <c r="D650" s="6" t="s">
        <v>3888</v>
      </c>
      <c r="E650" s="6">
        <v>2802</v>
      </c>
      <c r="F650" s="6" t="s">
        <v>860</v>
      </c>
      <c r="G650" s="6">
        <v>10</v>
      </c>
      <c r="H650" s="6" t="s">
        <v>861</v>
      </c>
      <c r="I650" s="6" t="s">
        <v>3986</v>
      </c>
      <c r="J650" s="6" t="s">
        <v>3930</v>
      </c>
      <c r="K650" s="6" t="s">
        <v>3331</v>
      </c>
      <c r="L650" s="6">
        <v>34541938</v>
      </c>
      <c r="M650" s="6" t="s">
        <v>79</v>
      </c>
      <c r="N650" s="6" t="s">
        <v>862</v>
      </c>
      <c r="O650" s="6" t="s">
        <v>21</v>
      </c>
      <c r="P650" s="6" t="s">
        <v>21</v>
      </c>
      <c r="Q650" s="6" t="s">
        <v>3332</v>
      </c>
      <c r="R650" s="8" t="s">
        <v>1808</v>
      </c>
      <c r="S650" s="6"/>
    </row>
    <row r="651" spans="1:19" ht="25.5" x14ac:dyDescent="0.25">
      <c r="A651" s="5" t="s">
        <v>3872</v>
      </c>
      <c r="B651" s="5">
        <v>650</v>
      </c>
      <c r="C651" s="6" t="s">
        <v>2429</v>
      </c>
      <c r="D651" s="6" t="s">
        <v>3888</v>
      </c>
      <c r="E651" s="6">
        <v>2802</v>
      </c>
      <c r="F651" s="6" t="s">
        <v>860</v>
      </c>
      <c r="G651" s="6">
        <v>10</v>
      </c>
      <c r="H651" s="6" t="s">
        <v>861</v>
      </c>
      <c r="I651" s="6" t="s">
        <v>3987</v>
      </c>
      <c r="J651" s="6" t="s">
        <v>3988</v>
      </c>
      <c r="K651" s="6" t="s">
        <v>3331</v>
      </c>
      <c r="L651" s="6">
        <v>76307293</v>
      </c>
      <c r="M651" s="6" t="s">
        <v>79</v>
      </c>
      <c r="N651" s="6" t="s">
        <v>862</v>
      </c>
      <c r="O651" s="6" t="s">
        <v>21</v>
      </c>
      <c r="P651" s="6" t="s">
        <v>21</v>
      </c>
      <c r="Q651" s="6" t="s">
        <v>3332</v>
      </c>
      <c r="R651" s="8" t="s">
        <v>1808</v>
      </c>
      <c r="S651" s="6"/>
    </row>
    <row r="652" spans="1:19" ht="25.5" x14ac:dyDescent="0.25">
      <c r="A652" s="5" t="s">
        <v>3872</v>
      </c>
      <c r="B652" s="5">
        <v>651</v>
      </c>
      <c r="C652" s="6" t="s">
        <v>2430</v>
      </c>
      <c r="D652" s="6" t="s">
        <v>3888</v>
      </c>
      <c r="E652" s="6">
        <v>2802</v>
      </c>
      <c r="F652" s="6" t="s">
        <v>860</v>
      </c>
      <c r="G652" s="6">
        <v>10</v>
      </c>
      <c r="H652" s="6" t="s">
        <v>861</v>
      </c>
      <c r="I652" s="6" t="s">
        <v>3989</v>
      </c>
      <c r="J652" s="6" t="s">
        <v>3990</v>
      </c>
      <c r="K652" s="6" t="s">
        <v>3331</v>
      </c>
      <c r="L652" s="6">
        <v>10546706</v>
      </c>
      <c r="M652" s="6" t="s">
        <v>79</v>
      </c>
      <c r="N652" s="6" t="s">
        <v>862</v>
      </c>
      <c r="O652" s="6" t="s">
        <v>21</v>
      </c>
      <c r="P652" s="6" t="s">
        <v>21</v>
      </c>
      <c r="Q652" s="6" t="s">
        <v>3332</v>
      </c>
      <c r="R652" s="8" t="s">
        <v>1808</v>
      </c>
      <c r="S652" s="6"/>
    </row>
    <row r="653" spans="1:19" ht="25.5" x14ac:dyDescent="0.25">
      <c r="A653" s="5" t="s">
        <v>3872</v>
      </c>
      <c r="B653" s="5">
        <v>652</v>
      </c>
      <c r="C653" s="6" t="s">
        <v>2431</v>
      </c>
      <c r="D653" s="6" t="s">
        <v>3888</v>
      </c>
      <c r="E653" s="6">
        <v>2802</v>
      </c>
      <c r="F653" s="6" t="s">
        <v>860</v>
      </c>
      <c r="G653" s="6">
        <v>10</v>
      </c>
      <c r="H653" s="6" t="s">
        <v>861</v>
      </c>
      <c r="I653" s="6" t="s">
        <v>3991</v>
      </c>
      <c r="J653" s="6" t="s">
        <v>3992</v>
      </c>
      <c r="K653" s="6" t="s">
        <v>3331</v>
      </c>
      <c r="L653" s="6">
        <v>34556702</v>
      </c>
      <c r="M653" s="6" t="s">
        <v>79</v>
      </c>
      <c r="N653" s="6" t="s">
        <v>862</v>
      </c>
      <c r="O653" s="6" t="s">
        <v>21</v>
      </c>
      <c r="P653" s="6" t="s">
        <v>21</v>
      </c>
      <c r="Q653" s="6" t="s">
        <v>3332</v>
      </c>
      <c r="R653" s="8" t="s">
        <v>1808</v>
      </c>
      <c r="S653" s="6"/>
    </row>
    <row r="654" spans="1:19" ht="25.5" x14ac:dyDescent="0.25">
      <c r="A654" s="5" t="s">
        <v>3872</v>
      </c>
      <c r="B654" s="5">
        <v>653</v>
      </c>
      <c r="C654" s="6" t="s">
        <v>2432</v>
      </c>
      <c r="D654" s="6" t="s">
        <v>3888</v>
      </c>
      <c r="E654" s="6">
        <v>2802</v>
      </c>
      <c r="F654" s="6" t="s">
        <v>860</v>
      </c>
      <c r="G654" s="6">
        <v>10</v>
      </c>
      <c r="H654" s="6" t="s">
        <v>861</v>
      </c>
      <c r="I654" s="6" t="s">
        <v>3993</v>
      </c>
      <c r="J654" s="6" t="s">
        <v>3994</v>
      </c>
      <c r="K654" s="6" t="s">
        <v>3331</v>
      </c>
      <c r="L654" s="6">
        <v>34538232</v>
      </c>
      <c r="M654" s="6" t="s">
        <v>79</v>
      </c>
      <c r="N654" s="6" t="s">
        <v>862</v>
      </c>
      <c r="O654" s="6" t="s">
        <v>21</v>
      </c>
      <c r="P654" s="6" t="s">
        <v>21</v>
      </c>
      <c r="Q654" s="6" t="s">
        <v>3332</v>
      </c>
      <c r="R654" s="8" t="s">
        <v>1808</v>
      </c>
      <c r="S654" s="6"/>
    </row>
    <row r="655" spans="1:19" ht="25.5" x14ac:dyDescent="0.25">
      <c r="A655" s="5" t="s">
        <v>3872</v>
      </c>
      <c r="B655" s="5">
        <v>654</v>
      </c>
      <c r="C655" s="6" t="s">
        <v>2433</v>
      </c>
      <c r="D655" s="6" t="s">
        <v>3888</v>
      </c>
      <c r="E655" s="6">
        <v>2805</v>
      </c>
      <c r="F655" s="6" t="s">
        <v>866</v>
      </c>
      <c r="G655" s="6">
        <v>22</v>
      </c>
      <c r="H655" s="6" t="s">
        <v>867</v>
      </c>
      <c r="I655" s="6" t="s">
        <v>3995</v>
      </c>
      <c r="J655" s="6" t="s">
        <v>3996</v>
      </c>
      <c r="K655" s="6" t="s">
        <v>3331</v>
      </c>
      <c r="L655" s="6">
        <v>25268012</v>
      </c>
      <c r="M655" s="6" t="s">
        <v>186</v>
      </c>
      <c r="N655" s="6" t="s">
        <v>862</v>
      </c>
      <c r="O655" s="6" t="s">
        <v>21</v>
      </c>
      <c r="P655" s="6" t="s">
        <v>21</v>
      </c>
      <c r="Q655" s="6" t="s">
        <v>3332</v>
      </c>
      <c r="R655" s="8" t="s">
        <v>1808</v>
      </c>
      <c r="S655" s="6"/>
    </row>
    <row r="656" spans="1:19" ht="25.5" x14ac:dyDescent="0.25">
      <c r="A656" s="5" t="s">
        <v>3872</v>
      </c>
      <c r="B656" s="5">
        <v>655</v>
      </c>
      <c r="C656" s="6" t="s">
        <v>2434</v>
      </c>
      <c r="D656" s="6" t="s">
        <v>3888</v>
      </c>
      <c r="E656" s="6">
        <v>2805</v>
      </c>
      <c r="F656" s="6" t="s">
        <v>866</v>
      </c>
      <c r="G656" s="6">
        <v>22</v>
      </c>
      <c r="H656" s="6" t="s">
        <v>867</v>
      </c>
      <c r="I656" s="6" t="s">
        <v>3997</v>
      </c>
      <c r="J656" s="6" t="s">
        <v>3998</v>
      </c>
      <c r="K656" s="6" t="s">
        <v>3331</v>
      </c>
      <c r="L656" s="6">
        <v>34552570</v>
      </c>
      <c r="M656" s="6" t="s">
        <v>79</v>
      </c>
      <c r="N656" s="6" t="s">
        <v>862</v>
      </c>
      <c r="O656" s="6" t="s">
        <v>21</v>
      </c>
      <c r="P656" s="6" t="s">
        <v>21</v>
      </c>
      <c r="Q656" s="6" t="s">
        <v>3332</v>
      </c>
      <c r="R656" s="8" t="s">
        <v>1808</v>
      </c>
      <c r="S656" s="6"/>
    </row>
    <row r="657" spans="1:19" ht="25.5" x14ac:dyDescent="0.25">
      <c r="A657" s="5" t="s">
        <v>3872</v>
      </c>
      <c r="B657" s="5">
        <v>656</v>
      </c>
      <c r="C657" s="6" t="s">
        <v>2435</v>
      </c>
      <c r="D657" s="6" t="s">
        <v>3888</v>
      </c>
      <c r="E657" s="6">
        <v>2805</v>
      </c>
      <c r="F657" s="6" t="s">
        <v>866</v>
      </c>
      <c r="G657" s="6">
        <v>22</v>
      </c>
      <c r="H657" s="6" t="s">
        <v>867</v>
      </c>
      <c r="I657" s="6" t="s">
        <v>3999</v>
      </c>
      <c r="J657" s="6" t="s">
        <v>4000</v>
      </c>
      <c r="K657" s="6" t="s">
        <v>3331</v>
      </c>
      <c r="L657" s="6">
        <v>34545452</v>
      </c>
      <c r="M657" s="6" t="s">
        <v>79</v>
      </c>
      <c r="N657" s="6" t="s">
        <v>862</v>
      </c>
      <c r="O657" s="6" t="s">
        <v>21</v>
      </c>
      <c r="P657" s="6" t="s">
        <v>21</v>
      </c>
      <c r="Q657" s="6" t="s">
        <v>3332</v>
      </c>
      <c r="R657" s="8" t="s">
        <v>1808</v>
      </c>
      <c r="S657" s="6"/>
    </row>
    <row r="658" spans="1:19" ht="25.5" x14ac:dyDescent="0.25">
      <c r="A658" s="5" t="s">
        <v>3872</v>
      </c>
      <c r="B658" s="5">
        <v>657</v>
      </c>
      <c r="C658" s="6" t="s">
        <v>2436</v>
      </c>
      <c r="D658" s="6" t="s">
        <v>3888</v>
      </c>
      <c r="E658" s="6">
        <v>2805</v>
      </c>
      <c r="F658" s="6" t="s">
        <v>866</v>
      </c>
      <c r="G658" s="6">
        <v>22</v>
      </c>
      <c r="H658" s="6" t="s">
        <v>867</v>
      </c>
      <c r="I658" s="6" t="s">
        <v>4001</v>
      </c>
      <c r="J658" s="6" t="s">
        <v>4002</v>
      </c>
      <c r="K658" s="6" t="s">
        <v>3331</v>
      </c>
      <c r="L658" s="6">
        <v>10547606</v>
      </c>
      <c r="M658" s="6" t="s">
        <v>79</v>
      </c>
      <c r="N658" s="6" t="s">
        <v>862</v>
      </c>
      <c r="O658" s="6" t="s">
        <v>21</v>
      </c>
      <c r="P658" s="6" t="s">
        <v>21</v>
      </c>
      <c r="Q658" s="6" t="s">
        <v>3332</v>
      </c>
      <c r="R658" s="8" t="s">
        <v>1808</v>
      </c>
      <c r="S658" s="6"/>
    </row>
    <row r="659" spans="1:19" ht="25.5" x14ac:dyDescent="0.25">
      <c r="A659" s="5" t="s">
        <v>3872</v>
      </c>
      <c r="B659" s="5">
        <v>658</v>
      </c>
      <c r="C659" s="6" t="s">
        <v>2437</v>
      </c>
      <c r="D659" s="6" t="s">
        <v>3888</v>
      </c>
      <c r="E659" s="6">
        <v>2817</v>
      </c>
      <c r="F659" s="6" t="s">
        <v>864</v>
      </c>
      <c r="G659" s="6">
        <v>137</v>
      </c>
      <c r="H659" s="6" t="s">
        <v>66</v>
      </c>
      <c r="I659" s="6" t="s">
        <v>4003</v>
      </c>
      <c r="J659" s="6" t="s">
        <v>4004</v>
      </c>
      <c r="K659" s="6" t="s">
        <v>3331</v>
      </c>
      <c r="L659" s="6">
        <v>10533411</v>
      </c>
      <c r="M659" s="6" t="s">
        <v>79</v>
      </c>
      <c r="N659" s="6" t="s">
        <v>862</v>
      </c>
      <c r="O659" s="6" t="s">
        <v>21</v>
      </c>
      <c r="P659" s="6" t="s">
        <v>868</v>
      </c>
      <c r="Q659" s="6" t="s">
        <v>3332</v>
      </c>
      <c r="R659" s="8" t="s">
        <v>1808</v>
      </c>
      <c r="S659" s="6"/>
    </row>
    <row r="660" spans="1:19" ht="25.5" x14ac:dyDescent="0.25">
      <c r="A660" s="5" t="s">
        <v>3872</v>
      </c>
      <c r="B660" s="5">
        <v>659</v>
      </c>
      <c r="C660" s="6" t="s">
        <v>2438</v>
      </c>
      <c r="D660" s="6" t="s">
        <v>3888</v>
      </c>
      <c r="E660" s="6">
        <v>2817</v>
      </c>
      <c r="F660" s="6" t="s">
        <v>864</v>
      </c>
      <c r="G660" s="6">
        <v>137</v>
      </c>
      <c r="H660" s="6" t="s">
        <v>66</v>
      </c>
      <c r="I660" s="6" t="s">
        <v>4005</v>
      </c>
      <c r="J660" s="6" t="s">
        <v>4006</v>
      </c>
      <c r="K660" s="6" t="s">
        <v>3331</v>
      </c>
      <c r="L660" s="6">
        <v>76303883</v>
      </c>
      <c r="M660" s="6" t="s">
        <v>79</v>
      </c>
      <c r="N660" s="6" t="s">
        <v>862</v>
      </c>
      <c r="O660" s="6" t="s">
        <v>21</v>
      </c>
      <c r="P660" s="6" t="s">
        <v>21</v>
      </c>
      <c r="Q660" s="6" t="s">
        <v>3332</v>
      </c>
      <c r="R660" s="8" t="s">
        <v>1808</v>
      </c>
      <c r="S660" s="6"/>
    </row>
    <row r="661" spans="1:19" ht="25.5" x14ac:dyDescent="0.25">
      <c r="A661" s="5" t="s">
        <v>3872</v>
      </c>
      <c r="B661" s="5">
        <v>660</v>
      </c>
      <c r="C661" s="6" t="s">
        <v>2439</v>
      </c>
      <c r="D661" s="6" t="s">
        <v>3888</v>
      </c>
      <c r="E661" s="6">
        <v>2817</v>
      </c>
      <c r="F661" s="6" t="s">
        <v>864</v>
      </c>
      <c r="G661" s="6">
        <v>137</v>
      </c>
      <c r="H661" s="6" t="s">
        <v>66</v>
      </c>
      <c r="I661" s="6" t="s">
        <v>4007</v>
      </c>
      <c r="J661" s="6" t="s">
        <v>4008</v>
      </c>
      <c r="K661" s="6" t="s">
        <v>3331</v>
      </c>
      <c r="L661" s="6">
        <v>34547501</v>
      </c>
      <c r="M661" s="6" t="s">
        <v>79</v>
      </c>
      <c r="N661" s="6" t="s">
        <v>862</v>
      </c>
      <c r="O661" s="6" t="s">
        <v>21</v>
      </c>
      <c r="P661" s="6" t="s">
        <v>21</v>
      </c>
      <c r="Q661" s="6" t="s">
        <v>3332</v>
      </c>
      <c r="R661" s="8" t="s">
        <v>1808</v>
      </c>
      <c r="S661" s="6"/>
    </row>
    <row r="662" spans="1:19" ht="25.5" x14ac:dyDescent="0.25">
      <c r="A662" s="5" t="s">
        <v>3872</v>
      </c>
      <c r="B662" s="5">
        <v>661</v>
      </c>
      <c r="C662" s="6" t="s">
        <v>2440</v>
      </c>
      <c r="D662" s="6" t="s">
        <v>3888</v>
      </c>
      <c r="E662" s="6">
        <v>2817</v>
      </c>
      <c r="F662" s="6" t="s">
        <v>864</v>
      </c>
      <c r="G662" s="6">
        <v>137</v>
      </c>
      <c r="H662" s="6" t="s">
        <v>66</v>
      </c>
      <c r="I662" s="6" t="s">
        <v>4009</v>
      </c>
      <c r="J662" s="6" t="s">
        <v>4010</v>
      </c>
      <c r="K662" s="6" t="s">
        <v>3331</v>
      </c>
      <c r="L662" s="6">
        <v>34541412</v>
      </c>
      <c r="M662" s="6" t="s">
        <v>79</v>
      </c>
      <c r="N662" s="6" t="s">
        <v>862</v>
      </c>
      <c r="O662" s="6" t="s">
        <v>21</v>
      </c>
      <c r="P662" s="6" t="s">
        <v>21</v>
      </c>
      <c r="Q662" s="6" t="s">
        <v>3332</v>
      </c>
      <c r="R662" s="8" t="s">
        <v>1808</v>
      </c>
      <c r="S662" s="6"/>
    </row>
    <row r="663" spans="1:19" ht="25.5" x14ac:dyDescent="0.25">
      <c r="A663" s="5" t="s">
        <v>3872</v>
      </c>
      <c r="B663" s="5">
        <v>662</v>
      </c>
      <c r="C663" s="6" t="s">
        <v>2441</v>
      </c>
      <c r="D663" s="6" t="s">
        <v>3888</v>
      </c>
      <c r="E663" s="6">
        <v>2817</v>
      </c>
      <c r="F663" s="6" t="s">
        <v>864</v>
      </c>
      <c r="G663" s="6">
        <v>137</v>
      </c>
      <c r="H663" s="6" t="s">
        <v>66</v>
      </c>
      <c r="I663" s="6" t="s">
        <v>4011</v>
      </c>
      <c r="J663" s="6" t="s">
        <v>4012</v>
      </c>
      <c r="K663" s="6" t="s">
        <v>3331</v>
      </c>
      <c r="L663" s="6">
        <v>34551545</v>
      </c>
      <c r="M663" s="6" t="s">
        <v>79</v>
      </c>
      <c r="N663" s="6" t="s">
        <v>862</v>
      </c>
      <c r="O663" s="6" t="s">
        <v>21</v>
      </c>
      <c r="P663" s="6" t="s">
        <v>21</v>
      </c>
      <c r="Q663" s="6" t="s">
        <v>3332</v>
      </c>
      <c r="R663" s="8" t="s">
        <v>1808</v>
      </c>
      <c r="S663" s="6"/>
    </row>
    <row r="664" spans="1:19" ht="25.5" x14ac:dyDescent="0.25">
      <c r="A664" s="5" t="s">
        <v>3872</v>
      </c>
      <c r="B664" s="5">
        <v>663</v>
      </c>
      <c r="C664" s="6" t="s">
        <v>2442</v>
      </c>
      <c r="D664" s="6" t="s">
        <v>3888</v>
      </c>
      <c r="E664" s="6">
        <v>2822</v>
      </c>
      <c r="F664" s="6" t="s">
        <v>869</v>
      </c>
      <c r="G664" s="6">
        <v>184</v>
      </c>
      <c r="H664" s="6" t="s">
        <v>70</v>
      </c>
      <c r="I664" s="6" t="s">
        <v>4013</v>
      </c>
      <c r="J664" s="6" t="s">
        <v>4014</v>
      </c>
      <c r="K664" s="6" t="s">
        <v>3331</v>
      </c>
      <c r="L664" s="6">
        <v>10545223</v>
      </c>
      <c r="M664" s="6" t="s">
        <v>79</v>
      </c>
      <c r="N664" s="6" t="s">
        <v>862</v>
      </c>
      <c r="O664" s="6" t="s">
        <v>21</v>
      </c>
      <c r="P664" s="6" t="s">
        <v>21</v>
      </c>
      <c r="Q664" s="6" t="s">
        <v>3332</v>
      </c>
      <c r="R664" s="8" t="s">
        <v>1808</v>
      </c>
      <c r="S664" s="6"/>
    </row>
    <row r="665" spans="1:19" ht="25.5" x14ac:dyDescent="0.25">
      <c r="A665" s="5" t="s">
        <v>3872</v>
      </c>
      <c r="B665" s="5">
        <v>664</v>
      </c>
      <c r="C665" s="6" t="s">
        <v>2443</v>
      </c>
      <c r="D665" s="6" t="s">
        <v>3888</v>
      </c>
      <c r="E665" s="6">
        <v>2822</v>
      </c>
      <c r="F665" s="6" t="s">
        <v>869</v>
      </c>
      <c r="G665" s="6">
        <v>184</v>
      </c>
      <c r="H665" s="6" t="s">
        <v>70</v>
      </c>
      <c r="I665" s="6" t="s">
        <v>4015</v>
      </c>
      <c r="J665" s="6" t="s">
        <v>4016</v>
      </c>
      <c r="K665" s="6" t="s">
        <v>3331</v>
      </c>
      <c r="L665" s="6">
        <v>34561114</v>
      </c>
      <c r="M665" s="6" t="s">
        <v>79</v>
      </c>
      <c r="N665" s="6" t="s">
        <v>862</v>
      </c>
      <c r="O665" s="6" t="s">
        <v>21</v>
      </c>
      <c r="P665" s="6" t="s">
        <v>21</v>
      </c>
      <c r="Q665" s="6" t="s">
        <v>3332</v>
      </c>
      <c r="R665" s="8" t="s">
        <v>1808</v>
      </c>
      <c r="S665" s="6"/>
    </row>
    <row r="666" spans="1:19" ht="25.5" x14ac:dyDescent="0.25">
      <c r="A666" s="5" t="s">
        <v>3872</v>
      </c>
      <c r="B666" s="5">
        <v>665</v>
      </c>
      <c r="C666" s="6" t="s">
        <v>2444</v>
      </c>
      <c r="D666" s="6" t="s">
        <v>3888</v>
      </c>
      <c r="E666" s="6">
        <v>2822</v>
      </c>
      <c r="F666" s="6" t="s">
        <v>869</v>
      </c>
      <c r="G666" s="6">
        <v>184</v>
      </c>
      <c r="H666" s="6" t="s">
        <v>70</v>
      </c>
      <c r="I666" s="6" t="s">
        <v>4017</v>
      </c>
      <c r="J666" s="6" t="s">
        <v>4018</v>
      </c>
      <c r="K666" s="6" t="s">
        <v>3331</v>
      </c>
      <c r="L666" s="6">
        <v>76313329</v>
      </c>
      <c r="M666" s="6" t="s">
        <v>79</v>
      </c>
      <c r="N666" s="6" t="s">
        <v>862</v>
      </c>
      <c r="O666" s="6" t="s">
        <v>21</v>
      </c>
      <c r="P666" s="6" t="s">
        <v>21</v>
      </c>
      <c r="Q666" s="6" t="s">
        <v>3332</v>
      </c>
      <c r="R666" s="8" t="s">
        <v>1808</v>
      </c>
      <c r="S666" s="6"/>
    </row>
    <row r="667" spans="1:19" ht="25.5" x14ac:dyDescent="0.25">
      <c r="A667" s="5" t="s">
        <v>3872</v>
      </c>
      <c r="B667" s="5">
        <v>666</v>
      </c>
      <c r="C667" s="6" t="s">
        <v>2445</v>
      </c>
      <c r="D667" s="6" t="s">
        <v>3888</v>
      </c>
      <c r="E667" s="6">
        <v>2822</v>
      </c>
      <c r="F667" s="6" t="s">
        <v>869</v>
      </c>
      <c r="G667" s="6">
        <v>184</v>
      </c>
      <c r="H667" s="6" t="s">
        <v>70</v>
      </c>
      <c r="I667" s="6" t="s">
        <v>4019</v>
      </c>
      <c r="J667" s="6" t="s">
        <v>4020</v>
      </c>
      <c r="K667" s="6" t="s">
        <v>3331</v>
      </c>
      <c r="L667" s="6">
        <v>34532305</v>
      </c>
      <c r="M667" s="6" t="s">
        <v>79</v>
      </c>
      <c r="N667" s="6" t="s">
        <v>862</v>
      </c>
      <c r="O667" s="6" t="s">
        <v>21</v>
      </c>
      <c r="P667" s="6" t="s">
        <v>21</v>
      </c>
      <c r="Q667" s="6" t="s">
        <v>3332</v>
      </c>
      <c r="R667" s="8" t="s">
        <v>1808</v>
      </c>
      <c r="S667" s="6"/>
    </row>
    <row r="668" spans="1:19" ht="25.5" x14ac:dyDescent="0.25">
      <c r="A668" s="5" t="s">
        <v>3872</v>
      </c>
      <c r="B668" s="5">
        <v>667</v>
      </c>
      <c r="C668" s="6" t="s">
        <v>2446</v>
      </c>
      <c r="D668" s="6" t="s">
        <v>3888</v>
      </c>
      <c r="E668" s="6">
        <v>2822</v>
      </c>
      <c r="F668" s="6" t="s">
        <v>869</v>
      </c>
      <c r="G668" s="6">
        <v>184</v>
      </c>
      <c r="H668" s="6" t="s">
        <v>70</v>
      </c>
      <c r="I668" s="6" t="s">
        <v>4021</v>
      </c>
      <c r="J668" s="6" t="s">
        <v>4022</v>
      </c>
      <c r="K668" s="6" t="s">
        <v>3331</v>
      </c>
      <c r="L668" s="6">
        <v>10529077</v>
      </c>
      <c r="M668" s="6" t="s">
        <v>79</v>
      </c>
      <c r="N668" s="6" t="s">
        <v>862</v>
      </c>
      <c r="O668" s="6" t="s">
        <v>21</v>
      </c>
      <c r="P668" s="6" t="s">
        <v>21</v>
      </c>
      <c r="Q668" s="6" t="s">
        <v>3332</v>
      </c>
      <c r="R668" s="8" t="s">
        <v>1808</v>
      </c>
      <c r="S668" s="6"/>
    </row>
    <row r="669" spans="1:19" ht="25.5" x14ac:dyDescent="0.25">
      <c r="A669" s="5" t="s">
        <v>3872</v>
      </c>
      <c r="B669" s="5">
        <v>668</v>
      </c>
      <c r="C669" s="6" t="s">
        <v>2447</v>
      </c>
      <c r="D669" s="6" t="s">
        <v>3888</v>
      </c>
      <c r="E669" s="6">
        <v>2822</v>
      </c>
      <c r="F669" s="6" t="s">
        <v>869</v>
      </c>
      <c r="G669" s="6">
        <v>184</v>
      </c>
      <c r="H669" s="6" t="s">
        <v>70</v>
      </c>
      <c r="I669" s="6" t="s">
        <v>4023</v>
      </c>
      <c r="J669" s="6" t="s">
        <v>3330</v>
      </c>
      <c r="K669" s="6" t="s">
        <v>3331</v>
      </c>
      <c r="L669" s="6">
        <v>34543836</v>
      </c>
      <c r="M669" s="6" t="s">
        <v>79</v>
      </c>
      <c r="N669" s="6" t="s">
        <v>862</v>
      </c>
      <c r="O669" s="6" t="s">
        <v>21</v>
      </c>
      <c r="P669" s="6" t="s">
        <v>21</v>
      </c>
      <c r="Q669" s="6" t="s">
        <v>3332</v>
      </c>
      <c r="R669" s="8" t="s">
        <v>1808</v>
      </c>
      <c r="S669" s="6"/>
    </row>
    <row r="670" spans="1:19" ht="25.5" x14ac:dyDescent="0.25">
      <c r="A670" s="5" t="s">
        <v>3872</v>
      </c>
      <c r="B670" s="5">
        <v>669</v>
      </c>
      <c r="C670" s="6" t="s">
        <v>2448</v>
      </c>
      <c r="D670" s="6" t="s">
        <v>3888</v>
      </c>
      <c r="E670" s="6">
        <v>2822</v>
      </c>
      <c r="F670" s="6" t="s">
        <v>869</v>
      </c>
      <c r="G670" s="6">
        <v>184</v>
      </c>
      <c r="H670" s="6" t="s">
        <v>70</v>
      </c>
      <c r="I670" s="6" t="s">
        <v>4024</v>
      </c>
      <c r="J670" s="6" t="s">
        <v>4025</v>
      </c>
      <c r="K670" s="6" t="s">
        <v>3331</v>
      </c>
      <c r="L670" s="6">
        <v>34545517</v>
      </c>
      <c r="M670" s="6" t="s">
        <v>79</v>
      </c>
      <c r="N670" s="6" t="s">
        <v>862</v>
      </c>
      <c r="O670" s="6" t="s">
        <v>21</v>
      </c>
      <c r="P670" s="6" t="s">
        <v>21</v>
      </c>
      <c r="Q670" s="6" t="s">
        <v>3332</v>
      </c>
      <c r="R670" s="8" t="s">
        <v>1808</v>
      </c>
      <c r="S670" s="6"/>
    </row>
    <row r="671" spans="1:19" ht="25.5" x14ac:dyDescent="0.25">
      <c r="A671" s="5" t="s">
        <v>3872</v>
      </c>
      <c r="B671" s="5">
        <v>670</v>
      </c>
      <c r="C671" s="6" t="s">
        <v>2449</v>
      </c>
      <c r="D671" s="6" t="s">
        <v>3888</v>
      </c>
      <c r="E671" s="6">
        <v>2822</v>
      </c>
      <c r="F671" s="6" t="s">
        <v>869</v>
      </c>
      <c r="G671" s="6">
        <v>184</v>
      </c>
      <c r="H671" s="6" t="s">
        <v>70</v>
      </c>
      <c r="I671" s="6" t="s">
        <v>4026</v>
      </c>
      <c r="J671" s="6" t="s">
        <v>4027</v>
      </c>
      <c r="K671" s="6" t="s">
        <v>3331</v>
      </c>
      <c r="L671" s="6">
        <v>34554208</v>
      </c>
      <c r="M671" s="6" t="s">
        <v>79</v>
      </c>
      <c r="N671" s="6" t="s">
        <v>862</v>
      </c>
      <c r="O671" s="6" t="s">
        <v>21</v>
      </c>
      <c r="P671" s="6" t="s">
        <v>21</v>
      </c>
      <c r="Q671" s="6" t="s">
        <v>3332</v>
      </c>
      <c r="R671" s="8" t="s">
        <v>1808</v>
      </c>
      <c r="S671" s="6"/>
    </row>
    <row r="672" spans="1:19" ht="25.5" x14ac:dyDescent="0.25">
      <c r="A672" s="5" t="s">
        <v>3872</v>
      </c>
      <c r="B672" s="5">
        <v>671</v>
      </c>
      <c r="C672" s="6" t="s">
        <v>2450</v>
      </c>
      <c r="D672" s="6" t="s">
        <v>3888</v>
      </c>
      <c r="E672" s="6">
        <v>2822</v>
      </c>
      <c r="F672" s="6" t="s">
        <v>869</v>
      </c>
      <c r="G672" s="6">
        <v>184</v>
      </c>
      <c r="H672" s="6" t="s">
        <v>70</v>
      </c>
      <c r="I672" s="6" t="s">
        <v>4028</v>
      </c>
      <c r="J672" s="6" t="s">
        <v>4029</v>
      </c>
      <c r="K672" s="6" t="s">
        <v>3331</v>
      </c>
      <c r="L672" s="6">
        <v>34530627</v>
      </c>
      <c r="M672" s="6" t="s">
        <v>79</v>
      </c>
      <c r="N672" s="6" t="s">
        <v>862</v>
      </c>
      <c r="O672" s="6" t="s">
        <v>21</v>
      </c>
      <c r="P672" s="6" t="s">
        <v>21</v>
      </c>
      <c r="Q672" s="6" t="s">
        <v>3332</v>
      </c>
      <c r="R672" s="8" t="s">
        <v>1808</v>
      </c>
      <c r="S672" s="6"/>
    </row>
    <row r="673" spans="1:19" ht="25.5" x14ac:dyDescent="0.25">
      <c r="A673" s="5" t="s">
        <v>3872</v>
      </c>
      <c r="B673" s="5">
        <v>672</v>
      </c>
      <c r="C673" s="6" t="s">
        <v>2451</v>
      </c>
      <c r="D673" s="6" t="s">
        <v>3888</v>
      </c>
      <c r="E673" s="6">
        <v>2822</v>
      </c>
      <c r="F673" s="6" t="s">
        <v>869</v>
      </c>
      <c r="G673" s="6">
        <v>184</v>
      </c>
      <c r="H673" s="6" t="s">
        <v>70</v>
      </c>
      <c r="I673" s="6" t="s">
        <v>4030</v>
      </c>
      <c r="J673" s="6" t="s">
        <v>3488</v>
      </c>
      <c r="K673" s="6" t="s">
        <v>3331</v>
      </c>
      <c r="L673" s="6">
        <v>34542234</v>
      </c>
      <c r="M673" s="6" t="s">
        <v>79</v>
      </c>
      <c r="N673" s="6" t="s">
        <v>862</v>
      </c>
      <c r="O673" s="6" t="s">
        <v>21</v>
      </c>
      <c r="P673" s="6" t="s">
        <v>21</v>
      </c>
      <c r="Q673" s="6" t="s">
        <v>3332</v>
      </c>
      <c r="R673" s="8" t="s">
        <v>1808</v>
      </c>
      <c r="S673" s="6"/>
    </row>
    <row r="674" spans="1:19" ht="25.5" x14ac:dyDescent="0.25">
      <c r="A674" s="5" t="s">
        <v>3872</v>
      </c>
      <c r="B674" s="5">
        <v>673</v>
      </c>
      <c r="C674" s="6" t="s">
        <v>2452</v>
      </c>
      <c r="D674" s="6" t="s">
        <v>3888</v>
      </c>
      <c r="E674" s="6">
        <v>2827</v>
      </c>
      <c r="F674" s="6" t="s">
        <v>870</v>
      </c>
      <c r="G674" s="6">
        <v>290</v>
      </c>
      <c r="H674" s="6" t="s">
        <v>871</v>
      </c>
      <c r="I674" s="6" t="s">
        <v>4031</v>
      </c>
      <c r="J674" s="6" t="s">
        <v>3528</v>
      </c>
      <c r="K674" s="6" t="s">
        <v>3331</v>
      </c>
      <c r="L674" s="6">
        <v>34560364</v>
      </c>
      <c r="M674" s="6" t="s">
        <v>79</v>
      </c>
      <c r="N674" s="6" t="s">
        <v>862</v>
      </c>
      <c r="O674" s="6" t="s">
        <v>21</v>
      </c>
      <c r="P674" s="6" t="s">
        <v>21</v>
      </c>
      <c r="Q674" s="6" t="s">
        <v>3332</v>
      </c>
      <c r="R674" s="8" t="s">
        <v>1808</v>
      </c>
      <c r="S674" s="6"/>
    </row>
    <row r="675" spans="1:19" ht="25.5" x14ac:dyDescent="0.25">
      <c r="A675" s="5" t="s">
        <v>3872</v>
      </c>
      <c r="B675" s="5">
        <v>674</v>
      </c>
      <c r="C675" s="6" t="s">
        <v>2453</v>
      </c>
      <c r="D675" s="6" t="s">
        <v>3888</v>
      </c>
      <c r="E675" s="6">
        <v>2827</v>
      </c>
      <c r="F675" s="6" t="s">
        <v>870</v>
      </c>
      <c r="G675" s="6">
        <v>290</v>
      </c>
      <c r="H675" s="6" t="s">
        <v>871</v>
      </c>
      <c r="I675" s="6" t="s">
        <v>4032</v>
      </c>
      <c r="J675" s="6" t="s">
        <v>4033</v>
      </c>
      <c r="K675" s="6" t="s">
        <v>3331</v>
      </c>
      <c r="L675" s="6">
        <v>34320199</v>
      </c>
      <c r="M675" s="6" t="s">
        <v>79</v>
      </c>
      <c r="N675" s="6" t="s">
        <v>862</v>
      </c>
      <c r="O675" s="6" t="s">
        <v>21</v>
      </c>
      <c r="P675" s="6" t="s">
        <v>21</v>
      </c>
      <c r="Q675" s="6" t="s">
        <v>3332</v>
      </c>
      <c r="R675" s="8" t="s">
        <v>1808</v>
      </c>
      <c r="S675" s="6"/>
    </row>
    <row r="676" spans="1:19" ht="25.5" x14ac:dyDescent="0.25">
      <c r="A676" s="5" t="s">
        <v>3872</v>
      </c>
      <c r="B676" s="5">
        <v>675</v>
      </c>
      <c r="C676" s="6" t="s">
        <v>2454</v>
      </c>
      <c r="D676" s="6" t="s">
        <v>3888</v>
      </c>
      <c r="E676" s="6">
        <v>2827</v>
      </c>
      <c r="F676" s="6" t="s">
        <v>870</v>
      </c>
      <c r="G676" s="6">
        <v>290</v>
      </c>
      <c r="H676" s="6" t="s">
        <v>871</v>
      </c>
      <c r="I676" s="6" t="s">
        <v>4034</v>
      </c>
      <c r="J676" s="6" t="s">
        <v>4035</v>
      </c>
      <c r="K676" s="6" t="s">
        <v>3331</v>
      </c>
      <c r="L676" s="6">
        <v>34559667</v>
      </c>
      <c r="M676" s="6" t="s">
        <v>79</v>
      </c>
      <c r="N676" s="6" t="s">
        <v>862</v>
      </c>
      <c r="O676" s="6" t="s">
        <v>21</v>
      </c>
      <c r="P676" s="6" t="s">
        <v>21</v>
      </c>
      <c r="Q676" s="6" t="s">
        <v>3332</v>
      </c>
      <c r="R676" s="8" t="s">
        <v>1808</v>
      </c>
      <c r="S676" s="6"/>
    </row>
    <row r="677" spans="1:19" ht="25.5" x14ac:dyDescent="0.25">
      <c r="A677" s="5" t="s">
        <v>3872</v>
      </c>
      <c r="B677" s="5">
        <v>676</v>
      </c>
      <c r="C677" s="6" t="s">
        <v>2455</v>
      </c>
      <c r="D677" s="6" t="s">
        <v>3888</v>
      </c>
      <c r="E677" s="6">
        <v>2827</v>
      </c>
      <c r="F677" s="6" t="s">
        <v>870</v>
      </c>
      <c r="G677" s="6">
        <v>290</v>
      </c>
      <c r="H677" s="6" t="s">
        <v>871</v>
      </c>
      <c r="I677" s="6" t="s">
        <v>4036</v>
      </c>
      <c r="J677" s="6" t="s">
        <v>4037</v>
      </c>
      <c r="K677" s="6" t="s">
        <v>3331</v>
      </c>
      <c r="L677" s="6">
        <v>34560356</v>
      </c>
      <c r="M677" s="6" t="s">
        <v>79</v>
      </c>
      <c r="N677" s="6" t="s">
        <v>862</v>
      </c>
      <c r="O677" s="6" t="s">
        <v>21</v>
      </c>
      <c r="P677" s="6" t="s">
        <v>21</v>
      </c>
      <c r="Q677" s="6" t="s">
        <v>3332</v>
      </c>
      <c r="R677" s="8" t="s">
        <v>1808</v>
      </c>
      <c r="S677" s="6"/>
    </row>
    <row r="678" spans="1:19" ht="25.5" x14ac:dyDescent="0.25">
      <c r="A678" s="5" t="s">
        <v>3872</v>
      </c>
      <c r="B678" s="5">
        <v>677</v>
      </c>
      <c r="C678" s="6" t="s">
        <v>2456</v>
      </c>
      <c r="D678" s="6" t="s">
        <v>3888</v>
      </c>
      <c r="E678" s="6">
        <v>2827</v>
      </c>
      <c r="F678" s="6" t="s">
        <v>870</v>
      </c>
      <c r="G678" s="6">
        <v>290</v>
      </c>
      <c r="H678" s="6" t="s">
        <v>871</v>
      </c>
      <c r="I678" s="6" t="s">
        <v>4038</v>
      </c>
      <c r="J678" s="6" t="s">
        <v>4039</v>
      </c>
      <c r="K678" s="6" t="s">
        <v>3331</v>
      </c>
      <c r="L678" s="6">
        <v>34565438</v>
      </c>
      <c r="M678" s="6" t="s">
        <v>79</v>
      </c>
      <c r="N678" s="6" t="s">
        <v>862</v>
      </c>
      <c r="O678" s="6" t="s">
        <v>21</v>
      </c>
      <c r="P678" s="6" t="s">
        <v>21</v>
      </c>
      <c r="Q678" s="6" t="s">
        <v>3332</v>
      </c>
      <c r="R678" s="8" t="s">
        <v>1808</v>
      </c>
      <c r="S678" s="6"/>
    </row>
    <row r="679" spans="1:19" ht="25.5" x14ac:dyDescent="0.25">
      <c r="A679" s="5" t="s">
        <v>3872</v>
      </c>
      <c r="B679" s="5">
        <v>678</v>
      </c>
      <c r="C679" s="6" t="s">
        <v>2457</v>
      </c>
      <c r="D679" s="6" t="s">
        <v>3888</v>
      </c>
      <c r="E679" s="6">
        <v>2834</v>
      </c>
      <c r="F679" s="6" t="s">
        <v>872</v>
      </c>
      <c r="G679" s="6">
        <v>304</v>
      </c>
      <c r="H679" s="6" t="s">
        <v>873</v>
      </c>
      <c r="I679" s="6" t="s">
        <v>4040</v>
      </c>
      <c r="J679" s="6" t="s">
        <v>4041</v>
      </c>
      <c r="K679" s="6" t="s">
        <v>3331</v>
      </c>
      <c r="L679" s="6">
        <v>76313546</v>
      </c>
      <c r="M679" s="6" t="s">
        <v>79</v>
      </c>
      <c r="N679" s="6" t="s">
        <v>862</v>
      </c>
      <c r="O679" s="6" t="s">
        <v>21</v>
      </c>
      <c r="P679" s="6" t="s">
        <v>21</v>
      </c>
      <c r="Q679" s="6" t="s">
        <v>3332</v>
      </c>
      <c r="R679" s="8" t="s">
        <v>1808</v>
      </c>
      <c r="S679" s="6"/>
    </row>
    <row r="680" spans="1:19" ht="25.5" x14ac:dyDescent="0.25">
      <c r="A680" s="5" t="s">
        <v>3872</v>
      </c>
      <c r="B680" s="5">
        <v>679</v>
      </c>
      <c r="C680" s="6" t="s">
        <v>2458</v>
      </c>
      <c r="D680" s="6" t="s">
        <v>3888</v>
      </c>
      <c r="E680" s="6">
        <v>2834</v>
      </c>
      <c r="F680" s="6" t="s">
        <v>872</v>
      </c>
      <c r="G680" s="6">
        <v>304</v>
      </c>
      <c r="H680" s="6" t="s">
        <v>873</v>
      </c>
      <c r="I680" s="6" t="s">
        <v>4042</v>
      </c>
      <c r="J680" s="6" t="s">
        <v>4043</v>
      </c>
      <c r="K680" s="6" t="s">
        <v>3331</v>
      </c>
      <c r="L680" s="6">
        <v>34562179</v>
      </c>
      <c r="M680" s="6" t="s">
        <v>79</v>
      </c>
      <c r="N680" s="6" t="s">
        <v>862</v>
      </c>
      <c r="O680" s="6" t="s">
        <v>21</v>
      </c>
      <c r="P680" s="6" t="s">
        <v>21</v>
      </c>
      <c r="Q680" s="6" t="s">
        <v>3332</v>
      </c>
      <c r="R680" s="8" t="s">
        <v>1808</v>
      </c>
      <c r="S680" s="6"/>
    </row>
    <row r="681" spans="1:19" ht="25.5" x14ac:dyDescent="0.25">
      <c r="A681" s="5" t="s">
        <v>3872</v>
      </c>
      <c r="B681" s="5">
        <v>680</v>
      </c>
      <c r="C681" s="6" t="s">
        <v>2459</v>
      </c>
      <c r="D681" s="6" t="s">
        <v>3888</v>
      </c>
      <c r="E681" s="6">
        <v>2834</v>
      </c>
      <c r="F681" s="6" t="s">
        <v>872</v>
      </c>
      <c r="G681" s="6">
        <v>304</v>
      </c>
      <c r="H681" s="6" t="s">
        <v>873</v>
      </c>
      <c r="I681" s="6" t="s">
        <v>4044</v>
      </c>
      <c r="J681" s="6" t="s">
        <v>3330</v>
      </c>
      <c r="K681" s="6" t="s">
        <v>3331</v>
      </c>
      <c r="L681" s="6">
        <v>34537727</v>
      </c>
      <c r="M681" s="6" t="s">
        <v>79</v>
      </c>
      <c r="N681" s="6" t="s">
        <v>862</v>
      </c>
      <c r="O681" s="6" t="s">
        <v>21</v>
      </c>
      <c r="P681" s="6" t="s">
        <v>21</v>
      </c>
      <c r="Q681" s="6" t="s">
        <v>3332</v>
      </c>
      <c r="R681" s="8" t="s">
        <v>1808</v>
      </c>
      <c r="S681" s="6"/>
    </row>
    <row r="682" spans="1:19" ht="25.5" x14ac:dyDescent="0.25">
      <c r="A682" s="5" t="s">
        <v>3872</v>
      </c>
      <c r="B682" s="5">
        <v>681</v>
      </c>
      <c r="C682" s="6" t="s">
        <v>2460</v>
      </c>
      <c r="D682" s="6" t="s">
        <v>3888</v>
      </c>
      <c r="E682" s="6">
        <v>2834</v>
      </c>
      <c r="F682" s="6" t="s">
        <v>872</v>
      </c>
      <c r="G682" s="6">
        <v>304</v>
      </c>
      <c r="H682" s="6" t="s">
        <v>873</v>
      </c>
      <c r="I682" s="6" t="s">
        <v>4045</v>
      </c>
      <c r="J682" s="6" t="s">
        <v>4046</v>
      </c>
      <c r="K682" s="6" t="s">
        <v>3331</v>
      </c>
      <c r="L682" s="6">
        <v>34552304</v>
      </c>
      <c r="M682" s="6" t="s">
        <v>79</v>
      </c>
      <c r="N682" s="6" t="s">
        <v>862</v>
      </c>
      <c r="O682" s="6" t="s">
        <v>21</v>
      </c>
      <c r="P682" s="6" t="s">
        <v>21</v>
      </c>
      <c r="Q682" s="6" t="s">
        <v>3332</v>
      </c>
      <c r="R682" s="8" t="s">
        <v>1808</v>
      </c>
      <c r="S682" s="6"/>
    </row>
    <row r="683" spans="1:19" ht="25.5" x14ac:dyDescent="0.25">
      <c r="A683" s="5" t="s">
        <v>3872</v>
      </c>
      <c r="B683" s="5">
        <v>682</v>
      </c>
      <c r="C683" s="6" t="s">
        <v>2461</v>
      </c>
      <c r="D683" s="6" t="s">
        <v>3888</v>
      </c>
      <c r="E683" s="6">
        <v>2838</v>
      </c>
      <c r="F683" s="6" t="s">
        <v>874</v>
      </c>
      <c r="G683" s="6">
        <v>328</v>
      </c>
      <c r="H683" s="6" t="s">
        <v>84</v>
      </c>
      <c r="I683" s="6" t="s">
        <v>4047</v>
      </c>
      <c r="J683" s="6" t="s">
        <v>4048</v>
      </c>
      <c r="K683" s="6" t="s">
        <v>3331</v>
      </c>
      <c r="L683" s="6">
        <v>10549639</v>
      </c>
      <c r="M683" s="6" t="s">
        <v>79</v>
      </c>
      <c r="N683" s="6" t="s">
        <v>862</v>
      </c>
      <c r="O683" s="6" t="s">
        <v>21</v>
      </c>
      <c r="P683" s="6" t="s">
        <v>21</v>
      </c>
      <c r="Q683" s="6" t="s">
        <v>3332</v>
      </c>
      <c r="R683" s="8" t="s">
        <v>1808</v>
      </c>
      <c r="S683" s="6"/>
    </row>
    <row r="684" spans="1:19" ht="25.5" x14ac:dyDescent="0.25">
      <c r="A684" s="5" t="s">
        <v>3872</v>
      </c>
      <c r="B684" s="5">
        <v>683</v>
      </c>
      <c r="C684" s="6" t="s">
        <v>2462</v>
      </c>
      <c r="D684" s="6" t="s">
        <v>3888</v>
      </c>
      <c r="E684" s="6">
        <v>2838</v>
      </c>
      <c r="F684" s="6" t="s">
        <v>874</v>
      </c>
      <c r="G684" s="6">
        <v>328</v>
      </c>
      <c r="H684" s="6" t="s">
        <v>84</v>
      </c>
      <c r="I684" s="6" t="s">
        <v>4049</v>
      </c>
      <c r="J684" s="6" t="s">
        <v>4050</v>
      </c>
      <c r="K684" s="6" t="s">
        <v>3331</v>
      </c>
      <c r="L684" s="6">
        <v>34557578</v>
      </c>
      <c r="M684" s="6" t="s">
        <v>79</v>
      </c>
      <c r="N684" s="6" t="s">
        <v>862</v>
      </c>
      <c r="O684" s="6" t="s">
        <v>21</v>
      </c>
      <c r="P684" s="6" t="s">
        <v>21</v>
      </c>
      <c r="Q684" s="6" t="s">
        <v>3332</v>
      </c>
      <c r="R684" s="8" t="s">
        <v>1808</v>
      </c>
      <c r="S684" s="6"/>
    </row>
    <row r="685" spans="1:19" ht="25.5" x14ac:dyDescent="0.25">
      <c r="A685" s="5" t="s">
        <v>3872</v>
      </c>
      <c r="B685" s="5">
        <v>684</v>
      </c>
      <c r="C685" s="6" t="s">
        <v>2463</v>
      </c>
      <c r="D685" s="6" t="s">
        <v>3888</v>
      </c>
      <c r="E685" s="6">
        <v>2841</v>
      </c>
      <c r="F685" s="6" t="s">
        <v>875</v>
      </c>
      <c r="G685" s="6">
        <v>416</v>
      </c>
      <c r="H685" s="6" t="s">
        <v>580</v>
      </c>
      <c r="I685" s="6" t="s">
        <v>4051</v>
      </c>
      <c r="J685" s="6" t="s">
        <v>4052</v>
      </c>
      <c r="K685" s="6" t="s">
        <v>3331</v>
      </c>
      <c r="L685" s="6">
        <v>34537773</v>
      </c>
      <c r="M685" s="6" t="s">
        <v>79</v>
      </c>
      <c r="N685" s="6" t="s">
        <v>862</v>
      </c>
      <c r="O685" s="6" t="s">
        <v>21</v>
      </c>
      <c r="P685" s="6" t="s">
        <v>21</v>
      </c>
      <c r="Q685" s="6" t="s">
        <v>3332</v>
      </c>
      <c r="R685" s="8" t="s">
        <v>1808</v>
      </c>
      <c r="S685" s="6"/>
    </row>
    <row r="686" spans="1:19" ht="25.5" x14ac:dyDescent="0.25">
      <c r="A686" s="5" t="s">
        <v>3872</v>
      </c>
      <c r="B686" s="5">
        <v>685</v>
      </c>
      <c r="C686" s="6" t="s">
        <v>2464</v>
      </c>
      <c r="D686" s="6" t="s">
        <v>3888</v>
      </c>
      <c r="E686" s="6">
        <v>2841</v>
      </c>
      <c r="F686" s="6" t="s">
        <v>875</v>
      </c>
      <c r="G686" s="6">
        <v>416</v>
      </c>
      <c r="H686" s="6" t="s">
        <v>580</v>
      </c>
      <c r="I686" s="6" t="s">
        <v>4053</v>
      </c>
      <c r="J686" s="6" t="s">
        <v>4054</v>
      </c>
      <c r="K686" s="6" t="s">
        <v>3331</v>
      </c>
      <c r="L686" s="6">
        <v>10535962</v>
      </c>
      <c r="M686" s="6" t="s">
        <v>79</v>
      </c>
      <c r="N686" s="6" t="s">
        <v>862</v>
      </c>
      <c r="O686" s="6" t="s">
        <v>21</v>
      </c>
      <c r="P686" s="6" t="s">
        <v>21</v>
      </c>
      <c r="Q686" s="6" t="s">
        <v>3332</v>
      </c>
      <c r="R686" s="8" t="s">
        <v>1808</v>
      </c>
      <c r="S686" s="6"/>
    </row>
    <row r="687" spans="1:19" ht="25.5" x14ac:dyDescent="0.25">
      <c r="A687" s="5" t="s">
        <v>3872</v>
      </c>
      <c r="B687" s="5">
        <v>686</v>
      </c>
      <c r="C687" s="6" t="s">
        <v>2465</v>
      </c>
      <c r="D687" s="6" t="s">
        <v>3888</v>
      </c>
      <c r="E687" s="6">
        <v>2841</v>
      </c>
      <c r="F687" s="6" t="s">
        <v>875</v>
      </c>
      <c r="G687" s="6">
        <v>416</v>
      </c>
      <c r="H687" s="6" t="s">
        <v>580</v>
      </c>
      <c r="I687" s="6" t="s">
        <v>4055</v>
      </c>
      <c r="J687" s="6" t="s">
        <v>4056</v>
      </c>
      <c r="K687" s="6" t="s">
        <v>3331</v>
      </c>
      <c r="L687" s="6">
        <v>34561144</v>
      </c>
      <c r="M687" s="6" t="s">
        <v>79</v>
      </c>
      <c r="N687" s="6" t="s">
        <v>862</v>
      </c>
      <c r="O687" s="6" t="s">
        <v>21</v>
      </c>
      <c r="P687" s="6" t="s">
        <v>21</v>
      </c>
      <c r="Q687" s="6" t="s">
        <v>3332</v>
      </c>
      <c r="R687" s="8" t="s">
        <v>1808</v>
      </c>
      <c r="S687" s="6"/>
    </row>
    <row r="688" spans="1:19" ht="25.5" x14ac:dyDescent="0.25">
      <c r="A688" s="5" t="s">
        <v>3872</v>
      </c>
      <c r="B688" s="5">
        <v>687</v>
      </c>
      <c r="C688" s="6" t="s">
        <v>2466</v>
      </c>
      <c r="D688" s="6" t="s">
        <v>3888</v>
      </c>
      <c r="E688" s="6">
        <v>2841</v>
      </c>
      <c r="F688" s="6" t="s">
        <v>875</v>
      </c>
      <c r="G688" s="6">
        <v>416</v>
      </c>
      <c r="H688" s="6" t="s">
        <v>580</v>
      </c>
      <c r="I688" s="6" t="s">
        <v>4057</v>
      </c>
      <c r="J688" s="6" t="s">
        <v>4058</v>
      </c>
      <c r="K688" s="6" t="s">
        <v>3331</v>
      </c>
      <c r="L688" s="6">
        <v>34566559</v>
      </c>
      <c r="M688" s="6" t="s">
        <v>79</v>
      </c>
      <c r="N688" s="6" t="s">
        <v>862</v>
      </c>
      <c r="O688" s="6" t="s">
        <v>21</v>
      </c>
      <c r="P688" s="6" t="s">
        <v>21</v>
      </c>
      <c r="Q688" s="6" t="s">
        <v>3332</v>
      </c>
      <c r="R688" s="8" t="s">
        <v>1808</v>
      </c>
      <c r="S688" s="6"/>
    </row>
    <row r="689" spans="1:19" ht="25.5" x14ac:dyDescent="0.25">
      <c r="A689" s="5" t="s">
        <v>3872</v>
      </c>
      <c r="B689" s="5">
        <v>688</v>
      </c>
      <c r="C689" s="6" t="s">
        <v>2467</v>
      </c>
      <c r="D689" s="6" t="s">
        <v>3888</v>
      </c>
      <c r="E689" s="6">
        <v>2849</v>
      </c>
      <c r="F689" s="6" t="s">
        <v>876</v>
      </c>
      <c r="G689" s="6">
        <v>447</v>
      </c>
      <c r="H689" s="6" t="s">
        <v>77</v>
      </c>
      <c r="I689" s="6" t="s">
        <v>4059</v>
      </c>
      <c r="J689" s="6" t="s">
        <v>4060</v>
      </c>
      <c r="K689" s="6" t="s">
        <v>3331</v>
      </c>
      <c r="L689" s="6">
        <v>34562375</v>
      </c>
      <c r="M689" s="6" t="s">
        <v>79</v>
      </c>
      <c r="N689" s="6" t="s">
        <v>877</v>
      </c>
      <c r="O689" s="6" t="s">
        <v>21</v>
      </c>
      <c r="P689" s="6" t="s">
        <v>21</v>
      </c>
      <c r="Q689" s="6" t="s">
        <v>3332</v>
      </c>
      <c r="R689" s="8" t="s">
        <v>1808</v>
      </c>
      <c r="S689" s="6"/>
    </row>
    <row r="690" spans="1:19" ht="25.5" x14ac:dyDescent="0.25">
      <c r="A690" s="5" t="s">
        <v>3872</v>
      </c>
      <c r="B690" s="5">
        <v>689</v>
      </c>
      <c r="C690" s="6" t="s">
        <v>2468</v>
      </c>
      <c r="D690" s="6" t="s">
        <v>3888</v>
      </c>
      <c r="E690" s="6">
        <v>2849</v>
      </c>
      <c r="F690" s="6" t="s">
        <v>876</v>
      </c>
      <c r="G690" s="6">
        <v>447</v>
      </c>
      <c r="H690" s="6" t="s">
        <v>77</v>
      </c>
      <c r="I690" s="6" t="s">
        <v>4061</v>
      </c>
      <c r="J690" s="6" t="s">
        <v>4062</v>
      </c>
      <c r="K690" s="6" t="s">
        <v>3331</v>
      </c>
      <c r="L690" s="6">
        <v>76314363</v>
      </c>
      <c r="M690" s="6" t="s">
        <v>79</v>
      </c>
      <c r="N690" s="6" t="s">
        <v>877</v>
      </c>
      <c r="O690" s="6" t="s">
        <v>21</v>
      </c>
      <c r="P690" s="6" t="s">
        <v>21</v>
      </c>
      <c r="Q690" s="6" t="s">
        <v>3332</v>
      </c>
      <c r="R690" s="8" t="s">
        <v>1808</v>
      </c>
      <c r="S690" s="6"/>
    </row>
    <row r="691" spans="1:19" ht="25.5" x14ac:dyDescent="0.25">
      <c r="A691" s="5" t="s">
        <v>3872</v>
      </c>
      <c r="B691" s="5">
        <v>690</v>
      </c>
      <c r="C691" s="6" t="s">
        <v>2469</v>
      </c>
      <c r="D691" s="6" t="s">
        <v>3888</v>
      </c>
      <c r="E691" s="6">
        <v>2850</v>
      </c>
      <c r="F691" s="6" t="s">
        <v>878</v>
      </c>
      <c r="G691" s="6">
        <v>534</v>
      </c>
      <c r="H691" s="6" t="s">
        <v>89</v>
      </c>
      <c r="I691" s="6" t="s">
        <v>4063</v>
      </c>
      <c r="J691" s="6" t="s">
        <v>4064</v>
      </c>
      <c r="K691" s="6" t="s">
        <v>3331</v>
      </c>
      <c r="L691" s="6">
        <v>34558602</v>
      </c>
      <c r="M691" s="6" t="s">
        <v>79</v>
      </c>
      <c r="N691" s="6" t="s">
        <v>877</v>
      </c>
      <c r="O691" s="6" t="s">
        <v>21</v>
      </c>
      <c r="P691" s="6" t="s">
        <v>21</v>
      </c>
      <c r="Q691" s="6" t="s">
        <v>3332</v>
      </c>
      <c r="R691" s="8" t="s">
        <v>1808</v>
      </c>
      <c r="S691" s="6"/>
    </row>
    <row r="692" spans="1:19" ht="25.5" x14ac:dyDescent="0.25">
      <c r="A692" s="5" t="s">
        <v>3872</v>
      </c>
      <c r="B692" s="5">
        <v>691</v>
      </c>
      <c r="C692" s="6" t="s">
        <v>2470</v>
      </c>
      <c r="D692" s="6" t="s">
        <v>3888</v>
      </c>
      <c r="E692" s="6">
        <v>2850</v>
      </c>
      <c r="F692" s="6" t="s">
        <v>878</v>
      </c>
      <c r="G692" s="6">
        <v>534</v>
      </c>
      <c r="H692" s="6" t="s">
        <v>89</v>
      </c>
      <c r="I692" s="6" t="s">
        <v>4065</v>
      </c>
      <c r="J692" s="6" t="s">
        <v>4066</v>
      </c>
      <c r="K692" s="6" t="s">
        <v>3331</v>
      </c>
      <c r="L692" s="6">
        <v>34559945</v>
      </c>
      <c r="M692" s="6" t="s">
        <v>79</v>
      </c>
      <c r="N692" s="6" t="s">
        <v>877</v>
      </c>
      <c r="O692" s="6" t="s">
        <v>21</v>
      </c>
      <c r="P692" s="6" t="s">
        <v>21</v>
      </c>
      <c r="Q692" s="6" t="s">
        <v>3332</v>
      </c>
      <c r="R692" s="8" t="s">
        <v>1808</v>
      </c>
      <c r="S692" s="6"/>
    </row>
    <row r="693" spans="1:19" ht="25.5" x14ac:dyDescent="0.25">
      <c r="A693" s="5" t="s">
        <v>3872</v>
      </c>
      <c r="B693" s="5">
        <v>692</v>
      </c>
      <c r="C693" s="6" t="s">
        <v>2471</v>
      </c>
      <c r="D693" s="6" t="s">
        <v>3888</v>
      </c>
      <c r="E693" s="6">
        <v>2850</v>
      </c>
      <c r="F693" s="6" t="s">
        <v>878</v>
      </c>
      <c r="G693" s="6">
        <v>534</v>
      </c>
      <c r="H693" s="6" t="s">
        <v>89</v>
      </c>
      <c r="I693" s="6" t="s">
        <v>4067</v>
      </c>
      <c r="J693" s="6" t="s">
        <v>4068</v>
      </c>
      <c r="K693" s="6" t="s">
        <v>3331</v>
      </c>
      <c r="L693" s="6">
        <v>34537686</v>
      </c>
      <c r="M693" s="6" t="s">
        <v>79</v>
      </c>
      <c r="N693" s="6" t="s">
        <v>877</v>
      </c>
      <c r="O693" s="6" t="s">
        <v>21</v>
      </c>
      <c r="P693" s="6" t="s">
        <v>21</v>
      </c>
      <c r="Q693" s="6" t="s">
        <v>3332</v>
      </c>
      <c r="R693" s="8" t="s">
        <v>1808</v>
      </c>
      <c r="S693" s="6"/>
    </row>
    <row r="694" spans="1:19" ht="25.5" x14ac:dyDescent="0.25">
      <c r="A694" s="5" t="s">
        <v>3872</v>
      </c>
      <c r="B694" s="5">
        <v>693</v>
      </c>
      <c r="C694" s="6" t="s">
        <v>2472</v>
      </c>
      <c r="D694" s="6" t="s">
        <v>3888</v>
      </c>
      <c r="E694" s="6">
        <v>2850</v>
      </c>
      <c r="F694" s="6" t="s">
        <v>878</v>
      </c>
      <c r="G694" s="6">
        <v>534</v>
      </c>
      <c r="H694" s="6" t="s">
        <v>89</v>
      </c>
      <c r="I694" s="6" t="s">
        <v>4069</v>
      </c>
      <c r="J694" s="6" t="s">
        <v>4070</v>
      </c>
      <c r="K694" s="6" t="s">
        <v>3331</v>
      </c>
      <c r="L694" s="6">
        <v>34571272</v>
      </c>
      <c r="M694" s="6" t="s">
        <v>79</v>
      </c>
      <c r="N694" s="6" t="s">
        <v>877</v>
      </c>
      <c r="O694" s="6" t="s">
        <v>21</v>
      </c>
      <c r="P694" s="6" t="s">
        <v>21</v>
      </c>
      <c r="Q694" s="6" t="s">
        <v>3332</v>
      </c>
      <c r="R694" s="8" t="s">
        <v>1808</v>
      </c>
      <c r="S694" s="6"/>
    </row>
    <row r="695" spans="1:19" ht="25.5" x14ac:dyDescent="0.25">
      <c r="A695" s="5" t="s">
        <v>3872</v>
      </c>
      <c r="B695" s="5">
        <v>694</v>
      </c>
      <c r="C695" s="6" t="s">
        <v>2473</v>
      </c>
      <c r="D695" s="6" t="s">
        <v>3888</v>
      </c>
      <c r="E695" s="6">
        <v>2860</v>
      </c>
      <c r="F695" s="6" t="s">
        <v>879</v>
      </c>
      <c r="G695" s="6">
        <v>608</v>
      </c>
      <c r="H695" s="6" t="s">
        <v>880</v>
      </c>
      <c r="I695" s="6" t="s">
        <v>4071</v>
      </c>
      <c r="J695" s="6" t="s">
        <v>4072</v>
      </c>
      <c r="K695" s="6" t="s">
        <v>3331</v>
      </c>
      <c r="L695" s="6">
        <v>76316295</v>
      </c>
      <c r="M695" s="6" t="s">
        <v>79</v>
      </c>
      <c r="N695" s="6" t="s">
        <v>877</v>
      </c>
      <c r="O695" s="6" t="s">
        <v>21</v>
      </c>
      <c r="P695" s="6" t="s">
        <v>21</v>
      </c>
      <c r="Q695" s="6" t="s">
        <v>3332</v>
      </c>
      <c r="R695" s="8" t="s">
        <v>1808</v>
      </c>
      <c r="S695" s="6"/>
    </row>
    <row r="696" spans="1:19" ht="25.5" x14ac:dyDescent="0.25">
      <c r="A696" s="5" t="s">
        <v>3872</v>
      </c>
      <c r="B696" s="5">
        <v>695</v>
      </c>
      <c r="C696" s="6" t="s">
        <v>2474</v>
      </c>
      <c r="D696" s="6" t="s">
        <v>3888</v>
      </c>
      <c r="E696" s="6">
        <v>2862</v>
      </c>
      <c r="F696" s="6" t="s">
        <v>881</v>
      </c>
      <c r="G696" s="6">
        <v>672</v>
      </c>
      <c r="H696" s="6" t="s">
        <v>882</v>
      </c>
      <c r="I696" s="6" t="s">
        <v>4073</v>
      </c>
      <c r="J696" s="6" t="s">
        <v>4074</v>
      </c>
      <c r="K696" s="6" t="s">
        <v>3331</v>
      </c>
      <c r="L696" s="6">
        <v>76305369</v>
      </c>
      <c r="M696" s="6" t="s">
        <v>79</v>
      </c>
      <c r="N696" s="6" t="s">
        <v>877</v>
      </c>
      <c r="O696" s="6" t="s">
        <v>21</v>
      </c>
      <c r="P696" s="6" t="s">
        <v>21</v>
      </c>
      <c r="Q696" s="6" t="s">
        <v>3332</v>
      </c>
      <c r="R696" s="8" t="s">
        <v>1808</v>
      </c>
      <c r="S696" s="6"/>
    </row>
    <row r="697" spans="1:19" ht="25.5" x14ac:dyDescent="0.25">
      <c r="A697" s="5" t="s">
        <v>3872</v>
      </c>
      <c r="B697" s="5">
        <v>696</v>
      </c>
      <c r="C697" s="6" t="s">
        <v>2475</v>
      </c>
      <c r="D697" s="6" t="s">
        <v>3888</v>
      </c>
      <c r="E697" s="6">
        <v>2862</v>
      </c>
      <c r="F697" s="6" t="s">
        <v>881</v>
      </c>
      <c r="G697" s="6">
        <v>672</v>
      </c>
      <c r="H697" s="6" t="s">
        <v>882</v>
      </c>
      <c r="I697" s="6" t="s">
        <v>4075</v>
      </c>
      <c r="J697" s="6" t="s">
        <v>4076</v>
      </c>
      <c r="K697" s="6" t="s">
        <v>3331</v>
      </c>
      <c r="L697" s="6">
        <v>76319207</v>
      </c>
      <c r="M697" s="6" t="s">
        <v>79</v>
      </c>
      <c r="N697" s="6" t="s">
        <v>877</v>
      </c>
      <c r="O697" s="6" t="s">
        <v>21</v>
      </c>
      <c r="P697" s="6" t="s">
        <v>21</v>
      </c>
      <c r="Q697" s="6" t="s">
        <v>3332</v>
      </c>
      <c r="R697" s="8" t="s">
        <v>1808</v>
      </c>
      <c r="S697" s="6"/>
    </row>
    <row r="698" spans="1:19" ht="25.5" x14ac:dyDescent="0.25">
      <c r="A698" s="5" t="s">
        <v>3872</v>
      </c>
      <c r="B698" s="5">
        <v>697</v>
      </c>
      <c r="C698" s="6" t="s">
        <v>2476</v>
      </c>
      <c r="D698" s="6" t="s">
        <v>3888</v>
      </c>
      <c r="E698" s="6">
        <v>2862</v>
      </c>
      <c r="F698" s="6" t="s">
        <v>881</v>
      </c>
      <c r="G698" s="6">
        <v>672</v>
      </c>
      <c r="H698" s="6" t="s">
        <v>882</v>
      </c>
      <c r="I698" s="6" t="s">
        <v>4077</v>
      </c>
      <c r="J698" s="6" t="s">
        <v>3739</v>
      </c>
      <c r="K698" s="6" t="s">
        <v>3331</v>
      </c>
      <c r="L698" s="6">
        <v>48600273</v>
      </c>
      <c r="M698" s="6" t="s">
        <v>79</v>
      </c>
      <c r="N698" s="6" t="s">
        <v>877</v>
      </c>
      <c r="O698" s="6" t="s">
        <v>21</v>
      </c>
      <c r="P698" s="6" t="s">
        <v>21</v>
      </c>
      <c r="Q698" s="6" t="s">
        <v>3332</v>
      </c>
      <c r="R698" s="8" t="s">
        <v>1808</v>
      </c>
      <c r="S698" s="6"/>
    </row>
    <row r="699" spans="1:19" ht="25.5" x14ac:dyDescent="0.25">
      <c r="A699" s="5" t="s">
        <v>3872</v>
      </c>
      <c r="B699" s="5">
        <v>698</v>
      </c>
      <c r="C699" s="6" t="s">
        <v>2477</v>
      </c>
      <c r="D699" s="6" t="s">
        <v>3888</v>
      </c>
      <c r="E699" s="6">
        <v>2862</v>
      </c>
      <c r="F699" s="6" t="s">
        <v>881</v>
      </c>
      <c r="G699" s="6">
        <v>672</v>
      </c>
      <c r="H699" s="6" t="s">
        <v>882</v>
      </c>
      <c r="I699" s="6" t="s">
        <v>4078</v>
      </c>
      <c r="J699" s="6" t="s">
        <v>4079</v>
      </c>
      <c r="K699" s="6" t="s">
        <v>3331</v>
      </c>
      <c r="L699" s="6">
        <v>34567723</v>
      </c>
      <c r="M699" s="6" t="s">
        <v>79</v>
      </c>
      <c r="N699" s="6" t="s">
        <v>877</v>
      </c>
      <c r="O699" s="6" t="s">
        <v>21</v>
      </c>
      <c r="P699" s="6" t="s">
        <v>21</v>
      </c>
      <c r="Q699" s="6" t="s">
        <v>3332</v>
      </c>
      <c r="R699" s="8" t="s">
        <v>1808</v>
      </c>
      <c r="S699" s="6"/>
    </row>
    <row r="700" spans="1:19" ht="25.5" x14ac:dyDescent="0.25">
      <c r="A700" s="5" t="s">
        <v>3872</v>
      </c>
      <c r="B700" s="5">
        <v>699</v>
      </c>
      <c r="C700" s="6" t="s">
        <v>2478</v>
      </c>
      <c r="D700" s="6" t="s">
        <v>3888</v>
      </c>
      <c r="E700" s="6">
        <v>2862</v>
      </c>
      <c r="F700" s="6" t="s">
        <v>881</v>
      </c>
      <c r="G700" s="6">
        <v>672</v>
      </c>
      <c r="H700" s="6" t="s">
        <v>882</v>
      </c>
      <c r="I700" s="6" t="s">
        <v>4080</v>
      </c>
      <c r="J700" s="6" t="s">
        <v>4081</v>
      </c>
      <c r="K700" s="6" t="s">
        <v>3331</v>
      </c>
      <c r="L700" s="6">
        <v>76319064</v>
      </c>
      <c r="M700" s="6" t="s">
        <v>79</v>
      </c>
      <c r="N700" s="6" t="s">
        <v>877</v>
      </c>
      <c r="O700" s="6" t="s">
        <v>21</v>
      </c>
      <c r="P700" s="6" t="s">
        <v>21</v>
      </c>
      <c r="Q700" s="6" t="s">
        <v>3332</v>
      </c>
      <c r="R700" s="8" t="s">
        <v>1808</v>
      </c>
      <c r="S700" s="6"/>
    </row>
    <row r="701" spans="1:19" ht="25.5" x14ac:dyDescent="0.25">
      <c r="A701" s="5" t="s">
        <v>3872</v>
      </c>
      <c r="B701" s="5">
        <v>700</v>
      </c>
      <c r="C701" s="6" t="s">
        <v>2479</v>
      </c>
      <c r="D701" s="6" t="s">
        <v>3888</v>
      </c>
      <c r="E701" s="6">
        <v>2862</v>
      </c>
      <c r="F701" s="6" t="s">
        <v>881</v>
      </c>
      <c r="G701" s="6">
        <v>672</v>
      </c>
      <c r="H701" s="6" t="s">
        <v>882</v>
      </c>
      <c r="I701" s="6" t="s">
        <v>4082</v>
      </c>
      <c r="J701" s="6" t="s">
        <v>4083</v>
      </c>
      <c r="K701" s="6" t="s">
        <v>3331</v>
      </c>
      <c r="L701" s="6">
        <v>34563886</v>
      </c>
      <c r="M701" s="6" t="s">
        <v>79</v>
      </c>
      <c r="N701" s="6" t="s">
        <v>877</v>
      </c>
      <c r="O701" s="6" t="s">
        <v>21</v>
      </c>
      <c r="P701" s="6" t="s">
        <v>21</v>
      </c>
      <c r="Q701" s="6" t="s">
        <v>3332</v>
      </c>
      <c r="R701" s="8" t="s">
        <v>1808</v>
      </c>
      <c r="S701" s="6"/>
    </row>
    <row r="702" spans="1:19" ht="25.5" x14ac:dyDescent="0.25">
      <c r="A702" s="5" t="s">
        <v>3872</v>
      </c>
      <c r="B702" s="5">
        <v>701</v>
      </c>
      <c r="C702" s="6" t="s">
        <v>2480</v>
      </c>
      <c r="D702" s="6" t="s">
        <v>3888</v>
      </c>
      <c r="E702" s="6">
        <v>2862</v>
      </c>
      <c r="F702" s="6" t="s">
        <v>881</v>
      </c>
      <c r="G702" s="6">
        <v>672</v>
      </c>
      <c r="H702" s="6" t="s">
        <v>882</v>
      </c>
      <c r="I702" s="6" t="s">
        <v>4084</v>
      </c>
      <c r="J702" s="6" t="s">
        <v>4085</v>
      </c>
      <c r="K702" s="6" t="s">
        <v>3331</v>
      </c>
      <c r="L702" s="6">
        <v>76317859</v>
      </c>
      <c r="M702" s="6" t="s">
        <v>79</v>
      </c>
      <c r="N702" s="6" t="s">
        <v>877</v>
      </c>
      <c r="O702" s="6" t="s">
        <v>21</v>
      </c>
      <c r="P702" s="6" t="s">
        <v>21</v>
      </c>
      <c r="Q702" s="6" t="s">
        <v>3332</v>
      </c>
      <c r="R702" s="8" t="s">
        <v>1808</v>
      </c>
      <c r="S702" s="6"/>
    </row>
    <row r="703" spans="1:19" ht="25.5" x14ac:dyDescent="0.25">
      <c r="A703" s="5" t="s">
        <v>3872</v>
      </c>
      <c r="B703" s="5">
        <v>702</v>
      </c>
      <c r="C703" s="6" t="s">
        <v>2481</v>
      </c>
      <c r="D703" s="6" t="s">
        <v>3888</v>
      </c>
      <c r="E703" s="6">
        <v>2862</v>
      </c>
      <c r="F703" s="6" t="s">
        <v>881</v>
      </c>
      <c r="G703" s="6">
        <v>672</v>
      </c>
      <c r="H703" s="6" t="s">
        <v>882</v>
      </c>
      <c r="I703" s="6" t="s">
        <v>4086</v>
      </c>
      <c r="J703" s="6" t="s">
        <v>4048</v>
      </c>
      <c r="K703" s="6" t="s">
        <v>3331</v>
      </c>
      <c r="L703" s="6">
        <v>76313428</v>
      </c>
      <c r="M703" s="6" t="s">
        <v>79</v>
      </c>
      <c r="N703" s="6" t="s">
        <v>877</v>
      </c>
      <c r="O703" s="6" t="s">
        <v>21</v>
      </c>
      <c r="P703" s="6" t="s">
        <v>21</v>
      </c>
      <c r="Q703" s="6" t="s">
        <v>3332</v>
      </c>
      <c r="R703" s="8" t="s">
        <v>1808</v>
      </c>
      <c r="S703" s="6"/>
    </row>
    <row r="704" spans="1:19" ht="25.5" x14ac:dyDescent="0.25">
      <c r="A704" s="5" t="s">
        <v>3872</v>
      </c>
      <c r="B704" s="5">
        <v>703</v>
      </c>
      <c r="C704" s="6" t="s">
        <v>2482</v>
      </c>
      <c r="D704" s="6" t="s">
        <v>3888</v>
      </c>
      <c r="E704" s="6">
        <v>2871</v>
      </c>
      <c r="F704" s="6" t="s">
        <v>884</v>
      </c>
      <c r="G704" s="6">
        <v>868</v>
      </c>
      <c r="H704" s="6" t="s">
        <v>346</v>
      </c>
      <c r="I704" s="6" t="s">
        <v>4087</v>
      </c>
      <c r="J704" s="6" t="s">
        <v>4076</v>
      </c>
      <c r="K704" s="6" t="s">
        <v>3331</v>
      </c>
      <c r="L704" s="6">
        <v>76307008</v>
      </c>
      <c r="M704" s="6" t="s">
        <v>79</v>
      </c>
      <c r="N704" s="6" t="s">
        <v>877</v>
      </c>
      <c r="O704" s="6" t="s">
        <v>21</v>
      </c>
      <c r="P704" s="6" t="s">
        <v>21</v>
      </c>
      <c r="Q704" s="6" t="s">
        <v>3332</v>
      </c>
      <c r="R704" s="8" t="s">
        <v>1808</v>
      </c>
      <c r="S704" s="6"/>
    </row>
    <row r="705" spans="1:19" ht="25.5" x14ac:dyDescent="0.25">
      <c r="A705" s="5" t="s">
        <v>3872</v>
      </c>
      <c r="B705" s="5">
        <v>704</v>
      </c>
      <c r="C705" s="6" t="s">
        <v>2483</v>
      </c>
      <c r="D705" s="6" t="s">
        <v>3888</v>
      </c>
      <c r="E705" s="6">
        <v>2876</v>
      </c>
      <c r="F705" s="6" t="s">
        <v>885</v>
      </c>
      <c r="G705" s="6">
        <v>868</v>
      </c>
      <c r="H705" s="6" t="s">
        <v>346</v>
      </c>
      <c r="I705" s="6" t="s">
        <v>4088</v>
      </c>
      <c r="J705" s="6" t="s">
        <v>4089</v>
      </c>
      <c r="K705" s="6" t="s">
        <v>3331</v>
      </c>
      <c r="L705" s="6">
        <v>76320303</v>
      </c>
      <c r="M705" s="6" t="s">
        <v>79</v>
      </c>
      <c r="N705" s="6" t="s">
        <v>877</v>
      </c>
      <c r="O705" s="6" t="s">
        <v>21</v>
      </c>
      <c r="P705" s="6" t="s">
        <v>21</v>
      </c>
      <c r="Q705" s="6" t="s">
        <v>3332</v>
      </c>
      <c r="R705" s="8" t="s">
        <v>1808</v>
      </c>
      <c r="S705" s="6"/>
    </row>
    <row r="706" spans="1:19" ht="25.5" x14ac:dyDescent="0.25">
      <c r="A706" s="5" t="s">
        <v>3872</v>
      </c>
      <c r="B706" s="5">
        <v>705</v>
      </c>
      <c r="C706" s="6" t="s">
        <v>2484</v>
      </c>
      <c r="D706" s="6" t="s">
        <v>3888</v>
      </c>
      <c r="E706" s="6">
        <v>2876</v>
      </c>
      <c r="F706" s="6" t="s">
        <v>885</v>
      </c>
      <c r="G706" s="6">
        <v>868</v>
      </c>
      <c r="H706" s="6" t="s">
        <v>346</v>
      </c>
      <c r="I706" s="6" t="s">
        <v>4090</v>
      </c>
      <c r="J706" s="6" t="s">
        <v>4091</v>
      </c>
      <c r="K706" s="6" t="s">
        <v>3331</v>
      </c>
      <c r="L706" s="6">
        <v>55061209</v>
      </c>
      <c r="M706" s="6" t="s">
        <v>79</v>
      </c>
      <c r="N706" s="6" t="s">
        <v>877</v>
      </c>
      <c r="O706" s="6" t="s">
        <v>21</v>
      </c>
      <c r="P706" s="6" t="s">
        <v>21</v>
      </c>
      <c r="Q706" s="6" t="s">
        <v>3332</v>
      </c>
      <c r="R706" s="8" t="s">
        <v>1808</v>
      </c>
      <c r="S706" s="6"/>
    </row>
    <row r="707" spans="1:19" ht="25.5" x14ac:dyDescent="0.25">
      <c r="A707" s="5" t="s">
        <v>3872</v>
      </c>
      <c r="B707" s="5">
        <v>706</v>
      </c>
      <c r="C707" s="6" t="s">
        <v>2485</v>
      </c>
      <c r="D707" s="6" t="s">
        <v>3888</v>
      </c>
      <c r="E707" s="6">
        <v>2876</v>
      </c>
      <c r="F707" s="6" t="s">
        <v>885</v>
      </c>
      <c r="G707" s="6">
        <v>868</v>
      </c>
      <c r="H707" s="6" t="s">
        <v>346</v>
      </c>
      <c r="I707" s="6" t="s">
        <v>4092</v>
      </c>
      <c r="J707" s="6" t="s">
        <v>4093</v>
      </c>
      <c r="K707" s="6" t="s">
        <v>3331</v>
      </c>
      <c r="L707" s="6">
        <v>34539568</v>
      </c>
      <c r="M707" s="6" t="s">
        <v>79</v>
      </c>
      <c r="N707" s="6" t="s">
        <v>862</v>
      </c>
      <c r="O707" s="6" t="s">
        <v>21</v>
      </c>
      <c r="P707" s="6" t="s">
        <v>21</v>
      </c>
      <c r="Q707" s="6" t="s">
        <v>3332</v>
      </c>
      <c r="R707" s="8" t="s">
        <v>1808</v>
      </c>
      <c r="S707" s="6"/>
    </row>
    <row r="708" spans="1:19" ht="25.5" x14ac:dyDescent="0.25">
      <c r="A708" s="5" t="s">
        <v>3872</v>
      </c>
      <c r="B708" s="5">
        <v>707</v>
      </c>
      <c r="C708" s="6" t="s">
        <v>2486</v>
      </c>
      <c r="D708" s="6" t="s">
        <v>3888</v>
      </c>
      <c r="E708" s="6">
        <v>2881</v>
      </c>
      <c r="F708" s="6" t="s">
        <v>886</v>
      </c>
      <c r="G708" s="6">
        <v>1005</v>
      </c>
      <c r="H708" s="6" t="s">
        <v>115</v>
      </c>
      <c r="I708" s="6" t="s">
        <v>4094</v>
      </c>
      <c r="J708" s="6" t="s">
        <v>4095</v>
      </c>
      <c r="K708" s="6" t="s">
        <v>3331</v>
      </c>
      <c r="L708" s="6">
        <v>76314573</v>
      </c>
      <c r="M708" s="6" t="s">
        <v>79</v>
      </c>
      <c r="N708" s="6" t="s">
        <v>877</v>
      </c>
      <c r="O708" s="6" t="s">
        <v>21</v>
      </c>
      <c r="P708" s="6" t="s">
        <v>21</v>
      </c>
      <c r="Q708" s="6" t="s">
        <v>3332</v>
      </c>
      <c r="R708" s="8" t="s">
        <v>1808</v>
      </c>
      <c r="S708" s="6"/>
    </row>
    <row r="709" spans="1:19" ht="25.5" x14ac:dyDescent="0.25">
      <c r="A709" s="5" t="s">
        <v>3872</v>
      </c>
      <c r="B709" s="5">
        <v>708</v>
      </c>
      <c r="C709" s="6" t="s">
        <v>2487</v>
      </c>
      <c r="D709" s="6" t="s">
        <v>3888</v>
      </c>
      <c r="E709" s="6">
        <v>2881</v>
      </c>
      <c r="F709" s="6" t="s">
        <v>886</v>
      </c>
      <c r="G709" s="6">
        <v>1005</v>
      </c>
      <c r="H709" s="6" t="s">
        <v>115</v>
      </c>
      <c r="I709" s="6" t="s">
        <v>4096</v>
      </c>
      <c r="J709" s="6" t="s">
        <v>4097</v>
      </c>
      <c r="K709" s="6" t="s">
        <v>3331</v>
      </c>
      <c r="L709" s="6">
        <v>42108558</v>
      </c>
      <c r="M709" s="6" t="s">
        <v>79</v>
      </c>
      <c r="N709" s="6" t="s">
        <v>877</v>
      </c>
      <c r="O709" s="6" t="s">
        <v>21</v>
      </c>
      <c r="P709" s="6" t="s">
        <v>21</v>
      </c>
      <c r="Q709" s="6" t="s">
        <v>3332</v>
      </c>
      <c r="R709" s="8" t="s">
        <v>1808</v>
      </c>
      <c r="S709" s="6"/>
    </row>
    <row r="710" spans="1:19" ht="25.5" x14ac:dyDescent="0.25">
      <c r="A710" s="5" t="s">
        <v>3872</v>
      </c>
      <c r="B710" s="5">
        <v>709</v>
      </c>
      <c r="C710" s="6" t="s">
        <v>2488</v>
      </c>
      <c r="D710" s="6" t="s">
        <v>3888</v>
      </c>
      <c r="E710" s="6">
        <v>2886</v>
      </c>
      <c r="F710" s="6" t="s">
        <v>887</v>
      </c>
      <c r="G710" s="6">
        <v>1005</v>
      </c>
      <c r="H710" s="6" t="s">
        <v>115</v>
      </c>
      <c r="I710" s="6" t="s">
        <v>4098</v>
      </c>
      <c r="J710" s="6" t="s">
        <v>4099</v>
      </c>
      <c r="K710" s="6" t="s">
        <v>3331</v>
      </c>
      <c r="L710" s="6">
        <v>34571030</v>
      </c>
      <c r="M710" s="6" t="s">
        <v>79</v>
      </c>
      <c r="N710" s="6" t="s">
        <v>877</v>
      </c>
      <c r="O710" s="6" t="s">
        <v>21</v>
      </c>
      <c r="P710" s="6" t="s">
        <v>21</v>
      </c>
      <c r="Q710" s="6" t="s">
        <v>3332</v>
      </c>
      <c r="R710" s="8" t="s">
        <v>1808</v>
      </c>
      <c r="S710" s="6"/>
    </row>
    <row r="711" spans="1:19" ht="25.5" x14ac:dyDescent="0.25">
      <c r="A711" s="5" t="s">
        <v>3872</v>
      </c>
      <c r="B711" s="5">
        <v>710</v>
      </c>
      <c r="C711" s="6" t="s">
        <v>2489</v>
      </c>
      <c r="D711" s="6" t="s">
        <v>3888</v>
      </c>
      <c r="E711" s="6">
        <v>2892</v>
      </c>
      <c r="F711" s="6" t="s">
        <v>888</v>
      </c>
      <c r="G711" s="6">
        <v>1148</v>
      </c>
      <c r="H711" s="6" t="s">
        <v>618</v>
      </c>
      <c r="I711" s="6" t="s">
        <v>4100</v>
      </c>
      <c r="J711" s="6" t="s">
        <v>4101</v>
      </c>
      <c r="K711" s="6" t="s">
        <v>3331</v>
      </c>
      <c r="L711" s="6">
        <v>25276373</v>
      </c>
      <c r="M711" s="6" t="s">
        <v>79</v>
      </c>
      <c r="N711" s="6" t="s">
        <v>877</v>
      </c>
      <c r="O711" s="6" t="s">
        <v>21</v>
      </c>
      <c r="P711" s="6" t="s">
        <v>21</v>
      </c>
      <c r="Q711" s="6" t="s">
        <v>3332</v>
      </c>
      <c r="R711" s="8" t="s">
        <v>1808</v>
      </c>
      <c r="S711" s="6"/>
    </row>
    <row r="712" spans="1:19" ht="25.5" x14ac:dyDescent="0.25">
      <c r="A712" s="5" t="s">
        <v>3872</v>
      </c>
      <c r="B712" s="5">
        <v>711</v>
      </c>
      <c r="C712" s="6" t="s">
        <v>2506</v>
      </c>
      <c r="D712" s="6" t="s">
        <v>3888</v>
      </c>
      <c r="E712" s="6">
        <v>2866</v>
      </c>
      <c r="F712" s="6" t="s">
        <v>600</v>
      </c>
      <c r="G712" s="6">
        <v>736</v>
      </c>
      <c r="H712" s="6" t="s">
        <v>100</v>
      </c>
      <c r="I712" s="6" t="s">
        <v>4102</v>
      </c>
      <c r="J712" s="6" t="s">
        <v>3739</v>
      </c>
      <c r="K712" s="6" t="s">
        <v>3331</v>
      </c>
      <c r="L712" s="6">
        <v>34560848</v>
      </c>
      <c r="M712" s="6" t="s">
        <v>50</v>
      </c>
      <c r="N712" s="6" t="s">
        <v>877</v>
      </c>
      <c r="O712" s="6" t="s">
        <v>21</v>
      </c>
      <c r="P712" s="6" t="s">
        <v>21</v>
      </c>
      <c r="Q712" s="6" t="s">
        <v>3332</v>
      </c>
      <c r="R712" s="8" t="s">
        <v>1808</v>
      </c>
      <c r="S712" s="6"/>
    </row>
    <row r="713" spans="1:19" ht="25.5" x14ac:dyDescent="0.25">
      <c r="A713" s="5" t="s">
        <v>3872</v>
      </c>
      <c r="B713" s="5">
        <v>712</v>
      </c>
      <c r="C713" s="6" t="s">
        <v>2507</v>
      </c>
      <c r="D713" s="6" t="s">
        <v>3888</v>
      </c>
      <c r="E713" s="6">
        <v>2866</v>
      </c>
      <c r="F713" s="6" t="s">
        <v>600</v>
      </c>
      <c r="G713" s="6">
        <v>736</v>
      </c>
      <c r="H713" s="6" t="s">
        <v>100</v>
      </c>
      <c r="I713" s="6" t="s">
        <v>4103</v>
      </c>
      <c r="J713" s="6" t="s">
        <v>4104</v>
      </c>
      <c r="K713" s="6" t="s">
        <v>3331</v>
      </c>
      <c r="L713" s="6">
        <v>34545383</v>
      </c>
      <c r="M713" s="6" t="s">
        <v>50</v>
      </c>
      <c r="N713" s="6" t="s">
        <v>877</v>
      </c>
      <c r="O713" s="6" t="s">
        <v>21</v>
      </c>
      <c r="P713" s="6" t="s">
        <v>21</v>
      </c>
      <c r="Q713" s="6" t="s">
        <v>3332</v>
      </c>
      <c r="R713" s="8" t="s">
        <v>1808</v>
      </c>
      <c r="S713" s="6"/>
    </row>
    <row r="714" spans="1:19" ht="25.5" x14ac:dyDescent="0.25">
      <c r="A714" s="5" t="s">
        <v>3872</v>
      </c>
      <c r="B714" s="5">
        <v>713</v>
      </c>
      <c r="C714" s="6" t="s">
        <v>2508</v>
      </c>
      <c r="D714" s="6" t="s">
        <v>3888</v>
      </c>
      <c r="E714" s="6">
        <v>2895</v>
      </c>
      <c r="F714" s="6" t="s">
        <v>937</v>
      </c>
      <c r="G714" s="6">
        <v>1327</v>
      </c>
      <c r="H714" s="6" t="s">
        <v>622</v>
      </c>
      <c r="I714" s="6" t="s">
        <v>4105</v>
      </c>
      <c r="J714" s="6" t="s">
        <v>4106</v>
      </c>
      <c r="K714" s="6" t="s">
        <v>3331</v>
      </c>
      <c r="L714" s="6">
        <v>76323629</v>
      </c>
      <c r="M714" s="6" t="s">
        <v>50</v>
      </c>
      <c r="N714" s="6" t="s">
        <v>877</v>
      </c>
      <c r="O714" s="6" t="s">
        <v>21</v>
      </c>
      <c r="P714" s="6" t="s">
        <v>21</v>
      </c>
      <c r="Q714" s="6" t="s">
        <v>3332</v>
      </c>
      <c r="R714" s="8" t="s">
        <v>1808</v>
      </c>
      <c r="S714" s="6"/>
    </row>
    <row r="715" spans="1:19" ht="25.5" x14ac:dyDescent="0.25">
      <c r="A715" s="5" t="s">
        <v>3872</v>
      </c>
      <c r="B715" s="5">
        <v>714</v>
      </c>
      <c r="C715" s="6" t="s">
        <v>2509</v>
      </c>
      <c r="D715" s="6" t="s">
        <v>3888</v>
      </c>
      <c r="E715" s="6">
        <v>2899</v>
      </c>
      <c r="F715" s="6" t="s">
        <v>938</v>
      </c>
      <c r="G715" s="6">
        <v>1414</v>
      </c>
      <c r="H715" s="6" t="s">
        <v>125</v>
      </c>
      <c r="I715" s="6" t="s">
        <v>4053</v>
      </c>
      <c r="J715" s="6" t="s">
        <v>4107</v>
      </c>
      <c r="K715" s="6" t="s">
        <v>3331</v>
      </c>
      <c r="L715" s="6">
        <v>34535516</v>
      </c>
      <c r="M715" s="6" t="s">
        <v>50</v>
      </c>
      <c r="N715" s="6" t="s">
        <v>877</v>
      </c>
      <c r="O715" s="6" t="s">
        <v>21</v>
      </c>
      <c r="P715" s="6" t="s">
        <v>21</v>
      </c>
      <c r="Q715" s="6" t="s">
        <v>3332</v>
      </c>
      <c r="R715" s="8" t="s">
        <v>1808</v>
      </c>
      <c r="S715" s="6"/>
    </row>
    <row r="716" spans="1:19" ht="25.5" x14ac:dyDescent="0.25">
      <c r="A716" s="5" t="s">
        <v>3872</v>
      </c>
      <c r="B716" s="5">
        <v>715</v>
      </c>
      <c r="C716" s="6" t="s">
        <v>2512</v>
      </c>
      <c r="D716" s="6" t="s">
        <v>3888</v>
      </c>
      <c r="E716" s="6">
        <v>2892</v>
      </c>
      <c r="F716" s="6" t="s">
        <v>888</v>
      </c>
      <c r="G716" s="6">
        <v>1148</v>
      </c>
      <c r="H716" s="6" t="s">
        <v>618</v>
      </c>
      <c r="I716" s="6" t="s">
        <v>4108</v>
      </c>
      <c r="J716" s="6" t="s">
        <v>4109</v>
      </c>
      <c r="K716" s="6" t="s">
        <v>3331</v>
      </c>
      <c r="L716" s="6">
        <v>76326429</v>
      </c>
      <c r="M716" s="6" t="s">
        <v>960</v>
      </c>
      <c r="N716" s="6" t="s">
        <v>877</v>
      </c>
      <c r="O716" s="6" t="s">
        <v>21</v>
      </c>
      <c r="P716" s="6" t="s">
        <v>21</v>
      </c>
      <c r="Q716" s="6" t="s">
        <v>3332</v>
      </c>
      <c r="R716" s="8" t="s">
        <v>1808</v>
      </c>
      <c r="S716" s="6"/>
    </row>
    <row r="717" spans="1:19" ht="25.5" x14ac:dyDescent="0.25">
      <c r="A717" s="5" t="s">
        <v>3872</v>
      </c>
      <c r="B717" s="5">
        <v>716</v>
      </c>
      <c r="C717" s="6" t="s">
        <v>2513</v>
      </c>
      <c r="D717" s="6" t="s">
        <v>3888</v>
      </c>
      <c r="E717" s="6">
        <v>2892</v>
      </c>
      <c r="F717" s="6" t="s">
        <v>888</v>
      </c>
      <c r="G717" s="6">
        <v>1148</v>
      </c>
      <c r="H717" s="6" t="s">
        <v>618</v>
      </c>
      <c r="I717" s="6" t="s">
        <v>4110</v>
      </c>
      <c r="J717" s="6" t="s">
        <v>4111</v>
      </c>
      <c r="K717" s="6" t="s">
        <v>3331</v>
      </c>
      <c r="L717" s="6">
        <v>76311126</v>
      </c>
      <c r="M717" s="6" t="s">
        <v>960</v>
      </c>
      <c r="N717" s="6" t="s">
        <v>877</v>
      </c>
      <c r="O717" s="6" t="s">
        <v>21</v>
      </c>
      <c r="P717" s="6" t="s">
        <v>21</v>
      </c>
      <c r="Q717" s="6" t="s">
        <v>3332</v>
      </c>
      <c r="R717" s="8" t="s">
        <v>1808</v>
      </c>
      <c r="S717" s="6"/>
    </row>
    <row r="718" spans="1:19" ht="25.5" x14ac:dyDescent="0.25">
      <c r="A718" s="5" t="s">
        <v>3872</v>
      </c>
      <c r="B718" s="5">
        <v>717</v>
      </c>
      <c r="C718" s="6" t="s">
        <v>2514</v>
      </c>
      <c r="D718" s="6" t="s">
        <v>3888</v>
      </c>
      <c r="E718" s="6">
        <v>2892</v>
      </c>
      <c r="F718" s="6" t="s">
        <v>888</v>
      </c>
      <c r="G718" s="6">
        <v>1148</v>
      </c>
      <c r="H718" s="6" t="s">
        <v>618</v>
      </c>
      <c r="I718" s="6" t="s">
        <v>4112</v>
      </c>
      <c r="J718" s="6" t="s">
        <v>4113</v>
      </c>
      <c r="K718" s="6" t="s">
        <v>3331</v>
      </c>
      <c r="L718" s="6">
        <v>25280651</v>
      </c>
      <c r="M718" s="6" t="s">
        <v>960</v>
      </c>
      <c r="N718" s="6" t="s">
        <v>877</v>
      </c>
      <c r="O718" s="6" t="s">
        <v>21</v>
      </c>
      <c r="P718" s="6" t="s">
        <v>21</v>
      </c>
      <c r="Q718" s="6" t="s">
        <v>3332</v>
      </c>
      <c r="R718" s="8" t="s">
        <v>1808</v>
      </c>
      <c r="S718" s="6"/>
    </row>
    <row r="719" spans="1:19" ht="25.5" x14ac:dyDescent="0.25">
      <c r="A719" s="5" t="s">
        <v>3872</v>
      </c>
      <c r="B719" s="5">
        <v>718</v>
      </c>
      <c r="C719" s="6" t="s">
        <v>2515</v>
      </c>
      <c r="D719" s="6" t="s">
        <v>3888</v>
      </c>
      <c r="E719" s="6">
        <v>17</v>
      </c>
      <c r="F719" s="6" t="s">
        <v>961</v>
      </c>
      <c r="G719" s="6">
        <v>2688</v>
      </c>
      <c r="H719" s="6" t="s">
        <v>962</v>
      </c>
      <c r="I719" s="6" t="s">
        <v>4114</v>
      </c>
      <c r="J719" s="6" t="s">
        <v>4115</v>
      </c>
      <c r="K719" s="6" t="s">
        <v>3331</v>
      </c>
      <c r="L719" s="6">
        <v>25311516</v>
      </c>
      <c r="M719" s="6" t="s">
        <v>401</v>
      </c>
      <c r="N719" s="6" t="s">
        <v>877</v>
      </c>
      <c r="O719" s="6" t="s">
        <v>21</v>
      </c>
      <c r="P719" s="6" t="s">
        <v>963</v>
      </c>
      <c r="Q719" s="6" t="s">
        <v>3332</v>
      </c>
      <c r="R719" s="8" t="s">
        <v>1808</v>
      </c>
      <c r="S719" s="6"/>
    </row>
    <row r="720" spans="1:19" ht="25.5" x14ac:dyDescent="0.25">
      <c r="A720" s="5" t="s">
        <v>3872</v>
      </c>
      <c r="B720" s="5">
        <v>719</v>
      </c>
      <c r="C720" s="6" t="s">
        <v>2516</v>
      </c>
      <c r="D720" s="6" t="s">
        <v>3888</v>
      </c>
      <c r="E720" s="6">
        <v>11</v>
      </c>
      <c r="F720" s="6" t="s">
        <v>964</v>
      </c>
      <c r="G720" s="6">
        <v>3152</v>
      </c>
      <c r="H720" s="6" t="s">
        <v>965</v>
      </c>
      <c r="I720" s="6" t="s">
        <v>4116</v>
      </c>
      <c r="J720" s="6" t="s">
        <v>4117</v>
      </c>
      <c r="K720" s="6" t="s">
        <v>3331</v>
      </c>
      <c r="L720" s="6">
        <v>34315659</v>
      </c>
      <c r="M720" s="6" t="s">
        <v>401</v>
      </c>
      <c r="N720" s="6" t="s">
        <v>877</v>
      </c>
      <c r="O720" s="6" t="s">
        <v>21</v>
      </c>
      <c r="P720" s="6" t="s">
        <v>966</v>
      </c>
      <c r="Q720" s="6" t="s">
        <v>3332</v>
      </c>
      <c r="R720" s="8" t="s">
        <v>1808</v>
      </c>
      <c r="S720" s="6"/>
    </row>
    <row r="721" spans="1:19" ht="25.5" x14ac:dyDescent="0.25">
      <c r="A721" s="5" t="s">
        <v>3872</v>
      </c>
      <c r="B721" s="5">
        <v>720</v>
      </c>
      <c r="C721" s="6" t="s">
        <v>2517</v>
      </c>
      <c r="D721" s="6" t="s">
        <v>3888</v>
      </c>
      <c r="E721" s="6">
        <v>11</v>
      </c>
      <c r="F721" s="6" t="s">
        <v>964</v>
      </c>
      <c r="G721" s="6">
        <v>3152</v>
      </c>
      <c r="H721" s="6" t="s">
        <v>965</v>
      </c>
      <c r="I721" s="6" t="s">
        <v>4118</v>
      </c>
      <c r="J721" s="6" t="s">
        <v>4119</v>
      </c>
      <c r="K721" s="6" t="s">
        <v>3331</v>
      </c>
      <c r="L721" s="6">
        <v>55182540</v>
      </c>
      <c r="M721" s="6" t="s">
        <v>401</v>
      </c>
      <c r="N721" s="6" t="s">
        <v>877</v>
      </c>
      <c r="O721" s="6" t="s">
        <v>21</v>
      </c>
      <c r="P721" s="6" t="s">
        <v>966</v>
      </c>
      <c r="Q721" s="6" t="s">
        <v>3332</v>
      </c>
      <c r="R721" s="8" t="s">
        <v>1808</v>
      </c>
      <c r="S721" s="6"/>
    </row>
    <row r="722" spans="1:19" ht="25.5" x14ac:dyDescent="0.25">
      <c r="A722" s="5" t="s">
        <v>3872</v>
      </c>
      <c r="B722" s="5">
        <v>721</v>
      </c>
      <c r="C722" s="6" t="s">
        <v>2497</v>
      </c>
      <c r="D722" s="6" t="s">
        <v>3888</v>
      </c>
      <c r="E722" s="6">
        <v>8</v>
      </c>
      <c r="F722" s="6" t="s">
        <v>920</v>
      </c>
      <c r="G722" s="6">
        <v>331</v>
      </c>
      <c r="H722" s="6" t="s">
        <v>160</v>
      </c>
      <c r="I722" s="6" t="s">
        <v>4120</v>
      </c>
      <c r="J722" s="6" t="s">
        <v>3343</v>
      </c>
      <c r="K722" s="6" t="s">
        <v>3331</v>
      </c>
      <c r="L722" s="6">
        <v>34323707</v>
      </c>
      <c r="M722" s="6" t="s">
        <v>79</v>
      </c>
      <c r="N722" s="6" t="s">
        <v>877</v>
      </c>
      <c r="O722" s="6">
        <v>62</v>
      </c>
      <c r="P722" s="6" t="s">
        <v>910</v>
      </c>
      <c r="Q722" s="6" t="s">
        <v>3332</v>
      </c>
      <c r="R722" s="8" t="s">
        <v>1808</v>
      </c>
      <c r="S722" s="6"/>
    </row>
    <row r="723" spans="1:19" ht="25.5" x14ac:dyDescent="0.25">
      <c r="A723" s="5" t="s">
        <v>3872</v>
      </c>
      <c r="B723" s="5">
        <v>722</v>
      </c>
      <c r="C723" s="6" t="s">
        <v>2498</v>
      </c>
      <c r="D723" s="6" t="s">
        <v>3888</v>
      </c>
      <c r="E723" s="6">
        <v>45</v>
      </c>
      <c r="F723" s="6" t="s">
        <v>921</v>
      </c>
      <c r="G723" s="6">
        <v>1407</v>
      </c>
      <c r="H723" s="6" t="s">
        <v>166</v>
      </c>
      <c r="I723" s="6" t="s">
        <v>3983</v>
      </c>
      <c r="J723" s="6" t="s">
        <v>4121</v>
      </c>
      <c r="K723" s="6" t="s">
        <v>3331</v>
      </c>
      <c r="L723" s="6">
        <v>10536684</v>
      </c>
      <c r="M723" s="6" t="s">
        <v>79</v>
      </c>
      <c r="N723" s="6" t="s">
        <v>862</v>
      </c>
      <c r="O723" s="6">
        <v>13</v>
      </c>
      <c r="P723" s="6" t="s">
        <v>922</v>
      </c>
      <c r="Q723" s="6" t="s">
        <v>3332</v>
      </c>
      <c r="R723" s="8" t="s">
        <v>1808</v>
      </c>
      <c r="S723" s="6"/>
    </row>
    <row r="724" spans="1:19" ht="25.5" x14ac:dyDescent="0.25">
      <c r="A724" s="5" t="s">
        <v>3872</v>
      </c>
      <c r="B724" s="5">
        <v>723</v>
      </c>
      <c r="C724" s="6" t="s">
        <v>2499</v>
      </c>
      <c r="D724" s="6" t="s">
        <v>3888</v>
      </c>
      <c r="E724" s="6">
        <v>48</v>
      </c>
      <c r="F724" s="6" t="s">
        <v>923</v>
      </c>
      <c r="G724" s="6">
        <v>1572</v>
      </c>
      <c r="H724" s="6" t="s">
        <v>924</v>
      </c>
      <c r="I724" s="6" t="s">
        <v>4122</v>
      </c>
      <c r="J724" s="6" t="s">
        <v>4123</v>
      </c>
      <c r="K724" s="6" t="s">
        <v>3331</v>
      </c>
      <c r="L724" s="6">
        <v>1061741439</v>
      </c>
      <c r="M724" s="6" t="s">
        <v>79</v>
      </c>
      <c r="N724" s="6" t="s">
        <v>877</v>
      </c>
      <c r="O724" s="6">
        <v>353</v>
      </c>
      <c r="P724" s="6" t="s">
        <v>925</v>
      </c>
      <c r="Q724" s="6" t="s">
        <v>3332</v>
      </c>
      <c r="R724" s="8" t="s">
        <v>1808</v>
      </c>
      <c r="S724" s="6"/>
    </row>
    <row r="725" spans="1:19" ht="25.5" x14ac:dyDescent="0.25">
      <c r="A725" s="5" t="s">
        <v>3872</v>
      </c>
      <c r="B725" s="5">
        <v>724</v>
      </c>
      <c r="C725" s="6" t="s">
        <v>2356</v>
      </c>
      <c r="D725" s="6" t="s">
        <v>4124</v>
      </c>
      <c r="E725" s="6">
        <v>1528</v>
      </c>
      <c r="F725" s="6" t="s">
        <v>833</v>
      </c>
      <c r="G725" s="6">
        <v>20</v>
      </c>
      <c r="H725" s="6" t="s">
        <v>29</v>
      </c>
      <c r="I725" s="6" t="s">
        <v>4125</v>
      </c>
      <c r="J725" s="6" t="s">
        <v>3472</v>
      </c>
      <c r="K725" s="6" t="s">
        <v>3331</v>
      </c>
      <c r="L725" s="6">
        <v>30282825</v>
      </c>
      <c r="M725" s="6" t="s">
        <v>41</v>
      </c>
      <c r="N725" s="6" t="s">
        <v>834</v>
      </c>
      <c r="O725" s="6" t="s">
        <v>21</v>
      </c>
      <c r="P725" s="6" t="s">
        <v>21</v>
      </c>
      <c r="Q725" s="6" t="s">
        <v>3332</v>
      </c>
      <c r="R725" s="8" t="s">
        <v>1808</v>
      </c>
      <c r="S725" s="6"/>
    </row>
    <row r="726" spans="1:19" ht="25.5" x14ac:dyDescent="0.25">
      <c r="A726" s="5" t="s">
        <v>3872</v>
      </c>
      <c r="B726" s="5">
        <v>725</v>
      </c>
      <c r="C726" s="6" t="s">
        <v>2357</v>
      </c>
      <c r="D726" s="6" t="s">
        <v>4124</v>
      </c>
      <c r="E726" s="6">
        <v>1528</v>
      </c>
      <c r="F726" s="6" t="s">
        <v>833</v>
      </c>
      <c r="G726" s="6">
        <v>20</v>
      </c>
      <c r="H726" s="6" t="s">
        <v>29</v>
      </c>
      <c r="I726" s="6" t="s">
        <v>4126</v>
      </c>
      <c r="J726" s="6" t="s">
        <v>3904</v>
      </c>
      <c r="K726" s="6" t="s">
        <v>3331</v>
      </c>
      <c r="L726" s="6">
        <v>30275269</v>
      </c>
      <c r="M726" s="6" t="s">
        <v>41</v>
      </c>
      <c r="N726" s="6" t="s">
        <v>834</v>
      </c>
      <c r="O726" s="6" t="s">
        <v>21</v>
      </c>
      <c r="P726" s="6" t="s">
        <v>21</v>
      </c>
      <c r="Q726" s="6" t="s">
        <v>3332</v>
      </c>
      <c r="R726" s="8" t="s">
        <v>1808</v>
      </c>
      <c r="S726" s="6"/>
    </row>
    <row r="727" spans="1:19" ht="25.5" x14ac:dyDescent="0.25">
      <c r="A727" s="5" t="s">
        <v>3872</v>
      </c>
      <c r="B727" s="5">
        <v>726</v>
      </c>
      <c r="C727" s="6" t="s">
        <v>2358</v>
      </c>
      <c r="D727" s="6" t="s">
        <v>4124</v>
      </c>
      <c r="E727" s="6">
        <v>1528</v>
      </c>
      <c r="F727" s="6" t="s">
        <v>833</v>
      </c>
      <c r="G727" s="6">
        <v>20</v>
      </c>
      <c r="H727" s="6" t="s">
        <v>29</v>
      </c>
      <c r="I727" s="6" t="s">
        <v>4127</v>
      </c>
      <c r="J727" s="6" t="s">
        <v>4128</v>
      </c>
      <c r="K727" s="6" t="s">
        <v>3331</v>
      </c>
      <c r="L727" s="6">
        <v>10267336</v>
      </c>
      <c r="M727" s="6" t="s">
        <v>41</v>
      </c>
      <c r="N727" s="6" t="s">
        <v>834</v>
      </c>
      <c r="O727" s="6" t="s">
        <v>21</v>
      </c>
      <c r="P727" s="6" t="s">
        <v>21</v>
      </c>
      <c r="Q727" s="6" t="s">
        <v>3332</v>
      </c>
      <c r="R727" s="8" t="s">
        <v>1808</v>
      </c>
      <c r="S727" s="6"/>
    </row>
    <row r="728" spans="1:19" ht="25.5" x14ac:dyDescent="0.25">
      <c r="A728" s="5" t="s">
        <v>3872</v>
      </c>
      <c r="B728" s="5">
        <v>727</v>
      </c>
      <c r="C728" s="6" t="s">
        <v>2359</v>
      </c>
      <c r="D728" s="6" t="s">
        <v>4124</v>
      </c>
      <c r="E728" s="6">
        <v>1528</v>
      </c>
      <c r="F728" s="6" t="s">
        <v>833</v>
      </c>
      <c r="G728" s="6">
        <v>20</v>
      </c>
      <c r="H728" s="6" t="s">
        <v>29</v>
      </c>
      <c r="I728" s="6" t="s">
        <v>4129</v>
      </c>
      <c r="J728" s="6" t="s">
        <v>4130</v>
      </c>
      <c r="K728" s="6" t="s">
        <v>3331</v>
      </c>
      <c r="L728" s="6">
        <v>30281649</v>
      </c>
      <c r="M728" s="6" t="s">
        <v>41</v>
      </c>
      <c r="N728" s="6" t="s">
        <v>834</v>
      </c>
      <c r="O728" s="6" t="s">
        <v>21</v>
      </c>
      <c r="P728" s="6" t="s">
        <v>21</v>
      </c>
      <c r="Q728" s="6" t="s">
        <v>3332</v>
      </c>
      <c r="R728" s="8" t="s">
        <v>1808</v>
      </c>
      <c r="S728" s="6"/>
    </row>
    <row r="729" spans="1:19" ht="25.5" x14ac:dyDescent="0.25">
      <c r="A729" s="5" t="s">
        <v>3872</v>
      </c>
      <c r="B729" s="5">
        <v>728</v>
      </c>
      <c r="C729" s="6" t="s">
        <v>2360</v>
      </c>
      <c r="D729" s="6" t="s">
        <v>4124</v>
      </c>
      <c r="E729" s="6">
        <v>1529</v>
      </c>
      <c r="F729" s="6" t="s">
        <v>836</v>
      </c>
      <c r="G729" s="6">
        <v>20</v>
      </c>
      <c r="H729" s="6" t="s">
        <v>29</v>
      </c>
      <c r="I729" s="6" t="s">
        <v>4131</v>
      </c>
      <c r="J729" s="6" t="s">
        <v>3757</v>
      </c>
      <c r="K729" s="6" t="s">
        <v>3331</v>
      </c>
      <c r="L729" s="6">
        <v>24293267</v>
      </c>
      <c r="M729" s="6" t="s">
        <v>41</v>
      </c>
      <c r="N729" s="6" t="s">
        <v>834</v>
      </c>
      <c r="O729" s="6" t="s">
        <v>21</v>
      </c>
      <c r="P729" s="6" t="s">
        <v>21</v>
      </c>
      <c r="Q729" s="6" t="s">
        <v>3332</v>
      </c>
      <c r="R729" s="8" t="s">
        <v>1808</v>
      </c>
      <c r="S729" s="6"/>
    </row>
    <row r="730" spans="1:19" ht="25.5" x14ac:dyDescent="0.25">
      <c r="A730" s="5" t="s">
        <v>3872</v>
      </c>
      <c r="B730" s="5">
        <v>729</v>
      </c>
      <c r="C730" s="6" t="s">
        <v>2361</v>
      </c>
      <c r="D730" s="6" t="s">
        <v>4124</v>
      </c>
      <c r="E730" s="6">
        <v>1529</v>
      </c>
      <c r="F730" s="6" t="s">
        <v>836</v>
      </c>
      <c r="G730" s="6">
        <v>20</v>
      </c>
      <c r="H730" s="6" t="s">
        <v>29</v>
      </c>
      <c r="I730" s="6" t="s">
        <v>4132</v>
      </c>
      <c r="J730" s="6" t="s">
        <v>3472</v>
      </c>
      <c r="K730" s="6" t="s">
        <v>3331</v>
      </c>
      <c r="L730" s="6">
        <v>42066508</v>
      </c>
      <c r="M730" s="6" t="s">
        <v>41</v>
      </c>
      <c r="N730" s="6" t="s">
        <v>834</v>
      </c>
      <c r="O730" s="6" t="s">
        <v>21</v>
      </c>
      <c r="P730" s="6" t="s">
        <v>21</v>
      </c>
      <c r="Q730" s="6" t="s">
        <v>3332</v>
      </c>
      <c r="R730" s="8" t="s">
        <v>1808</v>
      </c>
      <c r="S730" s="6"/>
    </row>
    <row r="731" spans="1:19" ht="25.5" x14ac:dyDescent="0.25">
      <c r="A731" s="5" t="s">
        <v>3872</v>
      </c>
      <c r="B731" s="5">
        <v>730</v>
      </c>
      <c r="C731" s="6" t="s">
        <v>2366</v>
      </c>
      <c r="D731" s="6" t="s">
        <v>4124</v>
      </c>
      <c r="E731" s="6">
        <v>1649</v>
      </c>
      <c r="F731" s="6" t="s">
        <v>107</v>
      </c>
      <c r="G731" s="6">
        <v>867</v>
      </c>
      <c r="H731" s="6" t="s">
        <v>346</v>
      </c>
      <c r="I731" s="6" t="s">
        <v>4133</v>
      </c>
      <c r="J731" s="6" t="s">
        <v>4134</v>
      </c>
      <c r="K731" s="6" t="s">
        <v>3331</v>
      </c>
      <c r="L731" s="6">
        <v>42068270</v>
      </c>
      <c r="M731" s="6" t="s">
        <v>41</v>
      </c>
      <c r="N731" s="6" t="s">
        <v>834</v>
      </c>
      <c r="O731" s="6" t="s">
        <v>21</v>
      </c>
      <c r="P731" s="6" t="s">
        <v>21</v>
      </c>
      <c r="Q731" s="6" t="s">
        <v>3332</v>
      </c>
      <c r="R731" s="8" t="s">
        <v>1808</v>
      </c>
      <c r="S731" s="6"/>
    </row>
    <row r="732" spans="1:19" ht="25.5" x14ac:dyDescent="0.25">
      <c r="A732" s="5" t="s">
        <v>3872</v>
      </c>
      <c r="B732" s="5">
        <v>731</v>
      </c>
      <c r="C732" s="6" t="s">
        <v>2367</v>
      </c>
      <c r="D732" s="6" t="s">
        <v>4124</v>
      </c>
      <c r="E732" s="6">
        <v>1816</v>
      </c>
      <c r="F732" s="6" t="s">
        <v>853</v>
      </c>
      <c r="G732" s="6">
        <v>2957</v>
      </c>
      <c r="H732" s="6" t="s">
        <v>854</v>
      </c>
      <c r="I732" s="6" t="s">
        <v>4135</v>
      </c>
      <c r="J732" s="6" t="s">
        <v>4136</v>
      </c>
      <c r="K732" s="6" t="s">
        <v>3331</v>
      </c>
      <c r="L732" s="6">
        <v>42071684</v>
      </c>
      <c r="M732" s="6" t="s">
        <v>41</v>
      </c>
      <c r="N732" s="6" t="s">
        <v>834</v>
      </c>
      <c r="O732" s="6" t="s">
        <v>21</v>
      </c>
      <c r="P732" s="6" t="s">
        <v>855</v>
      </c>
      <c r="Q732" s="6" t="s">
        <v>3332</v>
      </c>
      <c r="R732" s="8" t="s">
        <v>1808</v>
      </c>
      <c r="S732" s="6"/>
    </row>
    <row r="733" spans="1:19" ht="25.5" x14ac:dyDescent="0.25">
      <c r="A733" s="5" t="s">
        <v>3872</v>
      </c>
      <c r="B733" s="5">
        <v>732</v>
      </c>
      <c r="C733" s="6" t="s">
        <v>2368</v>
      </c>
      <c r="D733" s="6" t="s">
        <v>4124</v>
      </c>
      <c r="E733" s="6">
        <v>1737</v>
      </c>
      <c r="F733" s="6" t="s">
        <v>856</v>
      </c>
      <c r="G733" s="6">
        <v>1586</v>
      </c>
      <c r="H733" s="6" t="s">
        <v>857</v>
      </c>
      <c r="I733" s="6" t="s">
        <v>4137</v>
      </c>
      <c r="J733" s="6" t="s">
        <v>3627</v>
      </c>
      <c r="K733" s="6" t="s">
        <v>3331</v>
      </c>
      <c r="L733" s="6">
        <v>24328910</v>
      </c>
      <c r="M733" s="6" t="s">
        <v>858</v>
      </c>
      <c r="N733" s="6" t="s">
        <v>834</v>
      </c>
      <c r="O733" s="6" t="s">
        <v>21</v>
      </c>
      <c r="P733" s="6" t="s">
        <v>21</v>
      </c>
      <c r="Q733" s="6" t="s">
        <v>3332</v>
      </c>
      <c r="R733" s="8" t="s">
        <v>1808</v>
      </c>
      <c r="S733" s="6"/>
    </row>
    <row r="734" spans="1:19" ht="25.5" x14ac:dyDescent="0.25">
      <c r="A734" s="5" t="s">
        <v>3872</v>
      </c>
      <c r="B734" s="5">
        <v>733</v>
      </c>
      <c r="C734" s="6" t="s">
        <v>2369</v>
      </c>
      <c r="D734" s="6" t="s">
        <v>4124</v>
      </c>
      <c r="E734" s="6">
        <v>1744</v>
      </c>
      <c r="F734" s="6" t="s">
        <v>509</v>
      </c>
      <c r="G734" s="6">
        <v>1616</v>
      </c>
      <c r="H734" s="6" t="s">
        <v>509</v>
      </c>
      <c r="I734" s="6" t="s">
        <v>4138</v>
      </c>
      <c r="J734" s="6" t="s">
        <v>4139</v>
      </c>
      <c r="K734" s="6" t="s">
        <v>3331</v>
      </c>
      <c r="L734" s="6">
        <v>30300519</v>
      </c>
      <c r="M734" s="6" t="s">
        <v>858</v>
      </c>
      <c r="N734" s="6" t="s">
        <v>834</v>
      </c>
      <c r="O734" s="6" t="s">
        <v>21</v>
      </c>
      <c r="P734" s="6" t="s">
        <v>21</v>
      </c>
      <c r="Q734" s="6" t="s">
        <v>3332</v>
      </c>
      <c r="R734" s="8" t="s">
        <v>1808</v>
      </c>
      <c r="S734" s="6"/>
    </row>
    <row r="735" spans="1:19" ht="25.5" x14ac:dyDescent="0.25">
      <c r="A735" s="5" t="s">
        <v>3872</v>
      </c>
      <c r="B735" s="5">
        <v>734</v>
      </c>
      <c r="C735" s="6" t="s">
        <v>2370</v>
      </c>
      <c r="D735" s="6" t="s">
        <v>4124</v>
      </c>
      <c r="E735" s="6">
        <v>1744</v>
      </c>
      <c r="F735" s="6" t="s">
        <v>509</v>
      </c>
      <c r="G735" s="6">
        <v>1616</v>
      </c>
      <c r="H735" s="6" t="s">
        <v>509</v>
      </c>
      <c r="I735" s="6" t="s">
        <v>4140</v>
      </c>
      <c r="J735" s="6" t="s">
        <v>4141</v>
      </c>
      <c r="K735" s="6" t="s">
        <v>3331</v>
      </c>
      <c r="L735" s="6">
        <v>30292065</v>
      </c>
      <c r="M735" s="6" t="s">
        <v>858</v>
      </c>
      <c r="N735" s="6" t="s">
        <v>834</v>
      </c>
      <c r="O735" s="6" t="s">
        <v>21</v>
      </c>
      <c r="P735" s="6" t="s">
        <v>21</v>
      </c>
      <c r="Q735" s="6" t="s">
        <v>3332</v>
      </c>
      <c r="R735" s="8" t="s">
        <v>1808</v>
      </c>
      <c r="S735" s="6"/>
    </row>
    <row r="736" spans="1:19" ht="25.5" x14ac:dyDescent="0.25">
      <c r="A736" s="5" t="s">
        <v>3872</v>
      </c>
      <c r="B736" s="5">
        <v>735</v>
      </c>
      <c r="C736" s="6" t="s">
        <v>2528</v>
      </c>
      <c r="D736" s="6" t="s">
        <v>4142</v>
      </c>
      <c r="E736" s="6">
        <v>104</v>
      </c>
      <c r="F736" s="6" t="s">
        <v>1057</v>
      </c>
      <c r="G736" s="6">
        <v>1448</v>
      </c>
      <c r="H736" s="6" t="s">
        <v>1058</v>
      </c>
      <c r="I736" s="6" t="s">
        <v>4143</v>
      </c>
      <c r="J736" s="6" t="s">
        <v>4144</v>
      </c>
      <c r="K736" s="6" t="s">
        <v>3331</v>
      </c>
      <c r="L736" s="6">
        <v>41537789</v>
      </c>
      <c r="M736" s="6" t="s">
        <v>1059</v>
      </c>
      <c r="N736" s="6" t="s">
        <v>1060</v>
      </c>
      <c r="O736" s="6" t="s">
        <v>21</v>
      </c>
      <c r="P736" s="6" t="s">
        <v>21</v>
      </c>
      <c r="Q736" s="6" t="s">
        <v>3332</v>
      </c>
      <c r="R736" s="8" t="s">
        <v>1808</v>
      </c>
      <c r="S736" s="6"/>
    </row>
    <row r="737" spans="1:19" ht="25.5" x14ac:dyDescent="0.25">
      <c r="A737" s="5" t="s">
        <v>3872</v>
      </c>
      <c r="B737" s="5">
        <v>736</v>
      </c>
      <c r="C737" s="6" t="s">
        <v>2529</v>
      </c>
      <c r="D737" s="6" t="s">
        <v>4142</v>
      </c>
      <c r="E737" s="6">
        <v>77</v>
      </c>
      <c r="F737" s="6" t="s">
        <v>1061</v>
      </c>
      <c r="G737" s="6">
        <v>4</v>
      </c>
      <c r="H737" s="6" t="s">
        <v>1062</v>
      </c>
      <c r="I737" s="6" t="s">
        <v>4145</v>
      </c>
      <c r="J737" s="6" t="s">
        <v>4146</v>
      </c>
      <c r="K737" s="6" t="s">
        <v>3331</v>
      </c>
      <c r="L737" s="6">
        <v>79108740</v>
      </c>
      <c r="M737" s="6" t="s">
        <v>1063</v>
      </c>
      <c r="N737" s="6" t="s">
        <v>1064</v>
      </c>
      <c r="O737" s="6" t="s">
        <v>21</v>
      </c>
      <c r="P737" s="6" t="s">
        <v>21</v>
      </c>
      <c r="Q737" s="6" t="s">
        <v>3332</v>
      </c>
      <c r="R737" s="8" t="s">
        <v>1808</v>
      </c>
      <c r="S737" s="6"/>
    </row>
    <row r="738" spans="1:19" ht="25.5" x14ac:dyDescent="0.25">
      <c r="A738" s="5" t="s">
        <v>3872</v>
      </c>
      <c r="B738" s="5">
        <v>737</v>
      </c>
      <c r="C738" s="6" t="s">
        <v>2530</v>
      </c>
      <c r="D738" s="6" t="s">
        <v>4142</v>
      </c>
      <c r="E738" s="6">
        <v>85</v>
      </c>
      <c r="F738" s="6" t="s">
        <v>1065</v>
      </c>
      <c r="G738" s="6">
        <v>4</v>
      </c>
      <c r="H738" s="6" t="s">
        <v>1062</v>
      </c>
      <c r="I738" s="6" t="s">
        <v>4147</v>
      </c>
      <c r="J738" s="6" t="s">
        <v>4148</v>
      </c>
      <c r="K738" s="6" t="s">
        <v>3331</v>
      </c>
      <c r="L738" s="6">
        <v>41780419</v>
      </c>
      <c r="M738" s="6" t="s">
        <v>1063</v>
      </c>
      <c r="N738" s="6" t="s">
        <v>1064</v>
      </c>
      <c r="O738" s="6" t="s">
        <v>21</v>
      </c>
      <c r="P738" s="6" t="s">
        <v>21</v>
      </c>
      <c r="Q738" s="6" t="s">
        <v>3332</v>
      </c>
      <c r="R738" s="8" t="s">
        <v>1808</v>
      </c>
      <c r="S738" s="6"/>
    </row>
    <row r="739" spans="1:19" ht="25.5" x14ac:dyDescent="0.25">
      <c r="A739" s="5" t="s">
        <v>3872</v>
      </c>
      <c r="B739" s="5">
        <v>738</v>
      </c>
      <c r="C739" s="6" t="s">
        <v>2531</v>
      </c>
      <c r="D739" s="6" t="s">
        <v>4142</v>
      </c>
      <c r="E739" s="6">
        <v>85</v>
      </c>
      <c r="F739" s="6" t="s">
        <v>1065</v>
      </c>
      <c r="G739" s="6">
        <v>4</v>
      </c>
      <c r="H739" s="6" t="s">
        <v>1062</v>
      </c>
      <c r="I739" s="6" t="s">
        <v>4149</v>
      </c>
      <c r="J739" s="6" t="s">
        <v>4150</v>
      </c>
      <c r="K739" s="6" t="s">
        <v>3331</v>
      </c>
      <c r="L739" s="6">
        <v>79043060</v>
      </c>
      <c r="M739" s="6" t="s">
        <v>1063</v>
      </c>
      <c r="N739" s="6" t="s">
        <v>1064</v>
      </c>
      <c r="O739" s="6" t="s">
        <v>21</v>
      </c>
      <c r="P739" s="6" t="s">
        <v>21</v>
      </c>
      <c r="Q739" s="6" t="s">
        <v>3332</v>
      </c>
      <c r="R739" s="8" t="s">
        <v>1808</v>
      </c>
      <c r="S739" s="6"/>
    </row>
    <row r="740" spans="1:19" ht="25.5" x14ac:dyDescent="0.25">
      <c r="A740" s="5" t="s">
        <v>3872</v>
      </c>
      <c r="B740" s="5">
        <v>739</v>
      </c>
      <c r="C740" s="6" t="s">
        <v>2532</v>
      </c>
      <c r="D740" s="6" t="s">
        <v>4142</v>
      </c>
      <c r="E740" s="6">
        <v>85</v>
      </c>
      <c r="F740" s="6" t="s">
        <v>1065</v>
      </c>
      <c r="G740" s="6">
        <v>4</v>
      </c>
      <c r="H740" s="6" t="s">
        <v>1062</v>
      </c>
      <c r="I740" s="6" t="s">
        <v>4151</v>
      </c>
      <c r="J740" s="6" t="s">
        <v>3538</v>
      </c>
      <c r="K740" s="6" t="s">
        <v>3331</v>
      </c>
      <c r="L740" s="6">
        <v>79042481</v>
      </c>
      <c r="M740" s="6" t="s">
        <v>1063</v>
      </c>
      <c r="N740" s="6" t="s">
        <v>1064</v>
      </c>
      <c r="O740" s="6" t="s">
        <v>21</v>
      </c>
      <c r="P740" s="6" t="s">
        <v>21</v>
      </c>
      <c r="Q740" s="6" t="s">
        <v>3332</v>
      </c>
      <c r="R740" s="8" t="s">
        <v>1808</v>
      </c>
      <c r="S740" s="6"/>
    </row>
    <row r="741" spans="1:19" ht="25.5" x14ac:dyDescent="0.25">
      <c r="A741" s="5" t="s">
        <v>3872</v>
      </c>
      <c r="B741" s="5">
        <v>740</v>
      </c>
      <c r="C741" s="6" t="s">
        <v>2533</v>
      </c>
      <c r="D741" s="6" t="s">
        <v>4142</v>
      </c>
      <c r="E741" s="6">
        <v>13</v>
      </c>
      <c r="F741" s="6" t="s">
        <v>1067</v>
      </c>
      <c r="G741" s="6">
        <v>2</v>
      </c>
      <c r="H741" s="6" t="s">
        <v>1068</v>
      </c>
      <c r="I741" s="6" t="s">
        <v>4152</v>
      </c>
      <c r="J741" s="6" t="s">
        <v>4153</v>
      </c>
      <c r="K741" s="6" t="s">
        <v>3331</v>
      </c>
      <c r="L741" s="6">
        <v>51904390</v>
      </c>
      <c r="M741" s="6" t="s">
        <v>1063</v>
      </c>
      <c r="N741" s="6" t="s">
        <v>1064</v>
      </c>
      <c r="O741" s="6" t="s">
        <v>21</v>
      </c>
      <c r="P741" s="6" t="s">
        <v>21</v>
      </c>
      <c r="Q741" s="6" t="s">
        <v>3332</v>
      </c>
      <c r="R741" s="8" t="s">
        <v>1808</v>
      </c>
      <c r="S741" s="6"/>
    </row>
    <row r="742" spans="1:19" ht="25.5" x14ac:dyDescent="0.25">
      <c r="A742" s="5" t="s">
        <v>3872</v>
      </c>
      <c r="B742" s="5">
        <v>741</v>
      </c>
      <c r="C742" s="6" t="s">
        <v>2534</v>
      </c>
      <c r="D742" s="6" t="s">
        <v>4142</v>
      </c>
      <c r="E742" s="6">
        <v>13</v>
      </c>
      <c r="F742" s="6" t="s">
        <v>1067</v>
      </c>
      <c r="G742" s="6">
        <v>2</v>
      </c>
      <c r="H742" s="6" t="s">
        <v>1068</v>
      </c>
      <c r="I742" s="6" t="s">
        <v>4154</v>
      </c>
      <c r="J742" s="6" t="s">
        <v>4155</v>
      </c>
      <c r="K742" s="6" t="s">
        <v>3331</v>
      </c>
      <c r="L742" s="6">
        <v>6776931</v>
      </c>
      <c r="M742" s="6" t="s">
        <v>1063</v>
      </c>
      <c r="N742" s="6" t="s">
        <v>1064</v>
      </c>
      <c r="O742" s="6" t="s">
        <v>21</v>
      </c>
      <c r="P742" s="6" t="s">
        <v>21</v>
      </c>
      <c r="Q742" s="6" t="s">
        <v>3332</v>
      </c>
      <c r="R742" s="8" t="s">
        <v>1808</v>
      </c>
      <c r="S742" s="6"/>
    </row>
    <row r="743" spans="1:19" ht="25.5" x14ac:dyDescent="0.25">
      <c r="A743" s="5" t="s">
        <v>3872</v>
      </c>
      <c r="B743" s="5">
        <v>742</v>
      </c>
      <c r="C743" s="6" t="s">
        <v>2535</v>
      </c>
      <c r="D743" s="6" t="s">
        <v>4142</v>
      </c>
      <c r="E743" s="6">
        <v>13</v>
      </c>
      <c r="F743" s="6" t="s">
        <v>1067</v>
      </c>
      <c r="G743" s="6">
        <v>2</v>
      </c>
      <c r="H743" s="6" t="s">
        <v>1068</v>
      </c>
      <c r="I743" s="6" t="s">
        <v>4156</v>
      </c>
      <c r="J743" s="6" t="s">
        <v>4157</v>
      </c>
      <c r="K743" s="6" t="s">
        <v>3331</v>
      </c>
      <c r="L743" s="6">
        <v>14968374</v>
      </c>
      <c r="M743" s="6" t="s">
        <v>1063</v>
      </c>
      <c r="N743" s="6" t="s">
        <v>1064</v>
      </c>
      <c r="O743" s="6" t="s">
        <v>21</v>
      </c>
      <c r="P743" s="6" t="s">
        <v>21</v>
      </c>
      <c r="Q743" s="6" t="s">
        <v>3332</v>
      </c>
      <c r="R743" s="8" t="s">
        <v>1808</v>
      </c>
      <c r="S743" s="6"/>
    </row>
    <row r="744" spans="1:19" ht="25.5" x14ac:dyDescent="0.25">
      <c r="A744" s="5" t="s">
        <v>3872</v>
      </c>
      <c r="B744" s="5">
        <v>743</v>
      </c>
      <c r="C744" s="6" t="s">
        <v>2536</v>
      </c>
      <c r="D744" s="6" t="s">
        <v>4142</v>
      </c>
      <c r="E744" s="6">
        <v>13</v>
      </c>
      <c r="F744" s="6" t="s">
        <v>1067</v>
      </c>
      <c r="G744" s="6">
        <v>2</v>
      </c>
      <c r="H744" s="6" t="s">
        <v>1068</v>
      </c>
      <c r="I744" s="6" t="s">
        <v>4158</v>
      </c>
      <c r="J744" s="6" t="s">
        <v>4159</v>
      </c>
      <c r="K744" s="6" t="s">
        <v>3331</v>
      </c>
      <c r="L744" s="6">
        <v>79320725</v>
      </c>
      <c r="M744" s="6" t="s">
        <v>1063</v>
      </c>
      <c r="N744" s="6" t="s">
        <v>1064</v>
      </c>
      <c r="O744" s="6" t="s">
        <v>21</v>
      </c>
      <c r="P744" s="6" t="s">
        <v>21</v>
      </c>
      <c r="Q744" s="6" t="s">
        <v>3332</v>
      </c>
      <c r="R744" s="8" t="s">
        <v>1808</v>
      </c>
      <c r="S744" s="6"/>
    </row>
    <row r="745" spans="1:19" ht="25.5" x14ac:dyDescent="0.25">
      <c r="A745" s="5" t="s">
        <v>3872</v>
      </c>
      <c r="B745" s="5">
        <v>744</v>
      </c>
      <c r="C745" s="6" t="s">
        <v>2537</v>
      </c>
      <c r="D745" s="6" t="s">
        <v>4142</v>
      </c>
      <c r="E745" s="6">
        <v>25</v>
      </c>
      <c r="F745" s="6" t="s">
        <v>16</v>
      </c>
      <c r="G745" s="6">
        <v>7</v>
      </c>
      <c r="H745" s="6" t="s">
        <v>576</v>
      </c>
      <c r="I745" s="6" t="s">
        <v>4160</v>
      </c>
      <c r="J745" s="6" t="s">
        <v>4161</v>
      </c>
      <c r="K745" s="6" t="s">
        <v>3331</v>
      </c>
      <c r="L745" s="6">
        <v>20983814</v>
      </c>
      <c r="M745" s="6" t="s">
        <v>1063</v>
      </c>
      <c r="N745" s="6" t="s">
        <v>1064</v>
      </c>
      <c r="O745" s="6" t="s">
        <v>21</v>
      </c>
      <c r="P745" s="6" t="s">
        <v>21</v>
      </c>
      <c r="Q745" s="6" t="s">
        <v>3332</v>
      </c>
      <c r="R745" s="8" t="s">
        <v>1808</v>
      </c>
      <c r="S745" s="6"/>
    </row>
    <row r="746" spans="1:19" ht="25.5" x14ac:dyDescent="0.25">
      <c r="A746" s="5" t="s">
        <v>3872</v>
      </c>
      <c r="B746" s="5">
        <v>745</v>
      </c>
      <c r="C746" s="6" t="s">
        <v>2538</v>
      </c>
      <c r="D746" s="6" t="s">
        <v>4142</v>
      </c>
      <c r="E746" s="6">
        <v>25</v>
      </c>
      <c r="F746" s="6" t="s">
        <v>16</v>
      </c>
      <c r="G746" s="6">
        <v>7</v>
      </c>
      <c r="H746" s="6" t="s">
        <v>576</v>
      </c>
      <c r="I746" s="6" t="s">
        <v>4162</v>
      </c>
      <c r="J746" s="6" t="s">
        <v>4163</v>
      </c>
      <c r="K746" s="6" t="s">
        <v>3331</v>
      </c>
      <c r="L746" s="6">
        <v>79272586</v>
      </c>
      <c r="M746" s="6" t="s">
        <v>1063</v>
      </c>
      <c r="N746" s="6" t="s">
        <v>1064</v>
      </c>
      <c r="O746" s="6" t="s">
        <v>21</v>
      </c>
      <c r="P746" s="6" t="s">
        <v>21</v>
      </c>
      <c r="Q746" s="6" t="s">
        <v>3332</v>
      </c>
      <c r="R746" s="8" t="s">
        <v>1808</v>
      </c>
      <c r="S746" s="6"/>
    </row>
    <row r="747" spans="1:19" ht="25.5" x14ac:dyDescent="0.25">
      <c r="A747" s="5" t="s">
        <v>3872</v>
      </c>
      <c r="B747" s="5">
        <v>746</v>
      </c>
      <c r="C747" s="6" t="s">
        <v>2539</v>
      </c>
      <c r="D747" s="6" t="s">
        <v>4142</v>
      </c>
      <c r="E747" s="6">
        <v>66</v>
      </c>
      <c r="F747" s="6" t="s">
        <v>1069</v>
      </c>
      <c r="G747" s="6">
        <v>13</v>
      </c>
      <c r="H747" s="6" t="s">
        <v>1070</v>
      </c>
      <c r="I747" s="6" t="s">
        <v>4164</v>
      </c>
      <c r="J747" s="6" t="s">
        <v>3470</v>
      </c>
      <c r="K747" s="6" t="s">
        <v>3331</v>
      </c>
      <c r="L747" s="6">
        <v>7557826</v>
      </c>
      <c r="M747" s="6" t="s">
        <v>1063</v>
      </c>
      <c r="N747" s="6" t="s">
        <v>1064</v>
      </c>
      <c r="O747" s="6" t="s">
        <v>21</v>
      </c>
      <c r="P747" s="6" t="s">
        <v>21</v>
      </c>
      <c r="Q747" s="6" t="s">
        <v>3332</v>
      </c>
      <c r="R747" s="8" t="s">
        <v>1808</v>
      </c>
      <c r="S747" s="6"/>
    </row>
    <row r="748" spans="1:19" ht="25.5" x14ac:dyDescent="0.25">
      <c r="A748" s="5" t="s">
        <v>3872</v>
      </c>
      <c r="B748" s="5">
        <v>747</v>
      </c>
      <c r="C748" s="6" t="s">
        <v>2540</v>
      </c>
      <c r="D748" s="6" t="s">
        <v>4142</v>
      </c>
      <c r="E748" s="6">
        <v>66</v>
      </c>
      <c r="F748" s="6" t="s">
        <v>1069</v>
      </c>
      <c r="G748" s="6">
        <v>13</v>
      </c>
      <c r="H748" s="6" t="s">
        <v>1070</v>
      </c>
      <c r="I748" s="6" t="s">
        <v>4165</v>
      </c>
      <c r="J748" s="6" t="s">
        <v>4166</v>
      </c>
      <c r="K748" s="6" t="s">
        <v>3331</v>
      </c>
      <c r="L748" s="6">
        <v>79293793</v>
      </c>
      <c r="M748" s="6" t="s">
        <v>1063</v>
      </c>
      <c r="N748" s="6" t="s">
        <v>1064</v>
      </c>
      <c r="O748" s="6" t="s">
        <v>21</v>
      </c>
      <c r="P748" s="6" t="s">
        <v>21</v>
      </c>
      <c r="Q748" s="6" t="s">
        <v>3332</v>
      </c>
      <c r="R748" s="8" t="s">
        <v>1808</v>
      </c>
      <c r="S748" s="6"/>
    </row>
    <row r="749" spans="1:19" ht="25.5" x14ac:dyDescent="0.25">
      <c r="A749" s="5" t="s">
        <v>3872</v>
      </c>
      <c r="B749" s="5">
        <v>748</v>
      </c>
      <c r="C749" s="6" t="s">
        <v>2541</v>
      </c>
      <c r="D749" s="6" t="s">
        <v>4142</v>
      </c>
      <c r="E749" s="6">
        <v>66</v>
      </c>
      <c r="F749" s="6" t="s">
        <v>1069</v>
      </c>
      <c r="G749" s="6">
        <v>13</v>
      </c>
      <c r="H749" s="6" t="s">
        <v>1070</v>
      </c>
      <c r="I749" s="6" t="s">
        <v>4167</v>
      </c>
      <c r="J749" s="6" t="s">
        <v>3882</v>
      </c>
      <c r="K749" s="6" t="s">
        <v>3331</v>
      </c>
      <c r="L749" s="6">
        <v>51936661</v>
      </c>
      <c r="M749" s="6" t="s">
        <v>1063</v>
      </c>
      <c r="N749" s="6" t="s">
        <v>1064</v>
      </c>
      <c r="O749" s="6" t="s">
        <v>21</v>
      </c>
      <c r="P749" s="6" t="s">
        <v>21</v>
      </c>
      <c r="Q749" s="6" t="s">
        <v>3332</v>
      </c>
      <c r="R749" s="8" t="s">
        <v>1808</v>
      </c>
      <c r="S749" s="6"/>
    </row>
    <row r="750" spans="1:19" ht="25.5" x14ac:dyDescent="0.25">
      <c r="A750" s="5" t="s">
        <v>3872</v>
      </c>
      <c r="B750" s="5">
        <v>749</v>
      </c>
      <c r="C750" s="6" t="s">
        <v>2542</v>
      </c>
      <c r="D750" s="6" t="s">
        <v>4142</v>
      </c>
      <c r="E750" s="6">
        <v>66</v>
      </c>
      <c r="F750" s="6" t="s">
        <v>1069</v>
      </c>
      <c r="G750" s="6">
        <v>13</v>
      </c>
      <c r="H750" s="6" t="s">
        <v>1070</v>
      </c>
      <c r="I750" s="6" t="s">
        <v>4168</v>
      </c>
      <c r="J750" s="6" t="s">
        <v>4169</v>
      </c>
      <c r="K750" s="6" t="s">
        <v>3331</v>
      </c>
      <c r="L750" s="6">
        <v>19426290</v>
      </c>
      <c r="M750" s="6" t="s">
        <v>1063</v>
      </c>
      <c r="N750" s="6" t="s">
        <v>1064</v>
      </c>
      <c r="O750" s="6" t="s">
        <v>21</v>
      </c>
      <c r="P750" s="6" t="s">
        <v>21</v>
      </c>
      <c r="Q750" s="6" t="s">
        <v>3332</v>
      </c>
      <c r="R750" s="8" t="s">
        <v>1808</v>
      </c>
      <c r="S750" s="6"/>
    </row>
    <row r="751" spans="1:19" ht="25.5" x14ac:dyDescent="0.25">
      <c r="A751" s="5" t="s">
        <v>3872</v>
      </c>
      <c r="B751" s="5">
        <v>750</v>
      </c>
      <c r="C751" s="6" t="s">
        <v>2543</v>
      </c>
      <c r="D751" s="6" t="s">
        <v>4142</v>
      </c>
      <c r="E751" s="6">
        <v>66</v>
      </c>
      <c r="F751" s="6" t="s">
        <v>1069</v>
      </c>
      <c r="G751" s="6">
        <v>13</v>
      </c>
      <c r="H751" s="6" t="s">
        <v>1070</v>
      </c>
      <c r="I751" s="6" t="s">
        <v>4170</v>
      </c>
      <c r="J751" s="6" t="s">
        <v>4171</v>
      </c>
      <c r="K751" s="6" t="s">
        <v>3331</v>
      </c>
      <c r="L751" s="6">
        <v>51568763</v>
      </c>
      <c r="M751" s="6" t="s">
        <v>1063</v>
      </c>
      <c r="N751" s="6" t="s">
        <v>1064</v>
      </c>
      <c r="O751" s="6" t="s">
        <v>21</v>
      </c>
      <c r="P751" s="6" t="s">
        <v>21</v>
      </c>
      <c r="Q751" s="6" t="s">
        <v>3332</v>
      </c>
      <c r="R751" s="8" t="s">
        <v>1808</v>
      </c>
      <c r="S751" s="6"/>
    </row>
    <row r="752" spans="1:19" ht="25.5" x14ac:dyDescent="0.25">
      <c r="A752" s="5" t="s">
        <v>3872</v>
      </c>
      <c r="B752" s="5">
        <v>751</v>
      </c>
      <c r="C752" s="6" t="s">
        <v>2544</v>
      </c>
      <c r="D752" s="6" t="s">
        <v>4142</v>
      </c>
      <c r="E752" s="6">
        <v>112</v>
      </c>
      <c r="F752" s="6" t="s">
        <v>1071</v>
      </c>
      <c r="G752" s="6">
        <v>22</v>
      </c>
      <c r="H752" s="6" t="s">
        <v>29</v>
      </c>
      <c r="I752" s="6" t="s">
        <v>4172</v>
      </c>
      <c r="J752" s="6" t="s">
        <v>4173</v>
      </c>
      <c r="K752" s="6" t="s">
        <v>3331</v>
      </c>
      <c r="L752" s="6">
        <v>79510845</v>
      </c>
      <c r="M752" s="6" t="s">
        <v>1063</v>
      </c>
      <c r="N752" s="6" t="s">
        <v>1064</v>
      </c>
      <c r="O752" s="6" t="s">
        <v>21</v>
      </c>
      <c r="P752" s="6" t="s">
        <v>21</v>
      </c>
      <c r="Q752" s="6" t="s">
        <v>3332</v>
      </c>
      <c r="R752" s="8" t="s">
        <v>1808</v>
      </c>
      <c r="S752" s="6"/>
    </row>
    <row r="753" spans="1:19" ht="25.5" x14ac:dyDescent="0.25">
      <c r="A753" s="5" t="s">
        <v>3872</v>
      </c>
      <c r="B753" s="5">
        <v>752</v>
      </c>
      <c r="C753" s="6" t="s">
        <v>2545</v>
      </c>
      <c r="D753" s="6" t="s">
        <v>4142</v>
      </c>
      <c r="E753" s="6">
        <v>112</v>
      </c>
      <c r="F753" s="6" t="s">
        <v>1071</v>
      </c>
      <c r="G753" s="6">
        <v>22</v>
      </c>
      <c r="H753" s="6" t="s">
        <v>29</v>
      </c>
      <c r="I753" s="6" t="s">
        <v>4174</v>
      </c>
      <c r="J753" s="6" t="s">
        <v>3950</v>
      </c>
      <c r="K753" s="6" t="s">
        <v>3331</v>
      </c>
      <c r="L753" s="6">
        <v>39703286</v>
      </c>
      <c r="M753" s="6" t="s">
        <v>1063</v>
      </c>
      <c r="N753" s="6" t="s">
        <v>1064</v>
      </c>
      <c r="O753" s="6" t="s">
        <v>21</v>
      </c>
      <c r="P753" s="6" t="s">
        <v>21</v>
      </c>
      <c r="Q753" s="6" t="s">
        <v>3332</v>
      </c>
      <c r="R753" s="8" t="s">
        <v>1808</v>
      </c>
      <c r="S753" s="6"/>
    </row>
    <row r="754" spans="1:19" ht="25.5" x14ac:dyDescent="0.25">
      <c r="A754" s="5" t="s">
        <v>3872</v>
      </c>
      <c r="B754" s="5">
        <v>753</v>
      </c>
      <c r="C754" s="6" t="s">
        <v>2546</v>
      </c>
      <c r="D754" s="6" t="s">
        <v>4142</v>
      </c>
      <c r="E754" s="6">
        <v>112</v>
      </c>
      <c r="F754" s="6" t="s">
        <v>1071</v>
      </c>
      <c r="G754" s="6">
        <v>22</v>
      </c>
      <c r="H754" s="6" t="s">
        <v>29</v>
      </c>
      <c r="I754" s="6" t="s">
        <v>4175</v>
      </c>
      <c r="J754" s="6" t="s">
        <v>4176</v>
      </c>
      <c r="K754" s="6" t="s">
        <v>3331</v>
      </c>
      <c r="L754" s="6">
        <v>79296337</v>
      </c>
      <c r="M754" s="6" t="s">
        <v>1063</v>
      </c>
      <c r="N754" s="6" t="s">
        <v>1064</v>
      </c>
      <c r="O754" s="6" t="s">
        <v>21</v>
      </c>
      <c r="P754" s="6" t="s">
        <v>21</v>
      </c>
      <c r="Q754" s="6" t="s">
        <v>3332</v>
      </c>
      <c r="R754" s="8" t="s">
        <v>1808</v>
      </c>
      <c r="S754" s="6"/>
    </row>
    <row r="755" spans="1:19" ht="25.5" x14ac:dyDescent="0.25">
      <c r="A755" s="5" t="s">
        <v>3872</v>
      </c>
      <c r="B755" s="5">
        <v>754</v>
      </c>
      <c r="C755" s="6" t="s">
        <v>2547</v>
      </c>
      <c r="D755" s="6" t="s">
        <v>4142</v>
      </c>
      <c r="E755" s="6">
        <v>112</v>
      </c>
      <c r="F755" s="6" t="s">
        <v>1071</v>
      </c>
      <c r="G755" s="6">
        <v>22</v>
      </c>
      <c r="H755" s="6" t="s">
        <v>29</v>
      </c>
      <c r="I755" s="6" t="s">
        <v>4177</v>
      </c>
      <c r="J755" s="6" t="s">
        <v>4178</v>
      </c>
      <c r="K755" s="6" t="s">
        <v>3331</v>
      </c>
      <c r="L755" s="6">
        <v>19405960</v>
      </c>
      <c r="M755" s="6" t="s">
        <v>1063</v>
      </c>
      <c r="N755" s="6" t="s">
        <v>1064</v>
      </c>
      <c r="O755" s="6" t="s">
        <v>21</v>
      </c>
      <c r="P755" s="6" t="s">
        <v>21</v>
      </c>
      <c r="Q755" s="6" t="s">
        <v>3332</v>
      </c>
      <c r="R755" s="8" t="s">
        <v>1808</v>
      </c>
      <c r="S755" s="6"/>
    </row>
    <row r="756" spans="1:19" ht="25.5" x14ac:dyDescent="0.25">
      <c r="A756" s="5" t="s">
        <v>3872</v>
      </c>
      <c r="B756" s="5">
        <v>755</v>
      </c>
      <c r="C756" s="6" t="s">
        <v>2548</v>
      </c>
      <c r="D756" s="6" t="s">
        <v>4142</v>
      </c>
      <c r="E756" s="6">
        <v>12</v>
      </c>
      <c r="F756" s="6" t="s">
        <v>1072</v>
      </c>
      <c r="G756" s="6">
        <v>17</v>
      </c>
      <c r="H756" s="6" t="s">
        <v>1073</v>
      </c>
      <c r="I756" s="6" t="s">
        <v>4179</v>
      </c>
      <c r="J756" s="6" t="s">
        <v>4180</v>
      </c>
      <c r="K756" s="6" t="s">
        <v>3331</v>
      </c>
      <c r="L756" s="6">
        <v>79374302</v>
      </c>
      <c r="M756" s="6" t="s">
        <v>1063</v>
      </c>
      <c r="N756" s="6" t="s">
        <v>1064</v>
      </c>
      <c r="O756" s="6" t="s">
        <v>21</v>
      </c>
      <c r="P756" s="6" t="s">
        <v>21</v>
      </c>
      <c r="Q756" s="6" t="s">
        <v>3332</v>
      </c>
      <c r="R756" s="8" t="s">
        <v>1808</v>
      </c>
      <c r="S756" s="6"/>
    </row>
    <row r="757" spans="1:19" ht="25.5" x14ac:dyDescent="0.25">
      <c r="A757" s="5" t="s">
        <v>3872</v>
      </c>
      <c r="B757" s="5">
        <v>756</v>
      </c>
      <c r="C757" s="6" t="s">
        <v>2549</v>
      </c>
      <c r="D757" s="6" t="s">
        <v>4142</v>
      </c>
      <c r="E757" s="6">
        <v>81</v>
      </c>
      <c r="F757" s="6" t="s">
        <v>1074</v>
      </c>
      <c r="G757" s="6">
        <v>29</v>
      </c>
      <c r="H757" s="6" t="s">
        <v>40</v>
      </c>
      <c r="I757" s="6" t="s">
        <v>4181</v>
      </c>
      <c r="J757" s="6" t="s">
        <v>4182</v>
      </c>
      <c r="K757" s="6" t="s">
        <v>3331</v>
      </c>
      <c r="L757" s="6">
        <v>79348094</v>
      </c>
      <c r="M757" s="6" t="s">
        <v>1063</v>
      </c>
      <c r="N757" s="6" t="s">
        <v>1064</v>
      </c>
      <c r="O757" s="6" t="s">
        <v>21</v>
      </c>
      <c r="P757" s="6" t="s">
        <v>21</v>
      </c>
      <c r="Q757" s="6" t="s">
        <v>3332</v>
      </c>
      <c r="R757" s="8" t="s">
        <v>1808</v>
      </c>
      <c r="S757" s="6"/>
    </row>
    <row r="758" spans="1:19" ht="25.5" x14ac:dyDescent="0.25">
      <c r="A758" s="5" t="s">
        <v>3872</v>
      </c>
      <c r="B758" s="5">
        <v>757</v>
      </c>
      <c r="C758" s="6" t="s">
        <v>2550</v>
      </c>
      <c r="D758" s="6" t="s">
        <v>4142</v>
      </c>
      <c r="E758" s="6">
        <v>5</v>
      </c>
      <c r="F758" s="6" t="s">
        <v>1075</v>
      </c>
      <c r="G758" s="6">
        <v>24</v>
      </c>
      <c r="H758" s="6" t="s">
        <v>1076</v>
      </c>
      <c r="I758" s="6" t="s">
        <v>4183</v>
      </c>
      <c r="J758" s="6" t="s">
        <v>4184</v>
      </c>
      <c r="K758" s="6" t="s">
        <v>3331</v>
      </c>
      <c r="L758" s="6">
        <v>79399425</v>
      </c>
      <c r="M758" s="6" t="s">
        <v>1063</v>
      </c>
      <c r="N758" s="6" t="s">
        <v>1064</v>
      </c>
      <c r="O758" s="6" t="s">
        <v>21</v>
      </c>
      <c r="P758" s="6" t="s">
        <v>21</v>
      </c>
      <c r="Q758" s="6" t="s">
        <v>3332</v>
      </c>
      <c r="R758" s="8" t="s">
        <v>1808</v>
      </c>
      <c r="S758" s="6"/>
    </row>
    <row r="759" spans="1:19" ht="25.5" x14ac:dyDescent="0.25">
      <c r="A759" s="5" t="s">
        <v>3872</v>
      </c>
      <c r="B759" s="5">
        <v>758</v>
      </c>
      <c r="C759" s="6" t="s">
        <v>2551</v>
      </c>
      <c r="D759" s="6" t="s">
        <v>4142</v>
      </c>
      <c r="E759" s="6">
        <v>15</v>
      </c>
      <c r="F759" s="6" t="s">
        <v>1077</v>
      </c>
      <c r="G759" s="6">
        <v>38</v>
      </c>
      <c r="H759" s="6" t="s">
        <v>57</v>
      </c>
      <c r="I759" s="6" t="s">
        <v>4185</v>
      </c>
      <c r="J759" s="6" t="s">
        <v>4186</v>
      </c>
      <c r="K759" s="6" t="s">
        <v>3331</v>
      </c>
      <c r="L759" s="6">
        <v>19481576</v>
      </c>
      <c r="M759" s="6" t="s">
        <v>1063</v>
      </c>
      <c r="N759" s="6" t="s">
        <v>1064</v>
      </c>
      <c r="O759" s="6" t="s">
        <v>21</v>
      </c>
      <c r="P759" s="6" t="s">
        <v>21</v>
      </c>
      <c r="Q759" s="6" t="s">
        <v>3332</v>
      </c>
      <c r="R759" s="8" t="s">
        <v>1808</v>
      </c>
      <c r="S759" s="6"/>
    </row>
    <row r="760" spans="1:19" ht="25.5" x14ac:dyDescent="0.25">
      <c r="A760" s="5" t="s">
        <v>3872</v>
      </c>
      <c r="B760" s="5">
        <v>759</v>
      </c>
      <c r="C760" s="6" t="s">
        <v>2552</v>
      </c>
      <c r="D760" s="6" t="s">
        <v>4142</v>
      </c>
      <c r="E760" s="6">
        <v>15</v>
      </c>
      <c r="F760" s="6" t="s">
        <v>1077</v>
      </c>
      <c r="G760" s="6">
        <v>38</v>
      </c>
      <c r="H760" s="6" t="s">
        <v>57</v>
      </c>
      <c r="I760" s="6" t="s">
        <v>4187</v>
      </c>
      <c r="J760" s="6" t="s">
        <v>4188</v>
      </c>
      <c r="K760" s="6" t="s">
        <v>3331</v>
      </c>
      <c r="L760" s="6">
        <v>3228368</v>
      </c>
      <c r="M760" s="6" t="s">
        <v>1063</v>
      </c>
      <c r="N760" s="6" t="s">
        <v>1064</v>
      </c>
      <c r="O760" s="6" t="s">
        <v>21</v>
      </c>
      <c r="P760" s="6" t="s">
        <v>21</v>
      </c>
      <c r="Q760" s="6" t="s">
        <v>3332</v>
      </c>
      <c r="R760" s="8" t="s">
        <v>1808</v>
      </c>
      <c r="S760" s="6"/>
    </row>
    <row r="761" spans="1:19" ht="25.5" x14ac:dyDescent="0.25">
      <c r="A761" s="5" t="s">
        <v>3872</v>
      </c>
      <c r="B761" s="5">
        <v>760</v>
      </c>
      <c r="C761" s="6" t="s">
        <v>2553</v>
      </c>
      <c r="D761" s="6" t="s">
        <v>4142</v>
      </c>
      <c r="E761" s="6">
        <v>20</v>
      </c>
      <c r="F761" s="6" t="s">
        <v>1078</v>
      </c>
      <c r="G761" s="6">
        <v>69</v>
      </c>
      <c r="H761" s="6" t="s">
        <v>60</v>
      </c>
      <c r="I761" s="6" t="s">
        <v>4189</v>
      </c>
      <c r="J761" s="6" t="s">
        <v>4190</v>
      </c>
      <c r="K761" s="6" t="s">
        <v>3331</v>
      </c>
      <c r="L761" s="6">
        <v>19285049</v>
      </c>
      <c r="M761" s="6" t="s">
        <v>1063</v>
      </c>
      <c r="N761" s="6" t="s">
        <v>1064</v>
      </c>
      <c r="O761" s="6" t="s">
        <v>21</v>
      </c>
      <c r="P761" s="6" t="s">
        <v>21</v>
      </c>
      <c r="Q761" s="6" t="s">
        <v>3332</v>
      </c>
      <c r="R761" s="8" t="s">
        <v>1808</v>
      </c>
      <c r="S761" s="6"/>
    </row>
    <row r="762" spans="1:19" ht="25.5" x14ac:dyDescent="0.25">
      <c r="A762" s="5" t="s">
        <v>3872</v>
      </c>
      <c r="B762" s="5">
        <v>761</v>
      </c>
      <c r="C762" s="6" t="s">
        <v>2554</v>
      </c>
      <c r="D762" s="6" t="s">
        <v>4142</v>
      </c>
      <c r="E762" s="6">
        <v>4</v>
      </c>
      <c r="F762" s="6" t="s">
        <v>1079</v>
      </c>
      <c r="G762" s="6">
        <v>331</v>
      </c>
      <c r="H762" s="6" t="s">
        <v>84</v>
      </c>
      <c r="I762" s="6" t="s">
        <v>4191</v>
      </c>
      <c r="J762" s="6" t="s">
        <v>4192</v>
      </c>
      <c r="K762" s="6" t="s">
        <v>3331</v>
      </c>
      <c r="L762" s="6">
        <v>91244627</v>
      </c>
      <c r="M762" s="6" t="s">
        <v>1063</v>
      </c>
      <c r="N762" s="6" t="s">
        <v>1064</v>
      </c>
      <c r="O762" s="6" t="s">
        <v>21</v>
      </c>
      <c r="P762" s="6" t="s">
        <v>21</v>
      </c>
      <c r="Q762" s="6" t="s">
        <v>3332</v>
      </c>
      <c r="R762" s="8" t="s">
        <v>1808</v>
      </c>
      <c r="S762" s="6"/>
    </row>
    <row r="763" spans="1:19" ht="25.5" x14ac:dyDescent="0.25">
      <c r="A763" s="5" t="s">
        <v>3872</v>
      </c>
      <c r="B763" s="5">
        <v>762</v>
      </c>
      <c r="C763" s="6" t="s">
        <v>2555</v>
      </c>
      <c r="D763" s="6" t="s">
        <v>4142</v>
      </c>
      <c r="E763" s="6">
        <v>4</v>
      </c>
      <c r="F763" s="6" t="s">
        <v>1079</v>
      </c>
      <c r="G763" s="6">
        <v>331</v>
      </c>
      <c r="H763" s="6" t="s">
        <v>84</v>
      </c>
      <c r="I763" s="6" t="s">
        <v>4193</v>
      </c>
      <c r="J763" s="6" t="s">
        <v>3745</v>
      </c>
      <c r="K763" s="6" t="s">
        <v>3331</v>
      </c>
      <c r="L763" s="6">
        <v>12127754</v>
      </c>
      <c r="M763" s="6" t="s">
        <v>1063</v>
      </c>
      <c r="N763" s="6" t="s">
        <v>1064</v>
      </c>
      <c r="O763" s="6" t="s">
        <v>21</v>
      </c>
      <c r="P763" s="6" t="s">
        <v>21</v>
      </c>
      <c r="Q763" s="6" t="s">
        <v>3332</v>
      </c>
      <c r="R763" s="8" t="s">
        <v>1808</v>
      </c>
      <c r="S763" s="6"/>
    </row>
    <row r="764" spans="1:19" ht="25.5" x14ac:dyDescent="0.25">
      <c r="A764" s="5" t="s">
        <v>3872</v>
      </c>
      <c r="B764" s="5">
        <v>763</v>
      </c>
      <c r="C764" s="6" t="s">
        <v>2556</v>
      </c>
      <c r="D764" s="6" t="s">
        <v>4142</v>
      </c>
      <c r="E764" s="6">
        <v>35</v>
      </c>
      <c r="F764" s="6" t="s">
        <v>1079</v>
      </c>
      <c r="G764" s="6">
        <v>331</v>
      </c>
      <c r="H764" s="6" t="s">
        <v>84</v>
      </c>
      <c r="I764" s="6" t="s">
        <v>4194</v>
      </c>
      <c r="J764" s="6" t="s">
        <v>3739</v>
      </c>
      <c r="K764" s="6" t="s">
        <v>3331</v>
      </c>
      <c r="L764" s="6">
        <v>51964520</v>
      </c>
      <c r="M764" s="6" t="s">
        <v>1063</v>
      </c>
      <c r="N764" s="6" t="s">
        <v>1064</v>
      </c>
      <c r="O764" s="6" t="s">
        <v>21</v>
      </c>
      <c r="P764" s="6" t="s">
        <v>21</v>
      </c>
      <c r="Q764" s="6" t="s">
        <v>3332</v>
      </c>
      <c r="R764" s="8" t="s">
        <v>1808</v>
      </c>
      <c r="S764" s="6"/>
    </row>
    <row r="765" spans="1:19" ht="25.5" x14ac:dyDescent="0.25">
      <c r="A765" s="5" t="s">
        <v>3872</v>
      </c>
      <c r="B765" s="5">
        <v>764</v>
      </c>
      <c r="C765" s="6" t="s">
        <v>2557</v>
      </c>
      <c r="D765" s="6" t="s">
        <v>4142</v>
      </c>
      <c r="E765" s="6">
        <v>89</v>
      </c>
      <c r="F765" s="6" t="s">
        <v>1080</v>
      </c>
      <c r="G765" s="6">
        <v>536</v>
      </c>
      <c r="H765" s="6" t="s">
        <v>89</v>
      </c>
      <c r="I765" s="6" t="s">
        <v>4195</v>
      </c>
      <c r="J765" s="6" t="s">
        <v>4196</v>
      </c>
      <c r="K765" s="6" t="s">
        <v>3331</v>
      </c>
      <c r="L765" s="6">
        <v>79595416</v>
      </c>
      <c r="M765" s="6" t="s">
        <v>1063</v>
      </c>
      <c r="N765" s="6" t="s">
        <v>1064</v>
      </c>
      <c r="O765" s="6" t="s">
        <v>21</v>
      </c>
      <c r="P765" s="6" t="s">
        <v>21</v>
      </c>
      <c r="Q765" s="6" t="s">
        <v>3332</v>
      </c>
      <c r="R765" s="8" t="s">
        <v>1808</v>
      </c>
      <c r="S765" s="6"/>
    </row>
    <row r="766" spans="1:19" ht="25.5" x14ac:dyDescent="0.25">
      <c r="A766" s="5" t="s">
        <v>3872</v>
      </c>
      <c r="B766" s="5">
        <v>765</v>
      </c>
      <c r="C766" s="6" t="s">
        <v>2558</v>
      </c>
      <c r="D766" s="6" t="s">
        <v>4142</v>
      </c>
      <c r="E766" s="6">
        <v>34</v>
      </c>
      <c r="F766" s="6" t="s">
        <v>1081</v>
      </c>
      <c r="G766" s="6">
        <v>536</v>
      </c>
      <c r="H766" s="6" t="s">
        <v>89</v>
      </c>
      <c r="I766" s="6" t="s">
        <v>4197</v>
      </c>
      <c r="J766" s="6" t="s">
        <v>4198</v>
      </c>
      <c r="K766" s="6" t="s">
        <v>3331</v>
      </c>
      <c r="L766" s="6">
        <v>79412755</v>
      </c>
      <c r="M766" s="6" t="s">
        <v>1063</v>
      </c>
      <c r="N766" s="6" t="s">
        <v>1064</v>
      </c>
      <c r="O766" s="6" t="s">
        <v>21</v>
      </c>
      <c r="P766" s="6" t="s">
        <v>21</v>
      </c>
      <c r="Q766" s="6" t="s">
        <v>3332</v>
      </c>
      <c r="R766" s="8" t="s">
        <v>1808</v>
      </c>
      <c r="S766" s="6"/>
    </row>
    <row r="767" spans="1:19" ht="25.5" x14ac:dyDescent="0.25">
      <c r="A767" s="5" t="s">
        <v>3872</v>
      </c>
      <c r="B767" s="5">
        <v>766</v>
      </c>
      <c r="C767" s="6" t="s">
        <v>2559</v>
      </c>
      <c r="D767" s="6" t="s">
        <v>4142</v>
      </c>
      <c r="E767" s="6">
        <v>40</v>
      </c>
      <c r="F767" s="6" t="s">
        <v>1082</v>
      </c>
      <c r="G767" s="6">
        <v>579</v>
      </c>
      <c r="H767" s="6" t="s">
        <v>94</v>
      </c>
      <c r="I767" s="6" t="s">
        <v>4199</v>
      </c>
      <c r="J767" s="6" t="s">
        <v>3538</v>
      </c>
      <c r="K767" s="6" t="s">
        <v>3331</v>
      </c>
      <c r="L767" s="6">
        <v>80264909</v>
      </c>
      <c r="M767" s="6" t="s">
        <v>1063</v>
      </c>
      <c r="N767" s="6" t="s">
        <v>1064</v>
      </c>
      <c r="O767" s="6" t="s">
        <v>21</v>
      </c>
      <c r="P767" s="6" t="s">
        <v>21</v>
      </c>
      <c r="Q767" s="6" t="s">
        <v>3332</v>
      </c>
      <c r="R767" s="8" t="s">
        <v>1808</v>
      </c>
      <c r="S767" s="6"/>
    </row>
    <row r="768" spans="1:19" ht="25.5" x14ac:dyDescent="0.25">
      <c r="A768" s="5" t="s">
        <v>3872</v>
      </c>
      <c r="B768" s="5">
        <v>767</v>
      </c>
      <c r="C768" s="6" t="s">
        <v>2560</v>
      </c>
      <c r="D768" s="6" t="s">
        <v>4142</v>
      </c>
      <c r="E768" s="6">
        <v>54</v>
      </c>
      <c r="F768" s="6" t="s">
        <v>1082</v>
      </c>
      <c r="G768" s="6">
        <v>579</v>
      </c>
      <c r="H768" s="6" t="s">
        <v>94</v>
      </c>
      <c r="I768" s="6" t="s">
        <v>4200</v>
      </c>
      <c r="J768" s="6" t="s">
        <v>4201</v>
      </c>
      <c r="K768" s="6" t="s">
        <v>3331</v>
      </c>
      <c r="L768" s="6">
        <v>79449148</v>
      </c>
      <c r="M768" s="6" t="s">
        <v>1063</v>
      </c>
      <c r="N768" s="6" t="s">
        <v>1064</v>
      </c>
      <c r="O768" s="6" t="s">
        <v>21</v>
      </c>
      <c r="P768" s="6" t="s">
        <v>21</v>
      </c>
      <c r="Q768" s="6" t="s">
        <v>3332</v>
      </c>
      <c r="R768" s="8" t="s">
        <v>1808</v>
      </c>
      <c r="S768" s="6"/>
    </row>
    <row r="769" spans="1:19" ht="25.5" x14ac:dyDescent="0.25">
      <c r="A769" s="5" t="s">
        <v>3872</v>
      </c>
      <c r="B769" s="5">
        <v>768</v>
      </c>
      <c r="C769" s="6" t="s">
        <v>2561</v>
      </c>
      <c r="D769" s="6" t="s">
        <v>4142</v>
      </c>
      <c r="E769" s="6">
        <v>54</v>
      </c>
      <c r="F769" s="6" t="s">
        <v>1082</v>
      </c>
      <c r="G769" s="6">
        <v>579</v>
      </c>
      <c r="H769" s="6" t="s">
        <v>94</v>
      </c>
      <c r="I769" s="6" t="s">
        <v>4202</v>
      </c>
      <c r="J769" s="6" t="s">
        <v>4203</v>
      </c>
      <c r="K769" s="6" t="s">
        <v>3331</v>
      </c>
      <c r="L769" s="6">
        <v>10172112</v>
      </c>
      <c r="M769" s="6" t="s">
        <v>1063</v>
      </c>
      <c r="N769" s="6" t="s">
        <v>1064</v>
      </c>
      <c r="O769" s="6" t="s">
        <v>21</v>
      </c>
      <c r="P769" s="6" t="s">
        <v>21</v>
      </c>
      <c r="Q769" s="6" t="s">
        <v>3332</v>
      </c>
      <c r="R769" s="8" t="s">
        <v>1808</v>
      </c>
      <c r="S769" s="6"/>
    </row>
    <row r="770" spans="1:19" ht="25.5" x14ac:dyDescent="0.25">
      <c r="A770" s="5" t="s">
        <v>3872</v>
      </c>
      <c r="B770" s="5">
        <v>769</v>
      </c>
      <c r="C770" s="6" t="s">
        <v>2562</v>
      </c>
      <c r="D770" s="6" t="s">
        <v>4142</v>
      </c>
      <c r="E770" s="6">
        <v>54</v>
      </c>
      <c r="F770" s="6" t="s">
        <v>1082</v>
      </c>
      <c r="G770" s="6">
        <v>579</v>
      </c>
      <c r="H770" s="6" t="s">
        <v>94</v>
      </c>
      <c r="I770" s="6" t="s">
        <v>4204</v>
      </c>
      <c r="J770" s="6" t="s">
        <v>3829</v>
      </c>
      <c r="K770" s="6" t="s">
        <v>3331</v>
      </c>
      <c r="L770" s="6">
        <v>79527629</v>
      </c>
      <c r="M770" s="6" t="s">
        <v>1063</v>
      </c>
      <c r="N770" s="6" t="s">
        <v>1064</v>
      </c>
      <c r="O770" s="6" t="s">
        <v>21</v>
      </c>
      <c r="P770" s="6" t="s">
        <v>21</v>
      </c>
      <c r="Q770" s="6" t="s">
        <v>3332</v>
      </c>
      <c r="R770" s="8" t="s">
        <v>1808</v>
      </c>
      <c r="S770" s="6"/>
    </row>
    <row r="771" spans="1:19" ht="25.5" x14ac:dyDescent="0.25">
      <c r="A771" s="5" t="s">
        <v>3872</v>
      </c>
      <c r="B771" s="5">
        <v>770</v>
      </c>
      <c r="C771" s="6" t="s">
        <v>2563</v>
      </c>
      <c r="D771" s="6" t="s">
        <v>4142</v>
      </c>
      <c r="E771" s="6">
        <v>68</v>
      </c>
      <c r="F771" s="6" t="s">
        <v>1083</v>
      </c>
      <c r="G771" s="6">
        <v>636</v>
      </c>
      <c r="H771" s="6" t="s">
        <v>333</v>
      </c>
      <c r="I771" s="6" t="s">
        <v>4205</v>
      </c>
      <c r="J771" s="6" t="s">
        <v>3916</v>
      </c>
      <c r="K771" s="6" t="s">
        <v>3331</v>
      </c>
      <c r="L771" s="6">
        <v>51749052</v>
      </c>
      <c r="M771" s="6" t="s">
        <v>1063</v>
      </c>
      <c r="N771" s="6" t="s">
        <v>1064</v>
      </c>
      <c r="O771" s="6" t="s">
        <v>21</v>
      </c>
      <c r="P771" s="6" t="s">
        <v>21</v>
      </c>
      <c r="Q771" s="6" t="s">
        <v>3332</v>
      </c>
      <c r="R771" s="8" t="s">
        <v>1808</v>
      </c>
      <c r="S771" s="6"/>
    </row>
    <row r="772" spans="1:19" ht="25.5" x14ac:dyDescent="0.25">
      <c r="A772" s="5" t="s">
        <v>3872</v>
      </c>
      <c r="B772" s="5">
        <v>771</v>
      </c>
      <c r="C772" s="6" t="s">
        <v>2564</v>
      </c>
      <c r="D772" s="6" t="s">
        <v>4142</v>
      </c>
      <c r="E772" s="6">
        <v>68</v>
      </c>
      <c r="F772" s="6" t="s">
        <v>1083</v>
      </c>
      <c r="G772" s="6">
        <v>636</v>
      </c>
      <c r="H772" s="6" t="s">
        <v>333</v>
      </c>
      <c r="I772" s="6" t="s">
        <v>4206</v>
      </c>
      <c r="J772" s="6" t="s">
        <v>3526</v>
      </c>
      <c r="K772" s="6" t="s">
        <v>3331</v>
      </c>
      <c r="L772" s="6">
        <v>79516640</v>
      </c>
      <c r="M772" s="6" t="s">
        <v>1063</v>
      </c>
      <c r="N772" s="6" t="s">
        <v>1064</v>
      </c>
      <c r="O772" s="6" t="s">
        <v>21</v>
      </c>
      <c r="P772" s="6" t="s">
        <v>21</v>
      </c>
      <c r="Q772" s="6" t="s">
        <v>3332</v>
      </c>
      <c r="R772" s="8" t="s">
        <v>1808</v>
      </c>
      <c r="S772" s="6"/>
    </row>
    <row r="773" spans="1:19" ht="25.5" x14ac:dyDescent="0.25">
      <c r="A773" s="5" t="s">
        <v>3872</v>
      </c>
      <c r="B773" s="5">
        <v>772</v>
      </c>
      <c r="C773" s="6" t="s">
        <v>2565</v>
      </c>
      <c r="D773" s="6" t="s">
        <v>4142</v>
      </c>
      <c r="E773" s="6">
        <v>68</v>
      </c>
      <c r="F773" s="6" t="s">
        <v>1083</v>
      </c>
      <c r="G773" s="6">
        <v>636</v>
      </c>
      <c r="H773" s="6" t="s">
        <v>333</v>
      </c>
      <c r="I773" s="6" t="s">
        <v>4207</v>
      </c>
      <c r="J773" s="6" t="s">
        <v>4012</v>
      </c>
      <c r="K773" s="6" t="s">
        <v>3331</v>
      </c>
      <c r="L773" s="6">
        <v>52033212</v>
      </c>
      <c r="M773" s="6" t="s">
        <v>1063</v>
      </c>
      <c r="N773" s="6" t="s">
        <v>1064</v>
      </c>
      <c r="O773" s="6" t="s">
        <v>21</v>
      </c>
      <c r="P773" s="6" t="s">
        <v>21</v>
      </c>
      <c r="Q773" s="6" t="s">
        <v>3332</v>
      </c>
      <c r="R773" s="8" t="s">
        <v>1808</v>
      </c>
      <c r="S773" s="6"/>
    </row>
    <row r="774" spans="1:19" ht="25.5" x14ac:dyDescent="0.25">
      <c r="A774" s="5" t="s">
        <v>3872</v>
      </c>
      <c r="B774" s="5">
        <v>773</v>
      </c>
      <c r="C774" s="6" t="s">
        <v>2566</v>
      </c>
      <c r="D774" s="6" t="s">
        <v>4142</v>
      </c>
      <c r="E774" s="6">
        <v>68</v>
      </c>
      <c r="F774" s="6" t="s">
        <v>1083</v>
      </c>
      <c r="G774" s="6">
        <v>636</v>
      </c>
      <c r="H774" s="6" t="s">
        <v>333</v>
      </c>
      <c r="I774" s="6" t="s">
        <v>4208</v>
      </c>
      <c r="J774" s="6" t="s">
        <v>4209</v>
      </c>
      <c r="K774" s="6" t="s">
        <v>3331</v>
      </c>
      <c r="L774" s="6">
        <v>4191634</v>
      </c>
      <c r="M774" s="6" t="s">
        <v>1063</v>
      </c>
      <c r="N774" s="6" t="s">
        <v>1064</v>
      </c>
      <c r="O774" s="6" t="s">
        <v>21</v>
      </c>
      <c r="P774" s="6" t="s">
        <v>21</v>
      </c>
      <c r="Q774" s="6" t="s">
        <v>3332</v>
      </c>
      <c r="R774" s="8" t="s">
        <v>1808</v>
      </c>
      <c r="S774" s="6"/>
    </row>
    <row r="775" spans="1:19" ht="25.5" x14ac:dyDescent="0.25">
      <c r="A775" s="5" t="s">
        <v>3872</v>
      </c>
      <c r="B775" s="5">
        <v>774</v>
      </c>
      <c r="C775" s="6" t="s">
        <v>2567</v>
      </c>
      <c r="D775" s="6" t="s">
        <v>4142</v>
      </c>
      <c r="E775" s="6">
        <v>68</v>
      </c>
      <c r="F775" s="6" t="s">
        <v>1083</v>
      </c>
      <c r="G775" s="6">
        <v>636</v>
      </c>
      <c r="H775" s="6" t="s">
        <v>333</v>
      </c>
      <c r="I775" s="6" t="s">
        <v>4210</v>
      </c>
      <c r="J775" s="6" t="s">
        <v>3463</v>
      </c>
      <c r="K775" s="6" t="s">
        <v>3331</v>
      </c>
      <c r="L775" s="6">
        <v>28308746</v>
      </c>
      <c r="M775" s="6" t="s">
        <v>1063</v>
      </c>
      <c r="N775" s="6" t="s">
        <v>1064</v>
      </c>
      <c r="O775" s="6" t="s">
        <v>21</v>
      </c>
      <c r="P775" s="6" t="s">
        <v>21</v>
      </c>
      <c r="Q775" s="6" t="s">
        <v>3332</v>
      </c>
      <c r="R775" s="8" t="s">
        <v>1808</v>
      </c>
      <c r="S775" s="6"/>
    </row>
    <row r="776" spans="1:19" ht="25.5" x14ac:dyDescent="0.25">
      <c r="A776" s="5" t="s">
        <v>3872</v>
      </c>
      <c r="B776" s="5">
        <v>775</v>
      </c>
      <c r="C776" s="6" t="s">
        <v>2568</v>
      </c>
      <c r="D776" s="6" t="s">
        <v>4142</v>
      </c>
      <c r="E776" s="6">
        <v>68</v>
      </c>
      <c r="F776" s="6" t="s">
        <v>1083</v>
      </c>
      <c r="G776" s="6">
        <v>636</v>
      </c>
      <c r="H776" s="6" t="s">
        <v>333</v>
      </c>
      <c r="I776" s="6" t="s">
        <v>4211</v>
      </c>
      <c r="J776" s="6" t="s">
        <v>4212</v>
      </c>
      <c r="K776" s="6" t="s">
        <v>3331</v>
      </c>
      <c r="L776" s="6">
        <v>51931529</v>
      </c>
      <c r="M776" s="6" t="s">
        <v>1063</v>
      </c>
      <c r="N776" s="6" t="s">
        <v>1064</v>
      </c>
      <c r="O776" s="6" t="s">
        <v>21</v>
      </c>
      <c r="P776" s="6" t="s">
        <v>21</v>
      </c>
      <c r="Q776" s="6" t="s">
        <v>3332</v>
      </c>
      <c r="R776" s="8" t="s">
        <v>1808</v>
      </c>
      <c r="S776" s="6"/>
    </row>
    <row r="777" spans="1:19" ht="25.5" x14ac:dyDescent="0.25">
      <c r="A777" s="5" t="s">
        <v>3872</v>
      </c>
      <c r="B777" s="5">
        <v>776</v>
      </c>
      <c r="C777" s="6" t="s">
        <v>2569</v>
      </c>
      <c r="D777" s="6" t="s">
        <v>4142</v>
      </c>
      <c r="E777" s="6">
        <v>76</v>
      </c>
      <c r="F777" s="6" t="s">
        <v>1084</v>
      </c>
      <c r="G777" s="6">
        <v>636</v>
      </c>
      <c r="H777" s="6" t="s">
        <v>333</v>
      </c>
      <c r="I777" s="6" t="s">
        <v>4213</v>
      </c>
      <c r="J777" s="6" t="s">
        <v>4214</v>
      </c>
      <c r="K777" s="6" t="s">
        <v>3331</v>
      </c>
      <c r="L777" s="6">
        <v>51561459</v>
      </c>
      <c r="M777" s="6" t="s">
        <v>1063</v>
      </c>
      <c r="N777" s="6" t="s">
        <v>1064</v>
      </c>
      <c r="O777" s="6" t="s">
        <v>21</v>
      </c>
      <c r="P777" s="6" t="s">
        <v>21</v>
      </c>
      <c r="Q777" s="6" t="s">
        <v>3332</v>
      </c>
      <c r="R777" s="8" t="s">
        <v>1808</v>
      </c>
      <c r="S777" s="6"/>
    </row>
    <row r="778" spans="1:19" ht="25.5" x14ac:dyDescent="0.25">
      <c r="A778" s="5" t="s">
        <v>3872</v>
      </c>
      <c r="B778" s="5">
        <v>777</v>
      </c>
      <c r="C778" s="6" t="s">
        <v>2570</v>
      </c>
      <c r="D778" s="6" t="s">
        <v>4142</v>
      </c>
      <c r="E778" s="6">
        <v>4</v>
      </c>
      <c r="F778" s="6" t="s">
        <v>1085</v>
      </c>
      <c r="G778" s="6">
        <v>819</v>
      </c>
      <c r="H778" s="6" t="s">
        <v>779</v>
      </c>
      <c r="I778" s="6" t="s">
        <v>4215</v>
      </c>
      <c r="J778" s="6" t="s">
        <v>3409</v>
      </c>
      <c r="K778" s="6" t="s">
        <v>3331</v>
      </c>
      <c r="L778" s="6">
        <v>51990993</v>
      </c>
      <c r="M778" s="6" t="s">
        <v>1063</v>
      </c>
      <c r="N778" s="6" t="s">
        <v>1064</v>
      </c>
      <c r="O778" s="6" t="s">
        <v>21</v>
      </c>
      <c r="P778" s="6" t="s">
        <v>21</v>
      </c>
      <c r="Q778" s="6" t="s">
        <v>3332</v>
      </c>
      <c r="R778" s="8" t="s">
        <v>1808</v>
      </c>
      <c r="S778" s="6"/>
    </row>
    <row r="779" spans="1:19" ht="25.5" x14ac:dyDescent="0.25">
      <c r="A779" s="5" t="s">
        <v>3872</v>
      </c>
      <c r="B779" s="5">
        <v>778</v>
      </c>
      <c r="C779" s="6" t="s">
        <v>2571</v>
      </c>
      <c r="D779" s="6" t="s">
        <v>4142</v>
      </c>
      <c r="E779" s="6">
        <v>4</v>
      </c>
      <c r="F779" s="6" t="s">
        <v>1085</v>
      </c>
      <c r="G779" s="6">
        <v>819</v>
      </c>
      <c r="H779" s="6" t="s">
        <v>779</v>
      </c>
      <c r="I779" s="6" t="s">
        <v>4216</v>
      </c>
      <c r="J779" s="6" t="s">
        <v>4217</v>
      </c>
      <c r="K779" s="6" t="s">
        <v>3331</v>
      </c>
      <c r="L779" s="6">
        <v>2977118</v>
      </c>
      <c r="M779" s="6" t="s">
        <v>1063</v>
      </c>
      <c r="N779" s="6" t="s">
        <v>1064</v>
      </c>
      <c r="O779" s="6" t="s">
        <v>21</v>
      </c>
      <c r="P779" s="6" t="s">
        <v>21</v>
      </c>
      <c r="Q779" s="6" t="s">
        <v>3332</v>
      </c>
      <c r="R779" s="8" t="s">
        <v>1808</v>
      </c>
      <c r="S779" s="6"/>
    </row>
    <row r="780" spans="1:19" ht="25.5" x14ac:dyDescent="0.25">
      <c r="A780" s="5" t="s">
        <v>3872</v>
      </c>
      <c r="B780" s="5">
        <v>779</v>
      </c>
      <c r="C780" s="6" t="s">
        <v>2572</v>
      </c>
      <c r="D780" s="6" t="s">
        <v>4142</v>
      </c>
      <c r="E780" s="6">
        <v>28</v>
      </c>
      <c r="F780" s="6" t="s">
        <v>1086</v>
      </c>
      <c r="G780" s="6">
        <v>840</v>
      </c>
      <c r="H780" s="6" t="s">
        <v>107</v>
      </c>
      <c r="I780" s="6" t="s">
        <v>4218</v>
      </c>
      <c r="J780" s="6" t="s">
        <v>4219</v>
      </c>
      <c r="K780" s="6" t="s">
        <v>3331</v>
      </c>
      <c r="L780" s="6">
        <v>4059989</v>
      </c>
      <c r="M780" s="6" t="s">
        <v>1063</v>
      </c>
      <c r="N780" s="6" t="s">
        <v>1064</v>
      </c>
      <c r="O780" s="6" t="s">
        <v>21</v>
      </c>
      <c r="P780" s="6" t="s">
        <v>21</v>
      </c>
      <c r="Q780" s="6" t="s">
        <v>3332</v>
      </c>
      <c r="R780" s="8" t="s">
        <v>1808</v>
      </c>
      <c r="S780" s="6"/>
    </row>
    <row r="781" spans="1:19" ht="25.5" x14ac:dyDescent="0.25">
      <c r="A781" s="5" t="s">
        <v>3872</v>
      </c>
      <c r="B781" s="5">
        <v>780</v>
      </c>
      <c r="C781" s="6" t="s">
        <v>2573</v>
      </c>
      <c r="D781" s="6" t="s">
        <v>4142</v>
      </c>
      <c r="E781" s="6">
        <v>40</v>
      </c>
      <c r="F781" s="6" t="s">
        <v>1087</v>
      </c>
      <c r="G781" s="6">
        <v>871</v>
      </c>
      <c r="H781" s="6" t="s">
        <v>346</v>
      </c>
      <c r="I781" s="6" t="s">
        <v>4220</v>
      </c>
      <c r="J781" s="6" t="s">
        <v>4221</v>
      </c>
      <c r="K781" s="6" t="s">
        <v>3331</v>
      </c>
      <c r="L781" s="6">
        <v>79610750</v>
      </c>
      <c r="M781" s="6" t="s">
        <v>1063</v>
      </c>
      <c r="N781" s="6" t="s">
        <v>1064</v>
      </c>
      <c r="O781" s="6" t="s">
        <v>21</v>
      </c>
      <c r="P781" s="6" t="s">
        <v>21</v>
      </c>
      <c r="Q781" s="6" t="s">
        <v>3332</v>
      </c>
      <c r="R781" s="8" t="s">
        <v>1808</v>
      </c>
      <c r="S781" s="6"/>
    </row>
    <row r="782" spans="1:19" ht="25.5" x14ac:dyDescent="0.25">
      <c r="A782" s="5" t="s">
        <v>3872</v>
      </c>
      <c r="B782" s="5">
        <v>781</v>
      </c>
      <c r="C782" s="6" t="s">
        <v>2574</v>
      </c>
      <c r="D782" s="6" t="s">
        <v>4142</v>
      </c>
      <c r="E782" s="6">
        <v>40</v>
      </c>
      <c r="F782" s="6" t="s">
        <v>1087</v>
      </c>
      <c r="G782" s="6">
        <v>871</v>
      </c>
      <c r="H782" s="6" t="s">
        <v>346</v>
      </c>
      <c r="I782" s="6" t="s">
        <v>4222</v>
      </c>
      <c r="J782" s="6" t="s">
        <v>4223</v>
      </c>
      <c r="K782" s="6" t="s">
        <v>3331</v>
      </c>
      <c r="L782" s="6">
        <v>79243596</v>
      </c>
      <c r="M782" s="6" t="s">
        <v>1063</v>
      </c>
      <c r="N782" s="6" t="s">
        <v>1064</v>
      </c>
      <c r="O782" s="6" t="s">
        <v>21</v>
      </c>
      <c r="P782" s="6" t="s">
        <v>21</v>
      </c>
      <c r="Q782" s="6" t="s">
        <v>3332</v>
      </c>
      <c r="R782" s="8" t="s">
        <v>1808</v>
      </c>
      <c r="S782" s="6"/>
    </row>
    <row r="783" spans="1:19" ht="25.5" x14ac:dyDescent="0.25">
      <c r="A783" s="5" t="s">
        <v>3872</v>
      </c>
      <c r="B783" s="5">
        <v>782</v>
      </c>
      <c r="C783" s="6" t="s">
        <v>2575</v>
      </c>
      <c r="D783" s="6" t="s">
        <v>4142</v>
      </c>
      <c r="E783" s="6">
        <v>40</v>
      </c>
      <c r="F783" s="6" t="s">
        <v>1087</v>
      </c>
      <c r="G783" s="6">
        <v>871</v>
      </c>
      <c r="H783" s="6" t="s">
        <v>346</v>
      </c>
      <c r="I783" s="6" t="s">
        <v>4224</v>
      </c>
      <c r="J783" s="6" t="s">
        <v>4225</v>
      </c>
      <c r="K783" s="6" t="s">
        <v>3331</v>
      </c>
      <c r="L783" s="6">
        <v>19367722</v>
      </c>
      <c r="M783" s="6" t="s">
        <v>1063</v>
      </c>
      <c r="N783" s="6" t="s">
        <v>1064</v>
      </c>
      <c r="O783" s="6" t="s">
        <v>21</v>
      </c>
      <c r="P783" s="6" t="s">
        <v>21</v>
      </c>
      <c r="Q783" s="6" t="s">
        <v>3332</v>
      </c>
      <c r="R783" s="8" t="s">
        <v>1808</v>
      </c>
      <c r="S783" s="6"/>
    </row>
    <row r="784" spans="1:19" ht="25.5" x14ac:dyDescent="0.25">
      <c r="A784" s="5" t="s">
        <v>3872</v>
      </c>
      <c r="B784" s="5">
        <v>783</v>
      </c>
      <c r="C784" s="6" t="s">
        <v>2576</v>
      </c>
      <c r="D784" s="6" t="s">
        <v>4142</v>
      </c>
      <c r="E784" s="6">
        <v>40</v>
      </c>
      <c r="F784" s="6" t="s">
        <v>1087</v>
      </c>
      <c r="G784" s="6">
        <v>871</v>
      </c>
      <c r="H784" s="6" t="s">
        <v>346</v>
      </c>
      <c r="I784" s="6" t="s">
        <v>4226</v>
      </c>
      <c r="J784" s="6" t="s">
        <v>4227</v>
      </c>
      <c r="K784" s="6" t="s">
        <v>3331</v>
      </c>
      <c r="L784" s="6">
        <v>3165783</v>
      </c>
      <c r="M784" s="6" t="s">
        <v>1063</v>
      </c>
      <c r="N784" s="6" t="s">
        <v>1064</v>
      </c>
      <c r="O784" s="6" t="s">
        <v>21</v>
      </c>
      <c r="P784" s="6" t="s">
        <v>21</v>
      </c>
      <c r="Q784" s="6" t="s">
        <v>3332</v>
      </c>
      <c r="R784" s="8" t="s">
        <v>1808</v>
      </c>
      <c r="S784" s="6"/>
    </row>
    <row r="785" spans="1:19" ht="25.5" x14ac:dyDescent="0.25">
      <c r="A785" s="5" t="s">
        <v>3872</v>
      </c>
      <c r="B785" s="5">
        <v>784</v>
      </c>
      <c r="C785" s="6" t="s">
        <v>2577</v>
      </c>
      <c r="D785" s="6" t="s">
        <v>4142</v>
      </c>
      <c r="E785" s="6">
        <v>47</v>
      </c>
      <c r="F785" s="6" t="s">
        <v>1088</v>
      </c>
      <c r="G785" s="6">
        <v>893</v>
      </c>
      <c r="H785" s="6" t="s">
        <v>787</v>
      </c>
      <c r="I785" s="6" t="s">
        <v>4228</v>
      </c>
      <c r="J785" s="6" t="s">
        <v>4229</v>
      </c>
      <c r="K785" s="6" t="s">
        <v>3331</v>
      </c>
      <c r="L785" s="6">
        <v>7227643</v>
      </c>
      <c r="M785" s="6" t="s">
        <v>1063</v>
      </c>
      <c r="N785" s="6" t="s">
        <v>1064</v>
      </c>
      <c r="O785" s="6" t="s">
        <v>21</v>
      </c>
      <c r="P785" s="6" t="s">
        <v>21</v>
      </c>
      <c r="Q785" s="6" t="s">
        <v>3332</v>
      </c>
      <c r="R785" s="8" t="s">
        <v>1808</v>
      </c>
      <c r="S785" s="6"/>
    </row>
    <row r="786" spans="1:19" ht="25.5" x14ac:dyDescent="0.25">
      <c r="A786" s="5" t="s">
        <v>3872</v>
      </c>
      <c r="B786" s="5">
        <v>785</v>
      </c>
      <c r="C786" s="6" t="s">
        <v>2578</v>
      </c>
      <c r="D786" s="6" t="s">
        <v>4142</v>
      </c>
      <c r="E786" s="6">
        <v>47</v>
      </c>
      <c r="F786" s="6" t="s">
        <v>1088</v>
      </c>
      <c r="G786" s="6">
        <v>893</v>
      </c>
      <c r="H786" s="6" t="s">
        <v>787</v>
      </c>
      <c r="I786" s="6" t="s">
        <v>4230</v>
      </c>
      <c r="J786" s="6" t="s">
        <v>4231</v>
      </c>
      <c r="K786" s="6" t="s">
        <v>3331</v>
      </c>
      <c r="L786" s="6">
        <v>3227843</v>
      </c>
      <c r="M786" s="6" t="s">
        <v>1063</v>
      </c>
      <c r="N786" s="6" t="s">
        <v>1064</v>
      </c>
      <c r="O786" s="6" t="s">
        <v>21</v>
      </c>
      <c r="P786" s="6" t="s">
        <v>21</v>
      </c>
      <c r="Q786" s="6" t="s">
        <v>3332</v>
      </c>
      <c r="R786" s="8" t="s">
        <v>1808</v>
      </c>
      <c r="S786" s="6"/>
    </row>
    <row r="787" spans="1:19" ht="25.5" x14ac:dyDescent="0.25">
      <c r="A787" s="5" t="s">
        <v>3872</v>
      </c>
      <c r="B787" s="5">
        <v>786</v>
      </c>
      <c r="C787" s="6" t="s">
        <v>2579</v>
      </c>
      <c r="D787" s="6" t="s">
        <v>4142</v>
      </c>
      <c r="E787" s="6">
        <v>47</v>
      </c>
      <c r="F787" s="6" t="s">
        <v>1088</v>
      </c>
      <c r="G787" s="6">
        <v>893</v>
      </c>
      <c r="H787" s="6" t="s">
        <v>787</v>
      </c>
      <c r="I787" s="6" t="s">
        <v>4232</v>
      </c>
      <c r="J787" s="6" t="s">
        <v>4233</v>
      </c>
      <c r="K787" s="6" t="s">
        <v>3331</v>
      </c>
      <c r="L787" s="6">
        <v>80471681</v>
      </c>
      <c r="M787" s="6" t="s">
        <v>1063</v>
      </c>
      <c r="N787" s="6" t="s">
        <v>1064</v>
      </c>
      <c r="O787" s="6" t="s">
        <v>21</v>
      </c>
      <c r="P787" s="6" t="s">
        <v>21</v>
      </c>
      <c r="Q787" s="6" t="s">
        <v>3332</v>
      </c>
      <c r="R787" s="8" t="s">
        <v>1808</v>
      </c>
      <c r="S787" s="6"/>
    </row>
    <row r="788" spans="1:19" ht="25.5" x14ac:dyDescent="0.25">
      <c r="A788" s="5" t="s">
        <v>3872</v>
      </c>
      <c r="B788" s="5">
        <v>787</v>
      </c>
      <c r="C788" s="6" t="s">
        <v>2580</v>
      </c>
      <c r="D788" s="6" t="s">
        <v>4142</v>
      </c>
      <c r="E788" s="6">
        <v>84</v>
      </c>
      <c r="F788" s="6" t="s">
        <v>1089</v>
      </c>
      <c r="G788" s="6">
        <v>1032</v>
      </c>
      <c r="H788" s="6" t="s">
        <v>1090</v>
      </c>
      <c r="I788" s="6" t="s">
        <v>4234</v>
      </c>
      <c r="J788" s="6" t="s">
        <v>4235</v>
      </c>
      <c r="K788" s="6" t="s">
        <v>3331</v>
      </c>
      <c r="L788" s="6">
        <v>25097203</v>
      </c>
      <c r="M788" s="6" t="s">
        <v>1063</v>
      </c>
      <c r="N788" s="6" t="s">
        <v>1064</v>
      </c>
      <c r="O788" s="6" t="s">
        <v>21</v>
      </c>
      <c r="P788" s="6" t="s">
        <v>21</v>
      </c>
      <c r="Q788" s="6" t="s">
        <v>3332</v>
      </c>
      <c r="R788" s="8" t="s">
        <v>1808</v>
      </c>
      <c r="S788" s="6"/>
    </row>
    <row r="789" spans="1:19" ht="25.5" x14ac:dyDescent="0.25">
      <c r="A789" s="5" t="s">
        <v>3872</v>
      </c>
      <c r="B789" s="5">
        <v>788</v>
      </c>
      <c r="C789" s="6" t="s">
        <v>2581</v>
      </c>
      <c r="D789" s="6" t="s">
        <v>4142</v>
      </c>
      <c r="E789" s="6">
        <v>109</v>
      </c>
      <c r="F789" s="6" t="s">
        <v>1091</v>
      </c>
      <c r="G789" s="6">
        <v>1097</v>
      </c>
      <c r="H789" s="6" t="s">
        <v>119</v>
      </c>
      <c r="I789" s="6" t="s">
        <v>4236</v>
      </c>
      <c r="J789" s="6" t="s">
        <v>4237</v>
      </c>
      <c r="K789" s="6" t="s">
        <v>3331</v>
      </c>
      <c r="L789" s="6">
        <v>51901912</v>
      </c>
      <c r="M789" s="6" t="s">
        <v>1063</v>
      </c>
      <c r="N789" s="6" t="s">
        <v>1064</v>
      </c>
      <c r="O789" s="6" t="s">
        <v>21</v>
      </c>
      <c r="P789" s="6" t="s">
        <v>21</v>
      </c>
      <c r="Q789" s="6" t="s">
        <v>3332</v>
      </c>
      <c r="R789" s="8" t="s">
        <v>1808</v>
      </c>
      <c r="S789" s="6"/>
    </row>
    <row r="790" spans="1:19" ht="25.5" x14ac:dyDescent="0.25">
      <c r="A790" s="5" t="s">
        <v>3872</v>
      </c>
      <c r="B790" s="5">
        <v>789</v>
      </c>
      <c r="C790" s="6" t="s">
        <v>2582</v>
      </c>
      <c r="D790" s="6" t="s">
        <v>4142</v>
      </c>
      <c r="E790" s="6">
        <v>5</v>
      </c>
      <c r="F790" s="6" t="s">
        <v>617</v>
      </c>
      <c r="G790" s="6">
        <v>1150</v>
      </c>
      <c r="H790" s="6" t="s">
        <v>618</v>
      </c>
      <c r="I790" s="6" t="s">
        <v>4238</v>
      </c>
      <c r="J790" s="6" t="s">
        <v>4239</v>
      </c>
      <c r="K790" s="6" t="s">
        <v>3331</v>
      </c>
      <c r="L790" s="6">
        <v>51966812</v>
      </c>
      <c r="M790" s="6" t="s">
        <v>1063</v>
      </c>
      <c r="N790" s="6" t="s">
        <v>1064</v>
      </c>
      <c r="O790" s="6" t="s">
        <v>21</v>
      </c>
      <c r="P790" s="6" t="s">
        <v>21</v>
      </c>
      <c r="Q790" s="6" t="s">
        <v>3332</v>
      </c>
      <c r="R790" s="8" t="s">
        <v>1808</v>
      </c>
      <c r="S790" s="6"/>
    </row>
    <row r="791" spans="1:19" ht="25.5" x14ac:dyDescent="0.25">
      <c r="A791" s="5" t="s">
        <v>3872</v>
      </c>
      <c r="B791" s="5">
        <v>790</v>
      </c>
      <c r="C791" s="6" t="s">
        <v>2583</v>
      </c>
      <c r="D791" s="6" t="s">
        <v>4142</v>
      </c>
      <c r="E791" s="6">
        <v>5</v>
      </c>
      <c r="F791" s="6" t="s">
        <v>617</v>
      </c>
      <c r="G791" s="6">
        <v>1150</v>
      </c>
      <c r="H791" s="6" t="s">
        <v>618</v>
      </c>
      <c r="I791" s="6" t="s">
        <v>4240</v>
      </c>
      <c r="J791" s="6" t="s">
        <v>4241</v>
      </c>
      <c r="K791" s="6" t="s">
        <v>3331</v>
      </c>
      <c r="L791" s="6">
        <v>79421479</v>
      </c>
      <c r="M791" s="6" t="s">
        <v>1063</v>
      </c>
      <c r="N791" s="6" t="s">
        <v>1064</v>
      </c>
      <c r="O791" s="6" t="s">
        <v>21</v>
      </c>
      <c r="P791" s="6" t="s">
        <v>21</v>
      </c>
      <c r="Q791" s="6" t="s">
        <v>3332</v>
      </c>
      <c r="R791" s="8" t="s">
        <v>1808</v>
      </c>
      <c r="S791" s="6"/>
    </row>
    <row r="792" spans="1:19" ht="25.5" x14ac:dyDescent="0.25">
      <c r="A792" s="5" t="s">
        <v>3872</v>
      </c>
      <c r="B792" s="5">
        <v>791</v>
      </c>
      <c r="C792" s="6" t="s">
        <v>2584</v>
      </c>
      <c r="D792" s="6" t="s">
        <v>4142</v>
      </c>
      <c r="E792" s="6">
        <v>5</v>
      </c>
      <c r="F792" s="6" t="s">
        <v>617</v>
      </c>
      <c r="G792" s="6">
        <v>1150</v>
      </c>
      <c r="H792" s="6" t="s">
        <v>618</v>
      </c>
      <c r="I792" s="6" t="s">
        <v>4242</v>
      </c>
      <c r="J792" s="6" t="s">
        <v>3409</v>
      </c>
      <c r="K792" s="6" t="s">
        <v>3331</v>
      </c>
      <c r="L792" s="6">
        <v>52048657</v>
      </c>
      <c r="M792" s="6" t="s">
        <v>1063</v>
      </c>
      <c r="N792" s="6" t="s">
        <v>1064</v>
      </c>
      <c r="O792" s="6" t="s">
        <v>21</v>
      </c>
      <c r="P792" s="6" t="s">
        <v>21</v>
      </c>
      <c r="Q792" s="6" t="s">
        <v>3332</v>
      </c>
      <c r="R792" s="8" t="s">
        <v>1808</v>
      </c>
      <c r="S792" s="6"/>
    </row>
    <row r="793" spans="1:19" ht="25.5" x14ac:dyDescent="0.25">
      <c r="A793" s="5" t="s">
        <v>3872</v>
      </c>
      <c r="B793" s="5">
        <v>792</v>
      </c>
      <c r="C793" s="6" t="s">
        <v>2585</v>
      </c>
      <c r="D793" s="6" t="s">
        <v>4142</v>
      </c>
      <c r="E793" s="6">
        <v>31</v>
      </c>
      <c r="F793" s="6" t="s">
        <v>1092</v>
      </c>
      <c r="G793" s="6">
        <v>1197</v>
      </c>
      <c r="H793" s="6" t="s">
        <v>1093</v>
      </c>
      <c r="I793" s="6" t="s">
        <v>4243</v>
      </c>
      <c r="J793" s="6" t="s">
        <v>4244</v>
      </c>
      <c r="K793" s="6" t="s">
        <v>3331</v>
      </c>
      <c r="L793" s="6">
        <v>79599608</v>
      </c>
      <c r="M793" s="6" t="s">
        <v>1063</v>
      </c>
      <c r="N793" s="6" t="s">
        <v>1064</v>
      </c>
      <c r="O793" s="6" t="s">
        <v>21</v>
      </c>
      <c r="P793" s="6" t="s">
        <v>21</v>
      </c>
      <c r="Q793" s="6" t="s">
        <v>3332</v>
      </c>
      <c r="R793" s="8" t="s">
        <v>1808</v>
      </c>
      <c r="S793" s="6"/>
    </row>
    <row r="794" spans="1:19" ht="25.5" x14ac:dyDescent="0.25">
      <c r="A794" s="5" t="s">
        <v>3872</v>
      </c>
      <c r="B794" s="5">
        <v>793</v>
      </c>
      <c r="C794" s="6" t="s">
        <v>2586</v>
      </c>
      <c r="D794" s="6" t="s">
        <v>4142</v>
      </c>
      <c r="E794" s="6">
        <v>39</v>
      </c>
      <c r="F794" s="6" t="s">
        <v>1094</v>
      </c>
      <c r="G794" s="6">
        <v>1225</v>
      </c>
      <c r="H794" s="6" t="s">
        <v>349</v>
      </c>
      <c r="I794" s="6" t="s">
        <v>4245</v>
      </c>
      <c r="J794" s="6" t="s">
        <v>4246</v>
      </c>
      <c r="K794" s="6" t="s">
        <v>3331</v>
      </c>
      <c r="L794" s="6">
        <v>79505893</v>
      </c>
      <c r="M794" s="6" t="s">
        <v>1063</v>
      </c>
      <c r="N794" s="6" t="s">
        <v>1064</v>
      </c>
      <c r="O794" s="6" t="s">
        <v>21</v>
      </c>
      <c r="P794" s="6" t="s">
        <v>21</v>
      </c>
      <c r="Q794" s="6" t="s">
        <v>3332</v>
      </c>
      <c r="R794" s="8" t="s">
        <v>1808</v>
      </c>
      <c r="S794" s="6"/>
    </row>
    <row r="795" spans="1:19" ht="25.5" x14ac:dyDescent="0.25">
      <c r="A795" s="5" t="s">
        <v>3872</v>
      </c>
      <c r="B795" s="5">
        <v>794</v>
      </c>
      <c r="C795" s="6" t="s">
        <v>2587</v>
      </c>
      <c r="D795" s="6" t="s">
        <v>4142</v>
      </c>
      <c r="E795" s="6">
        <v>39</v>
      </c>
      <c r="F795" s="6" t="s">
        <v>1094</v>
      </c>
      <c r="G795" s="6">
        <v>1225</v>
      </c>
      <c r="H795" s="6" t="s">
        <v>349</v>
      </c>
      <c r="I795" s="6" t="s">
        <v>4247</v>
      </c>
      <c r="J795" s="6" t="s">
        <v>4248</v>
      </c>
      <c r="K795" s="6" t="s">
        <v>3331</v>
      </c>
      <c r="L795" s="6">
        <v>52023500</v>
      </c>
      <c r="M795" s="6" t="s">
        <v>1063</v>
      </c>
      <c r="N795" s="6" t="s">
        <v>1064</v>
      </c>
      <c r="O795" s="6" t="s">
        <v>21</v>
      </c>
      <c r="P795" s="6" t="s">
        <v>21</v>
      </c>
      <c r="Q795" s="6" t="s">
        <v>3332</v>
      </c>
      <c r="R795" s="8" t="s">
        <v>1808</v>
      </c>
      <c r="S795" s="6"/>
    </row>
    <row r="796" spans="1:19" ht="25.5" x14ac:dyDescent="0.25">
      <c r="A796" s="5" t="s">
        <v>3872</v>
      </c>
      <c r="B796" s="5">
        <v>795</v>
      </c>
      <c r="C796" s="6" t="s">
        <v>2588</v>
      </c>
      <c r="D796" s="6" t="s">
        <v>4142</v>
      </c>
      <c r="E796" s="6">
        <v>50</v>
      </c>
      <c r="F796" s="6" t="s">
        <v>1095</v>
      </c>
      <c r="G796" s="6">
        <v>1258</v>
      </c>
      <c r="H796" s="6" t="s">
        <v>594</v>
      </c>
      <c r="I796" s="6" t="s">
        <v>4249</v>
      </c>
      <c r="J796" s="6" t="s">
        <v>4250</v>
      </c>
      <c r="K796" s="6" t="s">
        <v>3331</v>
      </c>
      <c r="L796" s="6">
        <v>79057370</v>
      </c>
      <c r="M796" s="6" t="s">
        <v>1063</v>
      </c>
      <c r="N796" s="6" t="s">
        <v>1064</v>
      </c>
      <c r="O796" s="6" t="s">
        <v>21</v>
      </c>
      <c r="P796" s="6" t="s">
        <v>21</v>
      </c>
      <c r="Q796" s="6" t="s">
        <v>3332</v>
      </c>
      <c r="R796" s="8" t="s">
        <v>1808</v>
      </c>
      <c r="S796" s="6"/>
    </row>
    <row r="797" spans="1:19" ht="25.5" x14ac:dyDescent="0.25">
      <c r="A797" s="5" t="s">
        <v>3872</v>
      </c>
      <c r="B797" s="5">
        <v>796</v>
      </c>
      <c r="C797" s="6" t="s">
        <v>2589</v>
      </c>
      <c r="D797" s="6" t="s">
        <v>4142</v>
      </c>
      <c r="E797" s="6">
        <v>50</v>
      </c>
      <c r="F797" s="6" t="s">
        <v>1095</v>
      </c>
      <c r="G797" s="6">
        <v>1258</v>
      </c>
      <c r="H797" s="6" t="s">
        <v>594</v>
      </c>
      <c r="I797" s="6" t="s">
        <v>4251</v>
      </c>
      <c r="J797" s="6" t="s">
        <v>4252</v>
      </c>
      <c r="K797" s="6" t="s">
        <v>3331</v>
      </c>
      <c r="L797" s="6">
        <v>79455804</v>
      </c>
      <c r="M797" s="6" t="s">
        <v>1063</v>
      </c>
      <c r="N797" s="6" t="s">
        <v>1064</v>
      </c>
      <c r="O797" s="6" t="s">
        <v>21</v>
      </c>
      <c r="P797" s="6" t="s">
        <v>21</v>
      </c>
      <c r="Q797" s="6" t="s">
        <v>3332</v>
      </c>
      <c r="R797" s="8" t="s">
        <v>1808</v>
      </c>
      <c r="S797" s="6"/>
    </row>
    <row r="798" spans="1:19" ht="25.5" x14ac:dyDescent="0.25">
      <c r="A798" s="5" t="s">
        <v>3872</v>
      </c>
      <c r="B798" s="5">
        <v>797</v>
      </c>
      <c r="C798" s="6" t="s">
        <v>2590</v>
      </c>
      <c r="D798" s="6" t="s">
        <v>4142</v>
      </c>
      <c r="E798" s="6">
        <v>93</v>
      </c>
      <c r="F798" s="6" t="s">
        <v>1096</v>
      </c>
      <c r="G798" s="6">
        <v>1383</v>
      </c>
      <c r="H798" s="6" t="s">
        <v>1097</v>
      </c>
      <c r="I798" s="6" t="s">
        <v>4253</v>
      </c>
      <c r="J798" s="6" t="s">
        <v>4254</v>
      </c>
      <c r="K798" s="6" t="s">
        <v>3331</v>
      </c>
      <c r="L798" s="6">
        <v>79286340</v>
      </c>
      <c r="M798" s="6" t="s">
        <v>1063</v>
      </c>
      <c r="N798" s="6" t="s">
        <v>1064</v>
      </c>
      <c r="O798" s="6" t="s">
        <v>21</v>
      </c>
      <c r="P798" s="6" t="s">
        <v>21</v>
      </c>
      <c r="Q798" s="6" t="s">
        <v>3332</v>
      </c>
      <c r="R798" s="8" t="s">
        <v>1808</v>
      </c>
      <c r="S798" s="6"/>
    </row>
    <row r="799" spans="1:19" ht="25.5" x14ac:dyDescent="0.25">
      <c r="A799" s="5" t="s">
        <v>3872</v>
      </c>
      <c r="B799" s="5">
        <v>798</v>
      </c>
      <c r="C799" s="6" t="s">
        <v>2591</v>
      </c>
      <c r="D799" s="6" t="s">
        <v>4142</v>
      </c>
      <c r="E799" s="6">
        <v>98</v>
      </c>
      <c r="F799" s="6" t="s">
        <v>124</v>
      </c>
      <c r="G799" s="6">
        <v>1416</v>
      </c>
      <c r="H799" s="6" t="s">
        <v>125</v>
      </c>
      <c r="I799" s="6" t="s">
        <v>4255</v>
      </c>
      <c r="J799" s="6" t="s">
        <v>4256</v>
      </c>
      <c r="K799" s="6" t="s">
        <v>3331</v>
      </c>
      <c r="L799" s="6">
        <v>93381599</v>
      </c>
      <c r="M799" s="6" t="s">
        <v>1063</v>
      </c>
      <c r="N799" s="6" t="s">
        <v>1064</v>
      </c>
      <c r="O799" s="6" t="s">
        <v>21</v>
      </c>
      <c r="P799" s="6" t="s">
        <v>21</v>
      </c>
      <c r="Q799" s="6" t="s">
        <v>3332</v>
      </c>
      <c r="R799" s="8" t="s">
        <v>1808</v>
      </c>
      <c r="S799" s="6"/>
    </row>
    <row r="800" spans="1:19" ht="25.5" x14ac:dyDescent="0.25">
      <c r="A800" s="5" t="s">
        <v>3872</v>
      </c>
      <c r="B800" s="5">
        <v>799</v>
      </c>
      <c r="C800" s="6" t="s">
        <v>2592</v>
      </c>
      <c r="D800" s="6" t="s">
        <v>4142</v>
      </c>
      <c r="E800" s="6">
        <v>98</v>
      </c>
      <c r="F800" s="6" t="s">
        <v>124</v>
      </c>
      <c r="G800" s="6">
        <v>1416</v>
      </c>
      <c r="H800" s="6" t="s">
        <v>125</v>
      </c>
      <c r="I800" s="6" t="s">
        <v>4257</v>
      </c>
      <c r="J800" s="6" t="s">
        <v>4258</v>
      </c>
      <c r="K800" s="6" t="s">
        <v>3331</v>
      </c>
      <c r="L800" s="6">
        <v>79809957</v>
      </c>
      <c r="M800" s="6" t="s">
        <v>1063</v>
      </c>
      <c r="N800" s="6" t="s">
        <v>1064</v>
      </c>
      <c r="O800" s="6" t="s">
        <v>21</v>
      </c>
      <c r="P800" s="6" t="s">
        <v>21</v>
      </c>
      <c r="Q800" s="6" t="s">
        <v>3332</v>
      </c>
      <c r="R800" s="8" t="s">
        <v>1808</v>
      </c>
      <c r="S800" s="6"/>
    </row>
    <row r="801" spans="1:19" ht="25.5" x14ac:dyDescent="0.25">
      <c r="A801" s="5" t="s">
        <v>3872</v>
      </c>
      <c r="B801" s="5">
        <v>800</v>
      </c>
      <c r="C801" s="6" t="s">
        <v>2593</v>
      </c>
      <c r="D801" s="6" t="s">
        <v>4142</v>
      </c>
      <c r="E801" s="6">
        <v>104</v>
      </c>
      <c r="F801" s="6" t="s">
        <v>1057</v>
      </c>
      <c r="G801" s="6">
        <v>1448</v>
      </c>
      <c r="H801" s="6" t="s">
        <v>1058</v>
      </c>
      <c r="I801" s="6" t="s">
        <v>4259</v>
      </c>
      <c r="J801" s="6" t="s">
        <v>4260</v>
      </c>
      <c r="K801" s="6" t="s">
        <v>3331</v>
      </c>
      <c r="L801" s="6">
        <v>34558599</v>
      </c>
      <c r="M801" s="6" t="s">
        <v>1063</v>
      </c>
      <c r="N801" s="6" t="s">
        <v>1064</v>
      </c>
      <c r="O801" s="6" t="s">
        <v>21</v>
      </c>
      <c r="P801" s="6" t="s">
        <v>21</v>
      </c>
      <c r="Q801" s="6" t="s">
        <v>3332</v>
      </c>
      <c r="R801" s="8" t="s">
        <v>1808</v>
      </c>
      <c r="S801" s="6"/>
    </row>
    <row r="802" spans="1:19" ht="25.5" x14ac:dyDescent="0.25">
      <c r="A802" s="5" t="s">
        <v>3872</v>
      </c>
      <c r="B802" s="5">
        <v>801</v>
      </c>
      <c r="C802" s="6" t="s">
        <v>2594</v>
      </c>
      <c r="D802" s="6" t="s">
        <v>4142</v>
      </c>
      <c r="E802" s="6">
        <v>12</v>
      </c>
      <c r="F802" s="6" t="s">
        <v>1072</v>
      </c>
      <c r="G802" s="6">
        <v>24</v>
      </c>
      <c r="H802" s="6" t="s">
        <v>1076</v>
      </c>
      <c r="I802" s="6" t="s">
        <v>4261</v>
      </c>
      <c r="J802" s="6" t="s">
        <v>4262</v>
      </c>
      <c r="K802" s="6" t="s">
        <v>3331</v>
      </c>
      <c r="L802" s="6">
        <v>17411834</v>
      </c>
      <c r="M802" s="6" t="s">
        <v>79</v>
      </c>
      <c r="N802" s="6" t="s">
        <v>270</v>
      </c>
      <c r="O802" s="6" t="s">
        <v>21</v>
      </c>
      <c r="P802" s="6" t="s">
        <v>21</v>
      </c>
      <c r="Q802" s="6" t="s">
        <v>3332</v>
      </c>
      <c r="R802" s="8" t="s">
        <v>1808</v>
      </c>
      <c r="S802" s="6"/>
    </row>
    <row r="803" spans="1:19" ht="25.5" x14ac:dyDescent="0.25">
      <c r="A803" s="5" t="s">
        <v>3872</v>
      </c>
      <c r="B803" s="5">
        <v>802</v>
      </c>
      <c r="C803" s="6" t="s">
        <v>2595</v>
      </c>
      <c r="D803" s="6" t="s">
        <v>4142</v>
      </c>
      <c r="E803" s="6">
        <v>66</v>
      </c>
      <c r="F803" s="6" t="s">
        <v>1069</v>
      </c>
      <c r="G803" s="6">
        <v>13</v>
      </c>
      <c r="H803" s="6" t="s">
        <v>1070</v>
      </c>
      <c r="I803" s="6" t="s">
        <v>4263</v>
      </c>
      <c r="J803" s="6" t="s">
        <v>4264</v>
      </c>
      <c r="K803" s="6" t="s">
        <v>3331</v>
      </c>
      <c r="L803" s="6">
        <v>19266310</v>
      </c>
      <c r="M803" s="6" t="s">
        <v>26</v>
      </c>
      <c r="N803" s="6" t="s">
        <v>1098</v>
      </c>
      <c r="O803" s="6" t="s">
        <v>21</v>
      </c>
      <c r="P803" s="6" t="s">
        <v>21</v>
      </c>
      <c r="Q803" s="6" t="s">
        <v>3332</v>
      </c>
      <c r="R803" s="8" t="s">
        <v>1808</v>
      </c>
      <c r="S803" s="6"/>
    </row>
    <row r="804" spans="1:19" ht="25.5" x14ac:dyDescent="0.25">
      <c r="A804" s="5" t="s">
        <v>3872</v>
      </c>
      <c r="B804" s="5">
        <v>803</v>
      </c>
      <c r="C804" s="6" t="s">
        <v>2596</v>
      </c>
      <c r="D804" s="6" t="s">
        <v>4142</v>
      </c>
      <c r="E804" s="6">
        <v>66</v>
      </c>
      <c r="F804" s="6" t="s">
        <v>1069</v>
      </c>
      <c r="G804" s="6">
        <v>13</v>
      </c>
      <c r="H804" s="6" t="s">
        <v>1070</v>
      </c>
      <c r="I804" s="6" t="s">
        <v>4265</v>
      </c>
      <c r="J804" s="6" t="s">
        <v>4266</v>
      </c>
      <c r="K804" s="6" t="s">
        <v>3331</v>
      </c>
      <c r="L804" s="6">
        <v>11382717</v>
      </c>
      <c r="M804" s="6" t="s">
        <v>26</v>
      </c>
      <c r="N804" s="6" t="s">
        <v>1098</v>
      </c>
      <c r="O804" s="6" t="s">
        <v>21</v>
      </c>
      <c r="P804" s="6" t="s">
        <v>21</v>
      </c>
      <c r="Q804" s="6" t="s">
        <v>3332</v>
      </c>
      <c r="R804" s="8" t="s">
        <v>1808</v>
      </c>
      <c r="S804" s="6"/>
    </row>
    <row r="805" spans="1:19" ht="25.5" x14ac:dyDescent="0.25">
      <c r="A805" s="5" t="s">
        <v>3872</v>
      </c>
      <c r="B805" s="5">
        <v>804</v>
      </c>
      <c r="C805" s="6" t="s">
        <v>2597</v>
      </c>
      <c r="D805" s="6" t="s">
        <v>4142</v>
      </c>
      <c r="E805" s="6">
        <v>66</v>
      </c>
      <c r="F805" s="6" t="s">
        <v>1069</v>
      </c>
      <c r="G805" s="6">
        <v>13</v>
      </c>
      <c r="H805" s="6" t="s">
        <v>1070</v>
      </c>
      <c r="I805" s="6" t="s">
        <v>4267</v>
      </c>
      <c r="J805" s="6" t="s">
        <v>4268</v>
      </c>
      <c r="K805" s="6" t="s">
        <v>3331</v>
      </c>
      <c r="L805" s="6">
        <v>51567634</v>
      </c>
      <c r="M805" s="6" t="s">
        <v>26</v>
      </c>
      <c r="N805" s="6" t="s">
        <v>1098</v>
      </c>
      <c r="O805" s="6" t="s">
        <v>21</v>
      </c>
      <c r="P805" s="6" t="s">
        <v>21</v>
      </c>
      <c r="Q805" s="6" t="s">
        <v>3332</v>
      </c>
      <c r="R805" s="8" t="s">
        <v>1808</v>
      </c>
      <c r="S805" s="6"/>
    </row>
    <row r="806" spans="1:19" ht="25.5" x14ac:dyDescent="0.25">
      <c r="A806" s="5" t="s">
        <v>3872</v>
      </c>
      <c r="B806" s="5">
        <v>805</v>
      </c>
      <c r="C806" s="6" t="s">
        <v>2598</v>
      </c>
      <c r="D806" s="6" t="s">
        <v>4142</v>
      </c>
      <c r="E806" s="6">
        <v>112</v>
      </c>
      <c r="F806" s="6" t="s">
        <v>1071</v>
      </c>
      <c r="G806" s="6">
        <v>22</v>
      </c>
      <c r="H806" s="6" t="s">
        <v>29</v>
      </c>
      <c r="I806" s="6" t="s">
        <v>4269</v>
      </c>
      <c r="J806" s="6" t="s">
        <v>4270</v>
      </c>
      <c r="K806" s="6" t="s">
        <v>3331</v>
      </c>
      <c r="L806" s="6">
        <v>19262219</v>
      </c>
      <c r="M806" s="6" t="s">
        <v>26</v>
      </c>
      <c r="N806" s="6" t="s">
        <v>1098</v>
      </c>
      <c r="O806" s="6" t="s">
        <v>21</v>
      </c>
      <c r="P806" s="6" t="s">
        <v>21</v>
      </c>
      <c r="Q806" s="6" t="s">
        <v>3332</v>
      </c>
      <c r="R806" s="8" t="s">
        <v>1808</v>
      </c>
      <c r="S806" s="6"/>
    </row>
    <row r="807" spans="1:19" ht="25.5" x14ac:dyDescent="0.25">
      <c r="A807" s="5" t="s">
        <v>3872</v>
      </c>
      <c r="B807" s="5">
        <v>806</v>
      </c>
      <c r="C807" s="6" t="s">
        <v>2599</v>
      </c>
      <c r="D807" s="6" t="s">
        <v>4142</v>
      </c>
      <c r="E807" s="6">
        <v>135</v>
      </c>
      <c r="F807" s="6" t="s">
        <v>1099</v>
      </c>
      <c r="G807" s="6">
        <v>1</v>
      </c>
      <c r="H807" s="6" t="s">
        <v>1100</v>
      </c>
      <c r="I807" s="6" t="s">
        <v>4271</v>
      </c>
      <c r="J807" s="6" t="s">
        <v>4272</v>
      </c>
      <c r="K807" s="6" t="s">
        <v>3331</v>
      </c>
      <c r="L807" s="6">
        <v>12190376</v>
      </c>
      <c r="M807" s="6" t="s">
        <v>26</v>
      </c>
      <c r="N807" s="6" t="s">
        <v>1098</v>
      </c>
      <c r="O807" s="6" t="s">
        <v>21</v>
      </c>
      <c r="P807" s="6" t="s">
        <v>21</v>
      </c>
      <c r="Q807" s="6" t="s">
        <v>3332</v>
      </c>
      <c r="R807" s="8" t="s">
        <v>1808</v>
      </c>
      <c r="S807" s="6"/>
    </row>
    <row r="808" spans="1:19" ht="25.5" x14ac:dyDescent="0.25">
      <c r="A808" s="5" t="s">
        <v>3872</v>
      </c>
      <c r="B808" s="5">
        <v>807</v>
      </c>
      <c r="C808" s="6" t="s">
        <v>2600</v>
      </c>
      <c r="D808" s="6" t="s">
        <v>4142</v>
      </c>
      <c r="E808" s="6">
        <v>135</v>
      </c>
      <c r="F808" s="6" t="s">
        <v>1099</v>
      </c>
      <c r="G808" s="6">
        <v>1</v>
      </c>
      <c r="H808" s="6" t="s">
        <v>1100</v>
      </c>
      <c r="I808" s="6" t="s">
        <v>4273</v>
      </c>
      <c r="J808" s="6" t="s">
        <v>4274</v>
      </c>
      <c r="K808" s="6" t="s">
        <v>3331</v>
      </c>
      <c r="L808" s="6">
        <v>79285285</v>
      </c>
      <c r="M808" s="6" t="s">
        <v>26</v>
      </c>
      <c r="N808" s="6" t="s">
        <v>1098</v>
      </c>
      <c r="O808" s="6" t="s">
        <v>21</v>
      </c>
      <c r="P808" s="6" t="s">
        <v>21</v>
      </c>
      <c r="Q808" s="6" t="s">
        <v>3332</v>
      </c>
      <c r="R808" s="8" t="s">
        <v>1808</v>
      </c>
      <c r="S808" s="6"/>
    </row>
    <row r="809" spans="1:19" ht="25.5" x14ac:dyDescent="0.25">
      <c r="A809" s="5" t="s">
        <v>3872</v>
      </c>
      <c r="B809" s="5">
        <v>808</v>
      </c>
      <c r="C809" s="6" t="s">
        <v>2601</v>
      </c>
      <c r="D809" s="6" t="s">
        <v>4142</v>
      </c>
      <c r="E809" s="6">
        <v>135</v>
      </c>
      <c r="F809" s="6" t="s">
        <v>1099</v>
      </c>
      <c r="G809" s="6">
        <v>1</v>
      </c>
      <c r="H809" s="6" t="s">
        <v>1100</v>
      </c>
      <c r="I809" s="6" t="s">
        <v>4275</v>
      </c>
      <c r="J809" s="6" t="s">
        <v>4276</v>
      </c>
      <c r="K809" s="6" t="s">
        <v>3331</v>
      </c>
      <c r="L809" s="6">
        <v>79457277</v>
      </c>
      <c r="M809" s="6" t="s">
        <v>26</v>
      </c>
      <c r="N809" s="6" t="s">
        <v>1098</v>
      </c>
      <c r="O809" s="6" t="s">
        <v>21</v>
      </c>
      <c r="P809" s="6" t="s">
        <v>21</v>
      </c>
      <c r="Q809" s="6" t="s">
        <v>3332</v>
      </c>
      <c r="R809" s="8" t="s">
        <v>1808</v>
      </c>
      <c r="S809" s="6"/>
    </row>
    <row r="810" spans="1:19" ht="25.5" x14ac:dyDescent="0.25">
      <c r="A810" s="5" t="s">
        <v>3872</v>
      </c>
      <c r="B810" s="5">
        <v>809</v>
      </c>
      <c r="C810" s="6" t="s">
        <v>2602</v>
      </c>
      <c r="D810" s="6" t="s">
        <v>4142</v>
      </c>
      <c r="E810" s="6">
        <v>135</v>
      </c>
      <c r="F810" s="6" t="s">
        <v>1099</v>
      </c>
      <c r="G810" s="6">
        <v>1</v>
      </c>
      <c r="H810" s="6" t="s">
        <v>1100</v>
      </c>
      <c r="I810" s="6" t="s">
        <v>4277</v>
      </c>
      <c r="J810" s="6" t="s">
        <v>4278</v>
      </c>
      <c r="K810" s="6" t="s">
        <v>3331</v>
      </c>
      <c r="L810" s="6">
        <v>36151232</v>
      </c>
      <c r="M810" s="6" t="s">
        <v>26</v>
      </c>
      <c r="N810" s="6" t="s">
        <v>1101</v>
      </c>
      <c r="O810" s="6" t="s">
        <v>21</v>
      </c>
      <c r="P810" s="6" t="s">
        <v>21</v>
      </c>
      <c r="Q810" s="6" t="s">
        <v>3332</v>
      </c>
      <c r="R810" s="8" t="s">
        <v>1808</v>
      </c>
      <c r="S810" s="6"/>
    </row>
    <row r="811" spans="1:19" ht="25.5" x14ac:dyDescent="0.25">
      <c r="A811" s="5" t="s">
        <v>3872</v>
      </c>
      <c r="B811" s="5">
        <v>810</v>
      </c>
      <c r="C811" s="6" t="s">
        <v>2603</v>
      </c>
      <c r="D811" s="6" t="s">
        <v>4142</v>
      </c>
      <c r="E811" s="6">
        <v>66</v>
      </c>
      <c r="F811" s="6" t="s">
        <v>1069</v>
      </c>
      <c r="G811" s="6">
        <v>15</v>
      </c>
      <c r="H811" s="6" t="s">
        <v>1102</v>
      </c>
      <c r="I811" s="6" t="s">
        <v>4279</v>
      </c>
      <c r="J811" s="6" t="s">
        <v>4010</v>
      </c>
      <c r="K811" s="6" t="s">
        <v>3331</v>
      </c>
      <c r="L811" s="6">
        <v>41478150</v>
      </c>
      <c r="M811" s="6" t="s">
        <v>26</v>
      </c>
      <c r="N811" s="6" t="s">
        <v>1060</v>
      </c>
      <c r="O811" s="6" t="s">
        <v>21</v>
      </c>
      <c r="P811" s="6" t="s">
        <v>21</v>
      </c>
      <c r="Q811" s="6" t="s">
        <v>3332</v>
      </c>
      <c r="R811" s="8" t="s">
        <v>1808</v>
      </c>
      <c r="S811" s="6"/>
    </row>
    <row r="812" spans="1:19" ht="25.5" x14ac:dyDescent="0.25">
      <c r="A812" s="5" t="s">
        <v>3872</v>
      </c>
      <c r="B812" s="5">
        <v>811</v>
      </c>
      <c r="C812" s="6" t="s">
        <v>2604</v>
      </c>
      <c r="D812" s="6" t="s">
        <v>4142</v>
      </c>
      <c r="E812" s="6">
        <v>54</v>
      </c>
      <c r="F812" s="6" t="s">
        <v>1102</v>
      </c>
      <c r="G812" s="6">
        <v>17</v>
      </c>
      <c r="H812" s="6" t="s">
        <v>1073</v>
      </c>
      <c r="I812" s="6" t="s">
        <v>4280</v>
      </c>
      <c r="J812" s="6" t="s">
        <v>4281</v>
      </c>
      <c r="K812" s="6" t="s">
        <v>3331</v>
      </c>
      <c r="L812" s="6">
        <v>20271003</v>
      </c>
      <c r="M812" s="6" t="s">
        <v>26</v>
      </c>
      <c r="N812" s="6" t="s">
        <v>1103</v>
      </c>
      <c r="O812" s="6" t="s">
        <v>21</v>
      </c>
      <c r="P812" s="6" t="s">
        <v>21</v>
      </c>
      <c r="Q812" s="6" t="s">
        <v>3332</v>
      </c>
      <c r="R812" s="8" t="s">
        <v>1808</v>
      </c>
      <c r="S812" s="6"/>
    </row>
    <row r="813" spans="1:19" ht="25.5" x14ac:dyDescent="0.25">
      <c r="A813" s="5" t="s">
        <v>3872</v>
      </c>
      <c r="B813" s="5">
        <v>812</v>
      </c>
      <c r="C813" s="6" t="s">
        <v>2605</v>
      </c>
      <c r="D813" s="6" t="s">
        <v>4142</v>
      </c>
      <c r="E813" s="6">
        <v>81</v>
      </c>
      <c r="F813" s="6" t="s">
        <v>1074</v>
      </c>
      <c r="G813" s="6">
        <v>29</v>
      </c>
      <c r="H813" s="6" t="s">
        <v>40</v>
      </c>
      <c r="I813" s="6" t="s">
        <v>4282</v>
      </c>
      <c r="J813" s="6" t="s">
        <v>4283</v>
      </c>
      <c r="K813" s="6" t="s">
        <v>3331</v>
      </c>
      <c r="L813" s="6">
        <v>52561331</v>
      </c>
      <c r="M813" s="6" t="s">
        <v>26</v>
      </c>
      <c r="N813" s="6" t="s">
        <v>1098</v>
      </c>
      <c r="O813" s="6" t="s">
        <v>21</v>
      </c>
      <c r="P813" s="6" t="s">
        <v>21</v>
      </c>
      <c r="Q813" s="6" t="s">
        <v>3332</v>
      </c>
      <c r="R813" s="8" t="s">
        <v>1808</v>
      </c>
      <c r="S813" s="6"/>
    </row>
    <row r="814" spans="1:19" ht="25.5" x14ac:dyDescent="0.25">
      <c r="A814" s="5" t="s">
        <v>3872</v>
      </c>
      <c r="B814" s="5">
        <v>813</v>
      </c>
      <c r="C814" s="6" t="s">
        <v>2606</v>
      </c>
      <c r="D814" s="6" t="s">
        <v>4142</v>
      </c>
      <c r="E814" s="6">
        <v>81</v>
      </c>
      <c r="F814" s="6" t="s">
        <v>1074</v>
      </c>
      <c r="G814" s="6">
        <v>29</v>
      </c>
      <c r="H814" s="6" t="s">
        <v>40</v>
      </c>
      <c r="I814" s="6" t="s">
        <v>4284</v>
      </c>
      <c r="J814" s="6" t="s">
        <v>4285</v>
      </c>
      <c r="K814" s="6" t="s">
        <v>3331</v>
      </c>
      <c r="L814" s="6">
        <v>79457036</v>
      </c>
      <c r="M814" s="6" t="s">
        <v>26</v>
      </c>
      <c r="N814" s="6" t="s">
        <v>1098</v>
      </c>
      <c r="O814" s="6" t="s">
        <v>21</v>
      </c>
      <c r="P814" s="6" t="s">
        <v>21</v>
      </c>
      <c r="Q814" s="6" t="s">
        <v>3332</v>
      </c>
      <c r="R814" s="8" t="s">
        <v>1808</v>
      </c>
      <c r="S814" s="6"/>
    </row>
    <row r="815" spans="1:19" ht="25.5" x14ac:dyDescent="0.25">
      <c r="A815" s="5" t="s">
        <v>3872</v>
      </c>
      <c r="B815" s="5">
        <v>814</v>
      </c>
      <c r="C815" s="6" t="s">
        <v>2607</v>
      </c>
      <c r="D815" s="6" t="s">
        <v>4142</v>
      </c>
      <c r="E815" s="6">
        <v>100</v>
      </c>
      <c r="F815" s="6" t="s">
        <v>1104</v>
      </c>
      <c r="G815" s="6">
        <v>40</v>
      </c>
      <c r="H815" s="6" t="s">
        <v>42</v>
      </c>
      <c r="I815" s="6" t="s">
        <v>4286</v>
      </c>
      <c r="J815" s="6" t="s">
        <v>4287</v>
      </c>
      <c r="K815" s="6" t="s">
        <v>3331</v>
      </c>
      <c r="L815" s="6">
        <v>24410411</v>
      </c>
      <c r="M815" s="6" t="s">
        <v>26</v>
      </c>
      <c r="N815" s="6" t="s">
        <v>1103</v>
      </c>
      <c r="O815" s="6" t="s">
        <v>21</v>
      </c>
      <c r="P815" s="6" t="s">
        <v>21</v>
      </c>
      <c r="Q815" s="6" t="s">
        <v>3332</v>
      </c>
      <c r="R815" s="8" t="s">
        <v>1808</v>
      </c>
      <c r="S815" s="6"/>
    </row>
    <row r="816" spans="1:19" ht="25.5" x14ac:dyDescent="0.25">
      <c r="A816" s="5" t="s">
        <v>3872</v>
      </c>
      <c r="B816" s="5">
        <v>815</v>
      </c>
      <c r="C816" s="6" t="s">
        <v>2608</v>
      </c>
      <c r="D816" s="6" t="s">
        <v>4142</v>
      </c>
      <c r="E816" s="6">
        <v>100</v>
      </c>
      <c r="F816" s="6" t="s">
        <v>1104</v>
      </c>
      <c r="G816" s="6">
        <v>40</v>
      </c>
      <c r="H816" s="6" t="s">
        <v>42</v>
      </c>
      <c r="I816" s="6" t="s">
        <v>4288</v>
      </c>
      <c r="J816" s="6" t="s">
        <v>4289</v>
      </c>
      <c r="K816" s="6" t="s">
        <v>3331</v>
      </c>
      <c r="L816" s="6">
        <v>41566586</v>
      </c>
      <c r="M816" s="6" t="s">
        <v>26</v>
      </c>
      <c r="N816" s="6" t="s">
        <v>1103</v>
      </c>
      <c r="O816" s="6" t="s">
        <v>21</v>
      </c>
      <c r="P816" s="6" t="s">
        <v>21</v>
      </c>
      <c r="Q816" s="6" t="s">
        <v>3332</v>
      </c>
      <c r="R816" s="8" t="s">
        <v>1808</v>
      </c>
      <c r="S816" s="6"/>
    </row>
    <row r="817" spans="1:19" ht="25.5" x14ac:dyDescent="0.25">
      <c r="A817" s="5" t="s">
        <v>3872</v>
      </c>
      <c r="B817" s="5">
        <v>816</v>
      </c>
      <c r="C817" s="6" t="s">
        <v>2609</v>
      </c>
      <c r="D817" s="6" t="s">
        <v>4142</v>
      </c>
      <c r="E817" s="6">
        <v>119</v>
      </c>
      <c r="F817" s="6" t="s">
        <v>422</v>
      </c>
      <c r="G817" s="6">
        <v>56</v>
      </c>
      <c r="H817" s="6" t="s">
        <v>44</v>
      </c>
      <c r="I817" s="6" t="s">
        <v>4290</v>
      </c>
      <c r="J817" s="6" t="s">
        <v>4291</v>
      </c>
      <c r="K817" s="6" t="s">
        <v>3331</v>
      </c>
      <c r="L817" s="6">
        <v>41596013</v>
      </c>
      <c r="M817" s="6" t="s">
        <v>26</v>
      </c>
      <c r="N817" s="6" t="s">
        <v>1105</v>
      </c>
      <c r="O817" s="6" t="s">
        <v>21</v>
      </c>
      <c r="P817" s="6" t="s">
        <v>21</v>
      </c>
      <c r="Q817" s="6" t="s">
        <v>3332</v>
      </c>
      <c r="R817" s="8" t="s">
        <v>1808</v>
      </c>
      <c r="S817" s="6"/>
    </row>
    <row r="818" spans="1:19" ht="25.5" x14ac:dyDescent="0.25">
      <c r="A818" s="5" t="s">
        <v>3872</v>
      </c>
      <c r="B818" s="5">
        <v>817</v>
      </c>
      <c r="C818" s="6" t="s">
        <v>2610</v>
      </c>
      <c r="D818" s="6" t="s">
        <v>4142</v>
      </c>
      <c r="E818" s="6">
        <v>119</v>
      </c>
      <c r="F818" s="6" t="s">
        <v>422</v>
      </c>
      <c r="G818" s="6">
        <v>56</v>
      </c>
      <c r="H818" s="6" t="s">
        <v>44</v>
      </c>
      <c r="I818" s="6" t="s">
        <v>4292</v>
      </c>
      <c r="J818" s="6" t="s">
        <v>4293</v>
      </c>
      <c r="K818" s="6" t="s">
        <v>3331</v>
      </c>
      <c r="L818" s="6">
        <v>51819077</v>
      </c>
      <c r="M818" s="6" t="s">
        <v>26</v>
      </c>
      <c r="N818" s="6" t="s">
        <v>1098</v>
      </c>
      <c r="O818" s="6" t="s">
        <v>21</v>
      </c>
      <c r="P818" s="6" t="s">
        <v>21</v>
      </c>
      <c r="Q818" s="6" t="s">
        <v>3332</v>
      </c>
      <c r="R818" s="8" t="s">
        <v>1808</v>
      </c>
      <c r="S818" s="6"/>
    </row>
    <row r="819" spans="1:19" ht="25.5" x14ac:dyDescent="0.25">
      <c r="A819" s="5" t="s">
        <v>3872</v>
      </c>
      <c r="B819" s="5">
        <v>818</v>
      </c>
      <c r="C819" s="6" t="s">
        <v>2611</v>
      </c>
      <c r="D819" s="6" t="s">
        <v>4142</v>
      </c>
      <c r="E819" s="6">
        <v>5</v>
      </c>
      <c r="F819" s="6" t="s">
        <v>1075</v>
      </c>
      <c r="G819" s="6">
        <v>24</v>
      </c>
      <c r="H819" s="6" t="s">
        <v>1076</v>
      </c>
      <c r="I819" s="6" t="s">
        <v>4294</v>
      </c>
      <c r="J819" s="6" t="s">
        <v>4295</v>
      </c>
      <c r="K819" s="6" t="s">
        <v>3331</v>
      </c>
      <c r="L819" s="6">
        <v>39527902</v>
      </c>
      <c r="M819" s="6" t="s">
        <v>26</v>
      </c>
      <c r="N819" s="6" t="s">
        <v>1106</v>
      </c>
      <c r="O819" s="6" t="s">
        <v>21</v>
      </c>
      <c r="P819" s="6" t="s">
        <v>21</v>
      </c>
      <c r="Q819" s="6" t="s">
        <v>3332</v>
      </c>
      <c r="R819" s="8" t="s">
        <v>1808</v>
      </c>
      <c r="S819" s="6"/>
    </row>
    <row r="820" spans="1:19" ht="25.5" x14ac:dyDescent="0.25">
      <c r="A820" s="5" t="s">
        <v>3872</v>
      </c>
      <c r="B820" s="5">
        <v>819</v>
      </c>
      <c r="C820" s="6" t="s">
        <v>2612</v>
      </c>
      <c r="D820" s="6" t="s">
        <v>4142</v>
      </c>
      <c r="E820" s="6">
        <v>71</v>
      </c>
      <c r="F820" s="6" t="s">
        <v>1107</v>
      </c>
      <c r="G820" s="6">
        <v>2</v>
      </c>
      <c r="H820" s="6" t="s">
        <v>1108</v>
      </c>
      <c r="I820" s="6" t="s">
        <v>4296</v>
      </c>
      <c r="J820" s="6" t="s">
        <v>4297</v>
      </c>
      <c r="K820" s="6" t="s">
        <v>3331</v>
      </c>
      <c r="L820" s="6">
        <v>51596678</v>
      </c>
      <c r="M820" s="6" t="s">
        <v>79</v>
      </c>
      <c r="N820" s="6" t="s">
        <v>1060</v>
      </c>
      <c r="O820" s="6" t="s">
        <v>21</v>
      </c>
      <c r="P820" s="6" t="s">
        <v>21</v>
      </c>
      <c r="Q820" s="6" t="s">
        <v>3332</v>
      </c>
      <c r="R820" s="8" t="s">
        <v>1808</v>
      </c>
      <c r="S820" s="6"/>
    </row>
    <row r="821" spans="1:19" ht="25.5" x14ac:dyDescent="0.25">
      <c r="A821" s="5" t="s">
        <v>3872</v>
      </c>
      <c r="B821" s="5">
        <v>820</v>
      </c>
      <c r="C821" s="6" t="s">
        <v>2613</v>
      </c>
      <c r="D821" s="6" t="s">
        <v>4142</v>
      </c>
      <c r="E821" s="6">
        <v>12</v>
      </c>
      <c r="F821" s="6" t="s">
        <v>1072</v>
      </c>
      <c r="G821" s="6">
        <v>6</v>
      </c>
      <c r="H821" s="6" t="s">
        <v>33</v>
      </c>
      <c r="I821" s="6" t="s">
        <v>4298</v>
      </c>
      <c r="J821" s="6" t="s">
        <v>4299</v>
      </c>
      <c r="K821" s="6" t="s">
        <v>3331</v>
      </c>
      <c r="L821" s="6">
        <v>51948337</v>
      </c>
      <c r="M821" s="6" t="s">
        <v>79</v>
      </c>
      <c r="N821" s="6" t="s">
        <v>1103</v>
      </c>
      <c r="O821" s="6" t="s">
        <v>21</v>
      </c>
      <c r="P821" s="6" t="s">
        <v>21</v>
      </c>
      <c r="Q821" s="6" t="s">
        <v>3332</v>
      </c>
      <c r="R821" s="8" t="s">
        <v>1808</v>
      </c>
      <c r="S821" s="6"/>
    </row>
    <row r="822" spans="1:19" ht="25.5" x14ac:dyDescent="0.25">
      <c r="A822" s="5" t="s">
        <v>3872</v>
      </c>
      <c r="B822" s="5">
        <v>821</v>
      </c>
      <c r="C822" s="6" t="s">
        <v>2614</v>
      </c>
      <c r="D822" s="6" t="s">
        <v>4142</v>
      </c>
      <c r="E822" s="6">
        <v>45</v>
      </c>
      <c r="F822" s="6" t="s">
        <v>1109</v>
      </c>
      <c r="G822" s="6">
        <v>17</v>
      </c>
      <c r="H822" s="6" t="s">
        <v>1073</v>
      </c>
      <c r="I822" s="6" t="s">
        <v>4300</v>
      </c>
      <c r="J822" s="6" t="s">
        <v>4301</v>
      </c>
      <c r="K822" s="6" t="s">
        <v>3331</v>
      </c>
      <c r="L822" s="6">
        <v>51949710</v>
      </c>
      <c r="M822" s="6" t="s">
        <v>79</v>
      </c>
      <c r="N822" s="6" t="s">
        <v>1103</v>
      </c>
      <c r="O822" s="6" t="s">
        <v>21</v>
      </c>
      <c r="P822" s="6" t="s">
        <v>21</v>
      </c>
      <c r="Q822" s="6" t="s">
        <v>3332</v>
      </c>
      <c r="R822" s="8" t="s">
        <v>1808</v>
      </c>
      <c r="S822" s="6"/>
    </row>
    <row r="823" spans="1:19" ht="25.5" x14ac:dyDescent="0.25">
      <c r="A823" s="5" t="s">
        <v>3872</v>
      </c>
      <c r="B823" s="5">
        <v>822</v>
      </c>
      <c r="C823" s="6" t="s">
        <v>2615</v>
      </c>
      <c r="D823" s="6" t="s">
        <v>4142</v>
      </c>
      <c r="E823" s="6">
        <v>45</v>
      </c>
      <c r="F823" s="6" t="s">
        <v>1109</v>
      </c>
      <c r="G823" s="6">
        <v>17</v>
      </c>
      <c r="H823" s="6" t="s">
        <v>1073</v>
      </c>
      <c r="I823" s="6" t="s">
        <v>4302</v>
      </c>
      <c r="J823" s="6" t="s">
        <v>4303</v>
      </c>
      <c r="K823" s="6" t="s">
        <v>3331</v>
      </c>
      <c r="L823" s="6">
        <v>35519805</v>
      </c>
      <c r="M823" s="6" t="s">
        <v>79</v>
      </c>
      <c r="N823" s="6" t="s">
        <v>1103</v>
      </c>
      <c r="O823" s="6" t="s">
        <v>21</v>
      </c>
      <c r="P823" s="6" t="s">
        <v>21</v>
      </c>
      <c r="Q823" s="6" t="s">
        <v>3332</v>
      </c>
      <c r="R823" s="8" t="s">
        <v>1808</v>
      </c>
      <c r="S823" s="6"/>
    </row>
    <row r="824" spans="1:19" ht="25.5" x14ac:dyDescent="0.25">
      <c r="A824" s="5" t="s">
        <v>3872</v>
      </c>
      <c r="B824" s="5">
        <v>823</v>
      </c>
      <c r="C824" s="6" t="s">
        <v>2616</v>
      </c>
      <c r="D824" s="6" t="s">
        <v>4142</v>
      </c>
      <c r="E824" s="6">
        <v>60</v>
      </c>
      <c r="F824" s="6" t="s">
        <v>1110</v>
      </c>
      <c r="G824" s="6">
        <v>23</v>
      </c>
      <c r="H824" s="6" t="s">
        <v>867</v>
      </c>
      <c r="I824" s="6" t="s">
        <v>4304</v>
      </c>
      <c r="J824" s="6" t="s">
        <v>4305</v>
      </c>
      <c r="K824" s="6" t="s">
        <v>3331</v>
      </c>
      <c r="L824" s="6">
        <v>51723197</v>
      </c>
      <c r="M824" s="6" t="s">
        <v>79</v>
      </c>
      <c r="N824" s="6" t="s">
        <v>1103</v>
      </c>
      <c r="O824" s="6" t="s">
        <v>21</v>
      </c>
      <c r="P824" s="6" t="s">
        <v>21</v>
      </c>
      <c r="Q824" s="6" t="s">
        <v>3332</v>
      </c>
      <c r="R824" s="8" t="s">
        <v>1808</v>
      </c>
      <c r="S824" s="6"/>
    </row>
    <row r="825" spans="1:19" ht="25.5" x14ac:dyDescent="0.25">
      <c r="A825" s="5" t="s">
        <v>3872</v>
      </c>
      <c r="B825" s="5">
        <v>824</v>
      </c>
      <c r="C825" s="6" t="s">
        <v>2617</v>
      </c>
      <c r="D825" s="6" t="s">
        <v>4142</v>
      </c>
      <c r="E825" s="6">
        <v>80</v>
      </c>
      <c r="F825" s="6" t="s">
        <v>1074</v>
      </c>
      <c r="G825" s="6">
        <v>29</v>
      </c>
      <c r="H825" s="6" t="s">
        <v>40</v>
      </c>
      <c r="I825" s="6" t="s">
        <v>4306</v>
      </c>
      <c r="J825" s="6" t="s">
        <v>4307</v>
      </c>
      <c r="K825" s="6" t="s">
        <v>3331</v>
      </c>
      <c r="L825" s="6">
        <v>51876682</v>
      </c>
      <c r="M825" s="6" t="s">
        <v>79</v>
      </c>
      <c r="N825" s="6" t="s">
        <v>1103</v>
      </c>
      <c r="O825" s="6" t="s">
        <v>21</v>
      </c>
      <c r="P825" s="6" t="s">
        <v>21</v>
      </c>
      <c r="Q825" s="6" t="s">
        <v>3332</v>
      </c>
      <c r="R825" s="8" t="s">
        <v>1808</v>
      </c>
      <c r="S825" s="6"/>
    </row>
    <row r="826" spans="1:19" ht="25.5" x14ac:dyDescent="0.25">
      <c r="A826" s="5" t="s">
        <v>3872</v>
      </c>
      <c r="B826" s="5">
        <v>825</v>
      </c>
      <c r="C826" s="6" t="s">
        <v>2618</v>
      </c>
      <c r="D826" s="6" t="s">
        <v>4142</v>
      </c>
      <c r="E826" s="6">
        <v>73</v>
      </c>
      <c r="F826" s="6" t="s">
        <v>867</v>
      </c>
      <c r="G826" s="6">
        <v>29</v>
      </c>
      <c r="H826" s="6" t="s">
        <v>40</v>
      </c>
      <c r="I826" s="6" t="s">
        <v>4308</v>
      </c>
      <c r="J826" s="6" t="s">
        <v>3908</v>
      </c>
      <c r="K826" s="6" t="s">
        <v>3331</v>
      </c>
      <c r="L826" s="6">
        <v>39706544</v>
      </c>
      <c r="M826" s="6" t="s">
        <v>79</v>
      </c>
      <c r="N826" s="6" t="s">
        <v>1103</v>
      </c>
      <c r="O826" s="6" t="s">
        <v>21</v>
      </c>
      <c r="P826" s="6" t="s">
        <v>21</v>
      </c>
      <c r="Q826" s="6" t="s">
        <v>3332</v>
      </c>
      <c r="R826" s="8" t="s">
        <v>1808</v>
      </c>
      <c r="S826" s="6"/>
    </row>
    <row r="827" spans="1:19" ht="25.5" x14ac:dyDescent="0.25">
      <c r="A827" s="5" t="s">
        <v>3872</v>
      </c>
      <c r="B827" s="5">
        <v>826</v>
      </c>
      <c r="C827" s="6" t="s">
        <v>2619</v>
      </c>
      <c r="D827" s="6" t="s">
        <v>4142</v>
      </c>
      <c r="E827" s="6">
        <v>73</v>
      </c>
      <c r="F827" s="6" t="s">
        <v>867</v>
      </c>
      <c r="G827" s="6">
        <v>29</v>
      </c>
      <c r="H827" s="6" t="s">
        <v>40</v>
      </c>
      <c r="I827" s="6" t="s">
        <v>4309</v>
      </c>
      <c r="J827" s="6" t="s">
        <v>4310</v>
      </c>
      <c r="K827" s="6" t="s">
        <v>3331</v>
      </c>
      <c r="L827" s="6">
        <v>35519047</v>
      </c>
      <c r="M827" s="6" t="s">
        <v>79</v>
      </c>
      <c r="N827" s="6" t="s">
        <v>1103</v>
      </c>
      <c r="O827" s="6" t="s">
        <v>21</v>
      </c>
      <c r="P827" s="6" t="s">
        <v>21</v>
      </c>
      <c r="Q827" s="6" t="s">
        <v>3332</v>
      </c>
      <c r="R827" s="8" t="s">
        <v>1808</v>
      </c>
      <c r="S827" s="6"/>
    </row>
    <row r="828" spans="1:19" ht="25.5" x14ac:dyDescent="0.25">
      <c r="A828" s="5" t="s">
        <v>3872</v>
      </c>
      <c r="B828" s="5">
        <v>827</v>
      </c>
      <c r="C828" s="6" t="s">
        <v>2620</v>
      </c>
      <c r="D828" s="6" t="s">
        <v>4142</v>
      </c>
      <c r="E828" s="6">
        <v>91</v>
      </c>
      <c r="F828" s="6" t="s">
        <v>1111</v>
      </c>
      <c r="G828" s="6">
        <v>32</v>
      </c>
      <c r="H828" s="6" t="s">
        <v>42</v>
      </c>
      <c r="I828" s="6" t="s">
        <v>4311</v>
      </c>
      <c r="J828" s="6" t="s">
        <v>3592</v>
      </c>
      <c r="K828" s="6" t="s">
        <v>3331</v>
      </c>
      <c r="L828" s="6">
        <v>51922983</v>
      </c>
      <c r="M828" s="6" t="s">
        <v>79</v>
      </c>
      <c r="N828" s="6" t="s">
        <v>1103</v>
      </c>
      <c r="O828" s="6" t="s">
        <v>21</v>
      </c>
      <c r="P828" s="6" t="s">
        <v>21</v>
      </c>
      <c r="Q828" s="6" t="s">
        <v>3332</v>
      </c>
      <c r="R828" s="8" t="s">
        <v>1808</v>
      </c>
      <c r="S828" s="6"/>
    </row>
    <row r="829" spans="1:19" ht="25.5" x14ac:dyDescent="0.25">
      <c r="A829" s="5" t="s">
        <v>3872</v>
      </c>
      <c r="B829" s="5">
        <v>828</v>
      </c>
      <c r="C829" s="6" t="s">
        <v>2621</v>
      </c>
      <c r="D829" s="6" t="s">
        <v>4142</v>
      </c>
      <c r="E829" s="6">
        <v>91</v>
      </c>
      <c r="F829" s="6" t="s">
        <v>1111</v>
      </c>
      <c r="G829" s="6">
        <v>32</v>
      </c>
      <c r="H829" s="6" t="s">
        <v>42</v>
      </c>
      <c r="I829" s="6" t="s">
        <v>4312</v>
      </c>
      <c r="J829" s="6" t="s">
        <v>4313</v>
      </c>
      <c r="K829" s="6" t="s">
        <v>3331</v>
      </c>
      <c r="L829" s="6">
        <v>51904381</v>
      </c>
      <c r="M829" s="6" t="s">
        <v>79</v>
      </c>
      <c r="N829" s="6" t="s">
        <v>1103</v>
      </c>
      <c r="O829" s="6" t="s">
        <v>21</v>
      </c>
      <c r="P829" s="6" t="s">
        <v>21</v>
      </c>
      <c r="Q829" s="6" t="s">
        <v>3332</v>
      </c>
      <c r="R829" s="8" t="s">
        <v>1808</v>
      </c>
      <c r="S829" s="6"/>
    </row>
    <row r="830" spans="1:19" ht="25.5" x14ac:dyDescent="0.25">
      <c r="A830" s="5" t="s">
        <v>3872</v>
      </c>
      <c r="B830" s="5">
        <v>829</v>
      </c>
      <c r="C830" s="6" t="s">
        <v>2622</v>
      </c>
      <c r="D830" s="6" t="s">
        <v>4142</v>
      </c>
      <c r="E830" s="6">
        <v>108</v>
      </c>
      <c r="F830" s="6" t="s">
        <v>1112</v>
      </c>
      <c r="G830" s="6">
        <v>46</v>
      </c>
      <c r="H830" s="6" t="s">
        <v>646</v>
      </c>
      <c r="I830" s="6" t="s">
        <v>4314</v>
      </c>
      <c r="J830" s="6" t="s">
        <v>3809</v>
      </c>
      <c r="K830" s="6" t="s">
        <v>3331</v>
      </c>
      <c r="L830" s="6">
        <v>51991067</v>
      </c>
      <c r="M830" s="6" t="s">
        <v>79</v>
      </c>
      <c r="N830" s="6" t="s">
        <v>1103</v>
      </c>
      <c r="O830" s="6" t="s">
        <v>21</v>
      </c>
      <c r="P830" s="6" t="s">
        <v>21</v>
      </c>
      <c r="Q830" s="6" t="s">
        <v>3332</v>
      </c>
      <c r="R830" s="8" t="s">
        <v>1808</v>
      </c>
      <c r="S830" s="6"/>
    </row>
    <row r="831" spans="1:19" ht="25.5" x14ac:dyDescent="0.25">
      <c r="A831" s="5" t="s">
        <v>3872</v>
      </c>
      <c r="B831" s="5">
        <v>830</v>
      </c>
      <c r="C831" s="6" t="s">
        <v>2623</v>
      </c>
      <c r="D831" s="6" t="s">
        <v>4142</v>
      </c>
      <c r="E831" s="6">
        <v>5</v>
      </c>
      <c r="F831" s="6" t="s">
        <v>1075</v>
      </c>
      <c r="G831" s="6">
        <v>24</v>
      </c>
      <c r="H831" s="6" t="s">
        <v>1076</v>
      </c>
      <c r="I831" s="6" t="s">
        <v>4315</v>
      </c>
      <c r="J831" s="6" t="s">
        <v>3816</v>
      </c>
      <c r="K831" s="6" t="s">
        <v>3331</v>
      </c>
      <c r="L831" s="6">
        <v>51872917</v>
      </c>
      <c r="M831" s="6" t="s">
        <v>79</v>
      </c>
      <c r="N831" s="6" t="s">
        <v>1103</v>
      </c>
      <c r="O831" s="6" t="s">
        <v>21</v>
      </c>
      <c r="P831" s="6" t="s">
        <v>21</v>
      </c>
      <c r="Q831" s="6" t="s">
        <v>3332</v>
      </c>
      <c r="R831" s="8" t="s">
        <v>1808</v>
      </c>
      <c r="S831" s="6"/>
    </row>
    <row r="832" spans="1:19" ht="25.5" x14ac:dyDescent="0.25">
      <c r="A832" s="5" t="s">
        <v>3872</v>
      </c>
      <c r="B832" s="5">
        <v>831</v>
      </c>
      <c r="C832" s="6" t="s">
        <v>2624</v>
      </c>
      <c r="D832" s="6" t="s">
        <v>4142</v>
      </c>
      <c r="E832" s="6">
        <v>5</v>
      </c>
      <c r="F832" s="6" t="s">
        <v>1075</v>
      </c>
      <c r="G832" s="6">
        <v>24</v>
      </c>
      <c r="H832" s="6" t="s">
        <v>1076</v>
      </c>
      <c r="I832" s="6" t="s">
        <v>4316</v>
      </c>
      <c r="J832" s="6" t="s">
        <v>3493</v>
      </c>
      <c r="K832" s="6" t="s">
        <v>3331</v>
      </c>
      <c r="L832" s="6">
        <v>24411016</v>
      </c>
      <c r="M832" s="6" t="s">
        <v>79</v>
      </c>
      <c r="N832" s="6" t="s">
        <v>1060</v>
      </c>
      <c r="O832" s="6" t="s">
        <v>21</v>
      </c>
      <c r="P832" s="6" t="s">
        <v>21</v>
      </c>
      <c r="Q832" s="6" t="s">
        <v>3332</v>
      </c>
      <c r="R832" s="8" t="s">
        <v>1808</v>
      </c>
      <c r="S832" s="6"/>
    </row>
    <row r="833" spans="1:19" ht="25.5" x14ac:dyDescent="0.25">
      <c r="A833" s="5" t="s">
        <v>3872</v>
      </c>
      <c r="B833" s="5">
        <v>832</v>
      </c>
      <c r="C833" s="6" t="s">
        <v>2625</v>
      </c>
      <c r="D833" s="6" t="s">
        <v>4142</v>
      </c>
      <c r="E833" s="6">
        <v>15</v>
      </c>
      <c r="F833" s="6" t="s">
        <v>1077</v>
      </c>
      <c r="G833" s="6">
        <v>38</v>
      </c>
      <c r="H833" s="6" t="s">
        <v>57</v>
      </c>
      <c r="I833" s="6" t="s">
        <v>4317</v>
      </c>
      <c r="J833" s="6" t="s">
        <v>4318</v>
      </c>
      <c r="K833" s="6" t="s">
        <v>3331</v>
      </c>
      <c r="L833" s="6">
        <v>40011744</v>
      </c>
      <c r="M833" s="6" t="s">
        <v>79</v>
      </c>
      <c r="N833" s="6" t="s">
        <v>1103</v>
      </c>
      <c r="O833" s="6" t="s">
        <v>21</v>
      </c>
      <c r="P833" s="6" t="s">
        <v>21</v>
      </c>
      <c r="Q833" s="6" t="s">
        <v>3332</v>
      </c>
      <c r="R833" s="8" t="s">
        <v>1808</v>
      </c>
      <c r="S833" s="6"/>
    </row>
    <row r="834" spans="1:19" ht="25.5" x14ac:dyDescent="0.25">
      <c r="A834" s="5" t="s">
        <v>3872</v>
      </c>
      <c r="B834" s="5">
        <v>833</v>
      </c>
      <c r="C834" s="6" t="s">
        <v>2626</v>
      </c>
      <c r="D834" s="6" t="s">
        <v>4142</v>
      </c>
      <c r="E834" s="6">
        <v>15</v>
      </c>
      <c r="F834" s="6" t="s">
        <v>1077</v>
      </c>
      <c r="G834" s="6">
        <v>38</v>
      </c>
      <c r="H834" s="6" t="s">
        <v>57</v>
      </c>
      <c r="I834" s="6" t="s">
        <v>4319</v>
      </c>
      <c r="J834" s="6" t="s">
        <v>4320</v>
      </c>
      <c r="K834" s="6" t="s">
        <v>3331</v>
      </c>
      <c r="L834" s="6">
        <v>51754427</v>
      </c>
      <c r="M834" s="6" t="s">
        <v>79</v>
      </c>
      <c r="N834" s="6" t="s">
        <v>1103</v>
      </c>
      <c r="O834" s="6" t="s">
        <v>21</v>
      </c>
      <c r="P834" s="6" t="s">
        <v>21</v>
      </c>
      <c r="Q834" s="6" t="s">
        <v>3332</v>
      </c>
      <c r="R834" s="8" t="s">
        <v>1808</v>
      </c>
      <c r="S834" s="6"/>
    </row>
    <row r="835" spans="1:19" ht="25.5" x14ac:dyDescent="0.25">
      <c r="A835" s="5" t="s">
        <v>3872</v>
      </c>
      <c r="B835" s="5">
        <v>834</v>
      </c>
      <c r="C835" s="6" t="s">
        <v>2627</v>
      </c>
      <c r="D835" s="6" t="s">
        <v>4142</v>
      </c>
      <c r="E835" s="6">
        <v>44</v>
      </c>
      <c r="F835" s="6" t="s">
        <v>1113</v>
      </c>
      <c r="G835" s="6">
        <v>91</v>
      </c>
      <c r="H835" s="6" t="s">
        <v>64</v>
      </c>
      <c r="I835" s="6" t="s">
        <v>4321</v>
      </c>
      <c r="J835" s="6" t="s">
        <v>4322</v>
      </c>
      <c r="K835" s="6" t="s">
        <v>3331</v>
      </c>
      <c r="L835" s="6">
        <v>52033787</v>
      </c>
      <c r="M835" s="6" t="s">
        <v>79</v>
      </c>
      <c r="N835" s="6" t="s">
        <v>1103</v>
      </c>
      <c r="O835" s="6" t="s">
        <v>21</v>
      </c>
      <c r="P835" s="6" t="s">
        <v>21</v>
      </c>
      <c r="Q835" s="6" t="s">
        <v>3332</v>
      </c>
      <c r="R835" s="8" t="s">
        <v>1808</v>
      </c>
      <c r="S835" s="6"/>
    </row>
    <row r="836" spans="1:19" ht="25.5" x14ac:dyDescent="0.25">
      <c r="A836" s="5" t="s">
        <v>3872</v>
      </c>
      <c r="B836" s="5">
        <v>835</v>
      </c>
      <c r="C836" s="6" t="s">
        <v>2628</v>
      </c>
      <c r="D836" s="6" t="s">
        <v>4142</v>
      </c>
      <c r="E836" s="6">
        <v>44</v>
      </c>
      <c r="F836" s="6" t="s">
        <v>1113</v>
      </c>
      <c r="G836" s="6">
        <v>91</v>
      </c>
      <c r="H836" s="6" t="s">
        <v>64</v>
      </c>
      <c r="I836" s="6" t="s">
        <v>4323</v>
      </c>
      <c r="J836" s="6" t="s">
        <v>3417</v>
      </c>
      <c r="K836" s="6" t="s">
        <v>3331</v>
      </c>
      <c r="L836" s="6">
        <v>51967110</v>
      </c>
      <c r="M836" s="6" t="s">
        <v>79</v>
      </c>
      <c r="N836" s="6" t="s">
        <v>1103</v>
      </c>
      <c r="O836" s="6" t="s">
        <v>21</v>
      </c>
      <c r="P836" s="6" t="s">
        <v>21</v>
      </c>
      <c r="Q836" s="6" t="s">
        <v>3332</v>
      </c>
      <c r="R836" s="8" t="s">
        <v>1808</v>
      </c>
      <c r="S836" s="6"/>
    </row>
    <row r="837" spans="1:19" ht="25.5" x14ac:dyDescent="0.25">
      <c r="A837" s="5" t="s">
        <v>3872</v>
      </c>
      <c r="B837" s="5">
        <v>836</v>
      </c>
      <c r="C837" s="6" t="s">
        <v>2629</v>
      </c>
      <c r="D837" s="6" t="s">
        <v>4142</v>
      </c>
      <c r="E837" s="6">
        <v>59</v>
      </c>
      <c r="F837" s="6" t="s">
        <v>1114</v>
      </c>
      <c r="G837" s="6">
        <v>161</v>
      </c>
      <c r="H837" s="6" t="s">
        <v>1115</v>
      </c>
      <c r="I837" s="6" t="s">
        <v>4324</v>
      </c>
      <c r="J837" s="6" t="s">
        <v>3330</v>
      </c>
      <c r="K837" s="6" t="s">
        <v>3331</v>
      </c>
      <c r="L837" s="6">
        <v>51915907</v>
      </c>
      <c r="M837" s="6" t="s">
        <v>79</v>
      </c>
      <c r="N837" s="6" t="s">
        <v>1103</v>
      </c>
      <c r="O837" s="6" t="s">
        <v>21</v>
      </c>
      <c r="P837" s="6" t="s">
        <v>21</v>
      </c>
      <c r="Q837" s="6" t="s">
        <v>3332</v>
      </c>
      <c r="R837" s="8" t="s">
        <v>1808</v>
      </c>
      <c r="S837" s="6"/>
    </row>
    <row r="838" spans="1:19" ht="25.5" x14ac:dyDescent="0.25">
      <c r="A838" s="5" t="s">
        <v>3872</v>
      </c>
      <c r="B838" s="5">
        <v>837</v>
      </c>
      <c r="C838" s="6" t="s">
        <v>2630</v>
      </c>
      <c r="D838" s="6" t="s">
        <v>4142</v>
      </c>
      <c r="E838" s="6">
        <v>70</v>
      </c>
      <c r="F838" s="6" t="s">
        <v>69</v>
      </c>
      <c r="G838" s="6">
        <v>186</v>
      </c>
      <c r="H838" s="6" t="s">
        <v>70</v>
      </c>
      <c r="I838" s="6" t="s">
        <v>4325</v>
      </c>
      <c r="J838" s="6" t="s">
        <v>3534</v>
      </c>
      <c r="K838" s="6" t="s">
        <v>3331</v>
      </c>
      <c r="L838" s="6">
        <v>30310090</v>
      </c>
      <c r="M838" s="6" t="s">
        <v>79</v>
      </c>
      <c r="N838" s="6" t="s">
        <v>1103</v>
      </c>
      <c r="O838" s="6" t="s">
        <v>21</v>
      </c>
      <c r="P838" s="6" t="s">
        <v>21</v>
      </c>
      <c r="Q838" s="6" t="s">
        <v>3332</v>
      </c>
      <c r="R838" s="8" t="s">
        <v>1808</v>
      </c>
      <c r="S838" s="6"/>
    </row>
    <row r="839" spans="1:19" ht="25.5" x14ac:dyDescent="0.25">
      <c r="A839" s="5" t="s">
        <v>3872</v>
      </c>
      <c r="B839" s="5">
        <v>838</v>
      </c>
      <c r="C839" s="6" t="s">
        <v>2631</v>
      </c>
      <c r="D839" s="6" t="s">
        <v>4142</v>
      </c>
      <c r="E839" s="6">
        <v>107</v>
      </c>
      <c r="F839" s="6" t="s">
        <v>1116</v>
      </c>
      <c r="G839" s="6">
        <v>219</v>
      </c>
      <c r="H839" s="6" t="s">
        <v>672</v>
      </c>
      <c r="I839" s="6" t="s">
        <v>4326</v>
      </c>
      <c r="J839" s="6" t="s">
        <v>4327</v>
      </c>
      <c r="K839" s="6" t="s">
        <v>3331</v>
      </c>
      <c r="L839" s="6">
        <v>51865607</v>
      </c>
      <c r="M839" s="6" t="s">
        <v>79</v>
      </c>
      <c r="N839" s="6" t="s">
        <v>1103</v>
      </c>
      <c r="O839" s="6" t="s">
        <v>21</v>
      </c>
      <c r="P839" s="6" t="s">
        <v>21</v>
      </c>
      <c r="Q839" s="6" t="s">
        <v>3332</v>
      </c>
      <c r="R839" s="8" t="s">
        <v>1808</v>
      </c>
      <c r="S839" s="6"/>
    </row>
    <row r="840" spans="1:19" ht="25.5" x14ac:dyDescent="0.25">
      <c r="A840" s="5" t="s">
        <v>3872</v>
      </c>
      <c r="B840" s="5">
        <v>839</v>
      </c>
      <c r="C840" s="6" t="s">
        <v>2632</v>
      </c>
      <c r="D840" s="6" t="s">
        <v>4142</v>
      </c>
      <c r="E840" s="6">
        <v>125</v>
      </c>
      <c r="F840" s="6" t="s">
        <v>672</v>
      </c>
      <c r="G840" s="6">
        <v>249</v>
      </c>
      <c r="H840" s="6" t="s">
        <v>73</v>
      </c>
      <c r="I840" s="6" t="s">
        <v>4328</v>
      </c>
      <c r="J840" s="6" t="s">
        <v>4329</v>
      </c>
      <c r="K840" s="6" t="s">
        <v>3331</v>
      </c>
      <c r="L840" s="6">
        <v>51594596</v>
      </c>
      <c r="M840" s="6" t="s">
        <v>79</v>
      </c>
      <c r="N840" s="6" t="s">
        <v>1103</v>
      </c>
      <c r="O840" s="6" t="s">
        <v>21</v>
      </c>
      <c r="P840" s="6" t="s">
        <v>21</v>
      </c>
      <c r="Q840" s="6" t="s">
        <v>3332</v>
      </c>
      <c r="R840" s="8" t="s">
        <v>1808</v>
      </c>
      <c r="S840" s="6"/>
    </row>
    <row r="841" spans="1:19" ht="25.5" x14ac:dyDescent="0.25">
      <c r="A841" s="5" t="s">
        <v>3872</v>
      </c>
      <c r="B841" s="5">
        <v>840</v>
      </c>
      <c r="C841" s="6" t="s">
        <v>2633</v>
      </c>
      <c r="D841" s="6" t="s">
        <v>4142</v>
      </c>
      <c r="E841" s="6">
        <v>125</v>
      </c>
      <c r="F841" s="6" t="s">
        <v>672</v>
      </c>
      <c r="G841" s="6">
        <v>249</v>
      </c>
      <c r="H841" s="6" t="s">
        <v>73</v>
      </c>
      <c r="I841" s="6" t="s">
        <v>4330</v>
      </c>
      <c r="J841" s="6" t="s">
        <v>4331</v>
      </c>
      <c r="K841" s="6" t="s">
        <v>3331</v>
      </c>
      <c r="L841" s="6">
        <v>52005952</v>
      </c>
      <c r="M841" s="6" t="s">
        <v>79</v>
      </c>
      <c r="N841" s="6" t="s">
        <v>1103</v>
      </c>
      <c r="O841" s="6" t="s">
        <v>21</v>
      </c>
      <c r="P841" s="6" t="s">
        <v>21</v>
      </c>
      <c r="Q841" s="6" t="s">
        <v>3332</v>
      </c>
      <c r="R841" s="8" t="s">
        <v>1808</v>
      </c>
      <c r="S841" s="6"/>
    </row>
    <row r="842" spans="1:19" ht="25.5" x14ac:dyDescent="0.25">
      <c r="A842" s="5" t="s">
        <v>3872</v>
      </c>
      <c r="B842" s="5">
        <v>841</v>
      </c>
      <c r="C842" s="6" t="s">
        <v>2634</v>
      </c>
      <c r="D842" s="6" t="s">
        <v>4142</v>
      </c>
      <c r="E842" s="6">
        <v>35</v>
      </c>
      <c r="F842" s="6" t="s">
        <v>1079</v>
      </c>
      <c r="G842" s="6">
        <v>331</v>
      </c>
      <c r="H842" s="6" t="s">
        <v>84</v>
      </c>
      <c r="I842" s="6" t="s">
        <v>4332</v>
      </c>
      <c r="J842" s="6" t="s">
        <v>4333</v>
      </c>
      <c r="K842" s="6" t="s">
        <v>3331</v>
      </c>
      <c r="L842" s="6">
        <v>52048387</v>
      </c>
      <c r="M842" s="6" t="s">
        <v>79</v>
      </c>
      <c r="N842" s="6" t="s">
        <v>1103</v>
      </c>
      <c r="O842" s="6" t="s">
        <v>21</v>
      </c>
      <c r="P842" s="6" t="s">
        <v>21</v>
      </c>
      <c r="Q842" s="6" t="s">
        <v>3332</v>
      </c>
      <c r="R842" s="8" t="s">
        <v>1808</v>
      </c>
      <c r="S842" s="6"/>
    </row>
    <row r="843" spans="1:19" ht="25.5" x14ac:dyDescent="0.25">
      <c r="A843" s="5" t="s">
        <v>3872</v>
      </c>
      <c r="B843" s="5">
        <v>842</v>
      </c>
      <c r="C843" s="6" t="s">
        <v>2635</v>
      </c>
      <c r="D843" s="6" t="s">
        <v>4142</v>
      </c>
      <c r="E843" s="6">
        <v>69</v>
      </c>
      <c r="F843" s="6" t="s">
        <v>875</v>
      </c>
      <c r="G843" s="6">
        <v>418</v>
      </c>
      <c r="H843" s="6" t="s">
        <v>580</v>
      </c>
      <c r="I843" s="6" t="s">
        <v>4334</v>
      </c>
      <c r="J843" s="6" t="s">
        <v>4327</v>
      </c>
      <c r="K843" s="6" t="s">
        <v>3331</v>
      </c>
      <c r="L843" s="6">
        <v>51917235</v>
      </c>
      <c r="M843" s="6" t="s">
        <v>79</v>
      </c>
      <c r="N843" s="6" t="s">
        <v>1117</v>
      </c>
      <c r="O843" s="6" t="s">
        <v>21</v>
      </c>
      <c r="P843" s="6" t="s">
        <v>21</v>
      </c>
      <c r="Q843" s="6" t="s">
        <v>3332</v>
      </c>
      <c r="R843" s="8" t="s">
        <v>1808</v>
      </c>
      <c r="S843" s="6"/>
    </row>
    <row r="844" spans="1:19" ht="25.5" x14ac:dyDescent="0.25">
      <c r="A844" s="5" t="s">
        <v>3872</v>
      </c>
      <c r="B844" s="5">
        <v>843</v>
      </c>
      <c r="C844" s="6" t="s">
        <v>2636</v>
      </c>
      <c r="D844" s="6" t="s">
        <v>4142</v>
      </c>
      <c r="E844" s="6">
        <v>69</v>
      </c>
      <c r="F844" s="6" t="s">
        <v>875</v>
      </c>
      <c r="G844" s="6">
        <v>418</v>
      </c>
      <c r="H844" s="6" t="s">
        <v>580</v>
      </c>
      <c r="I844" s="6" t="s">
        <v>4335</v>
      </c>
      <c r="J844" s="6" t="s">
        <v>3330</v>
      </c>
      <c r="K844" s="6" t="s">
        <v>3331</v>
      </c>
      <c r="L844" s="6">
        <v>51781482</v>
      </c>
      <c r="M844" s="6" t="s">
        <v>79</v>
      </c>
      <c r="N844" s="6" t="s">
        <v>1117</v>
      </c>
      <c r="O844" s="6" t="s">
        <v>21</v>
      </c>
      <c r="P844" s="6" t="s">
        <v>21</v>
      </c>
      <c r="Q844" s="6" t="s">
        <v>3332</v>
      </c>
      <c r="R844" s="8" t="s">
        <v>1808</v>
      </c>
      <c r="S844" s="6"/>
    </row>
    <row r="845" spans="1:19" ht="25.5" x14ac:dyDescent="0.25">
      <c r="A845" s="5" t="s">
        <v>3872</v>
      </c>
      <c r="B845" s="5">
        <v>844</v>
      </c>
      <c r="C845" s="6" t="s">
        <v>2637</v>
      </c>
      <c r="D845" s="6" t="s">
        <v>4142</v>
      </c>
      <c r="E845" s="6">
        <v>69</v>
      </c>
      <c r="F845" s="6" t="s">
        <v>875</v>
      </c>
      <c r="G845" s="6">
        <v>418</v>
      </c>
      <c r="H845" s="6" t="s">
        <v>580</v>
      </c>
      <c r="I845" s="6" t="s">
        <v>4336</v>
      </c>
      <c r="J845" s="6" t="s">
        <v>4337</v>
      </c>
      <c r="K845" s="6" t="s">
        <v>3331</v>
      </c>
      <c r="L845" s="6">
        <v>51875379</v>
      </c>
      <c r="M845" s="6" t="s">
        <v>79</v>
      </c>
      <c r="N845" s="6" t="s">
        <v>1117</v>
      </c>
      <c r="O845" s="6" t="s">
        <v>21</v>
      </c>
      <c r="P845" s="6" t="s">
        <v>21</v>
      </c>
      <c r="Q845" s="6" t="s">
        <v>3332</v>
      </c>
      <c r="R845" s="8" t="s">
        <v>1808</v>
      </c>
      <c r="S845" s="6"/>
    </row>
    <row r="846" spans="1:19" ht="25.5" x14ac:dyDescent="0.25">
      <c r="A846" s="5" t="s">
        <v>3872</v>
      </c>
      <c r="B846" s="5">
        <v>845</v>
      </c>
      <c r="C846" s="6" t="s">
        <v>2638</v>
      </c>
      <c r="D846" s="6" t="s">
        <v>4142</v>
      </c>
      <c r="E846" s="6">
        <v>69</v>
      </c>
      <c r="F846" s="6" t="s">
        <v>875</v>
      </c>
      <c r="G846" s="6">
        <v>418</v>
      </c>
      <c r="H846" s="6" t="s">
        <v>580</v>
      </c>
      <c r="I846" s="6" t="s">
        <v>4338</v>
      </c>
      <c r="J846" s="6" t="s">
        <v>3904</v>
      </c>
      <c r="K846" s="6" t="s">
        <v>3331</v>
      </c>
      <c r="L846" s="6">
        <v>41790242</v>
      </c>
      <c r="M846" s="6" t="s">
        <v>79</v>
      </c>
      <c r="N846" s="6" t="s">
        <v>1117</v>
      </c>
      <c r="O846" s="6" t="s">
        <v>21</v>
      </c>
      <c r="P846" s="6" t="s">
        <v>21</v>
      </c>
      <c r="Q846" s="6" t="s">
        <v>3332</v>
      </c>
      <c r="R846" s="8" t="s">
        <v>1808</v>
      </c>
      <c r="S846" s="6"/>
    </row>
    <row r="847" spans="1:19" ht="25.5" x14ac:dyDescent="0.25">
      <c r="A847" s="5" t="s">
        <v>3872</v>
      </c>
      <c r="B847" s="5">
        <v>846</v>
      </c>
      <c r="C847" s="6" t="s">
        <v>2639</v>
      </c>
      <c r="D847" s="6" t="s">
        <v>4142</v>
      </c>
      <c r="E847" s="6">
        <v>69</v>
      </c>
      <c r="F847" s="6" t="s">
        <v>875</v>
      </c>
      <c r="G847" s="6">
        <v>418</v>
      </c>
      <c r="H847" s="6" t="s">
        <v>580</v>
      </c>
      <c r="I847" s="6" t="s">
        <v>4339</v>
      </c>
      <c r="J847" s="6" t="s">
        <v>4340</v>
      </c>
      <c r="K847" s="6" t="s">
        <v>3331</v>
      </c>
      <c r="L847" s="6">
        <v>51709688</v>
      </c>
      <c r="M847" s="6" t="s">
        <v>79</v>
      </c>
      <c r="N847" s="6" t="s">
        <v>1117</v>
      </c>
      <c r="O847" s="6" t="s">
        <v>21</v>
      </c>
      <c r="P847" s="6" t="s">
        <v>21</v>
      </c>
      <c r="Q847" s="6" t="s">
        <v>3332</v>
      </c>
      <c r="R847" s="8" t="s">
        <v>1808</v>
      </c>
      <c r="S847" s="6"/>
    </row>
    <row r="848" spans="1:19" ht="25.5" x14ac:dyDescent="0.25">
      <c r="A848" s="5" t="s">
        <v>3872</v>
      </c>
      <c r="B848" s="5">
        <v>847</v>
      </c>
      <c r="C848" s="6" t="s">
        <v>2640</v>
      </c>
      <c r="D848" s="6" t="s">
        <v>4142</v>
      </c>
      <c r="E848" s="6">
        <v>82</v>
      </c>
      <c r="F848" s="6" t="s">
        <v>1118</v>
      </c>
      <c r="G848" s="6">
        <v>467</v>
      </c>
      <c r="H848" s="6" t="s">
        <v>1119</v>
      </c>
      <c r="I848" s="6" t="s">
        <v>4341</v>
      </c>
      <c r="J848" s="6" t="s">
        <v>4237</v>
      </c>
      <c r="K848" s="6" t="s">
        <v>3331</v>
      </c>
      <c r="L848" s="6">
        <v>39539665</v>
      </c>
      <c r="M848" s="6" t="s">
        <v>79</v>
      </c>
      <c r="N848" s="6" t="s">
        <v>1117</v>
      </c>
      <c r="O848" s="6" t="s">
        <v>21</v>
      </c>
      <c r="P848" s="6" t="s">
        <v>21</v>
      </c>
      <c r="Q848" s="6" t="s">
        <v>3332</v>
      </c>
      <c r="R848" s="8" t="s">
        <v>1808</v>
      </c>
      <c r="S848" s="6"/>
    </row>
    <row r="849" spans="1:19" ht="25.5" x14ac:dyDescent="0.25">
      <c r="A849" s="5" t="s">
        <v>3872</v>
      </c>
      <c r="B849" s="5">
        <v>848</v>
      </c>
      <c r="C849" s="6" t="s">
        <v>2641</v>
      </c>
      <c r="D849" s="6" t="s">
        <v>4142</v>
      </c>
      <c r="E849" s="6">
        <v>82</v>
      </c>
      <c r="F849" s="6" t="s">
        <v>1118</v>
      </c>
      <c r="G849" s="6">
        <v>467</v>
      </c>
      <c r="H849" s="6" t="s">
        <v>1119</v>
      </c>
      <c r="I849" s="6" t="s">
        <v>4342</v>
      </c>
      <c r="J849" s="6" t="s">
        <v>4343</v>
      </c>
      <c r="K849" s="6" t="s">
        <v>3331</v>
      </c>
      <c r="L849" s="6">
        <v>51711600</v>
      </c>
      <c r="M849" s="6" t="s">
        <v>79</v>
      </c>
      <c r="N849" s="6" t="s">
        <v>1117</v>
      </c>
      <c r="O849" s="6" t="s">
        <v>21</v>
      </c>
      <c r="P849" s="6" t="s">
        <v>21</v>
      </c>
      <c r="Q849" s="6" t="s">
        <v>3332</v>
      </c>
      <c r="R849" s="8" t="s">
        <v>1808</v>
      </c>
      <c r="S849" s="6"/>
    </row>
    <row r="850" spans="1:19" ht="25.5" x14ac:dyDescent="0.25">
      <c r="A850" s="5" t="s">
        <v>3872</v>
      </c>
      <c r="B850" s="5">
        <v>849</v>
      </c>
      <c r="C850" s="6" t="s">
        <v>2642</v>
      </c>
      <c r="D850" s="6" t="s">
        <v>4142</v>
      </c>
      <c r="E850" s="6">
        <v>40</v>
      </c>
      <c r="F850" s="6" t="s">
        <v>1082</v>
      </c>
      <c r="G850" s="6">
        <v>579</v>
      </c>
      <c r="H850" s="6" t="s">
        <v>94</v>
      </c>
      <c r="I850" s="6" t="s">
        <v>4344</v>
      </c>
      <c r="J850" s="6" t="s">
        <v>3627</v>
      </c>
      <c r="K850" s="6" t="s">
        <v>3331</v>
      </c>
      <c r="L850" s="6">
        <v>51922459</v>
      </c>
      <c r="M850" s="6" t="s">
        <v>79</v>
      </c>
      <c r="N850" s="6" t="s">
        <v>1117</v>
      </c>
      <c r="O850" s="6" t="s">
        <v>21</v>
      </c>
      <c r="P850" s="6" t="s">
        <v>21</v>
      </c>
      <c r="Q850" s="6" t="s">
        <v>3332</v>
      </c>
      <c r="R850" s="8" t="s">
        <v>1808</v>
      </c>
      <c r="S850" s="6"/>
    </row>
    <row r="851" spans="1:19" ht="25.5" x14ac:dyDescent="0.25">
      <c r="A851" s="5" t="s">
        <v>3872</v>
      </c>
      <c r="B851" s="5">
        <v>850</v>
      </c>
      <c r="C851" s="6" t="s">
        <v>2643</v>
      </c>
      <c r="D851" s="6" t="s">
        <v>4142</v>
      </c>
      <c r="E851" s="6">
        <v>54</v>
      </c>
      <c r="F851" s="6" t="s">
        <v>1082</v>
      </c>
      <c r="G851" s="6">
        <v>579</v>
      </c>
      <c r="H851" s="6" t="s">
        <v>94</v>
      </c>
      <c r="I851" s="6" t="s">
        <v>4345</v>
      </c>
      <c r="J851" s="6" t="s">
        <v>4346</v>
      </c>
      <c r="K851" s="6" t="s">
        <v>3331</v>
      </c>
      <c r="L851" s="6">
        <v>52097724</v>
      </c>
      <c r="M851" s="6" t="s">
        <v>79</v>
      </c>
      <c r="N851" s="6" t="s">
        <v>1117</v>
      </c>
      <c r="O851" s="6" t="s">
        <v>21</v>
      </c>
      <c r="P851" s="6" t="s">
        <v>21</v>
      </c>
      <c r="Q851" s="6" t="s">
        <v>3332</v>
      </c>
      <c r="R851" s="8" t="s">
        <v>1808</v>
      </c>
      <c r="S851" s="6"/>
    </row>
    <row r="852" spans="1:19" ht="25.5" x14ac:dyDescent="0.25">
      <c r="A852" s="5" t="s">
        <v>3872</v>
      </c>
      <c r="B852" s="5">
        <v>851</v>
      </c>
      <c r="C852" s="6" t="s">
        <v>2644</v>
      </c>
      <c r="D852" s="6" t="s">
        <v>4142</v>
      </c>
      <c r="E852" s="6">
        <v>54</v>
      </c>
      <c r="F852" s="6" t="s">
        <v>1082</v>
      </c>
      <c r="G852" s="6">
        <v>579</v>
      </c>
      <c r="H852" s="6" t="s">
        <v>94</v>
      </c>
      <c r="I852" s="6" t="s">
        <v>4347</v>
      </c>
      <c r="J852" s="6" t="s">
        <v>4348</v>
      </c>
      <c r="K852" s="6" t="s">
        <v>3331</v>
      </c>
      <c r="L852" s="6">
        <v>51893488</v>
      </c>
      <c r="M852" s="6" t="s">
        <v>79</v>
      </c>
      <c r="N852" s="6" t="s">
        <v>1117</v>
      </c>
      <c r="O852" s="6" t="s">
        <v>21</v>
      </c>
      <c r="P852" s="6" t="s">
        <v>21</v>
      </c>
      <c r="Q852" s="6" t="s">
        <v>3332</v>
      </c>
      <c r="R852" s="8" t="s">
        <v>1808</v>
      </c>
      <c r="S852" s="6"/>
    </row>
    <row r="853" spans="1:19" ht="25.5" x14ac:dyDescent="0.25">
      <c r="A853" s="5" t="s">
        <v>3872</v>
      </c>
      <c r="B853" s="5">
        <v>852</v>
      </c>
      <c r="C853" s="6" t="s">
        <v>2645</v>
      </c>
      <c r="D853" s="6" t="s">
        <v>4142</v>
      </c>
      <c r="E853" s="6">
        <v>83</v>
      </c>
      <c r="F853" s="6" t="s">
        <v>1084</v>
      </c>
      <c r="G853" s="6">
        <v>636</v>
      </c>
      <c r="H853" s="6" t="s">
        <v>333</v>
      </c>
      <c r="I853" s="6" t="s">
        <v>4349</v>
      </c>
      <c r="J853" s="6" t="s">
        <v>4350</v>
      </c>
      <c r="K853" s="6" t="s">
        <v>3331</v>
      </c>
      <c r="L853" s="6">
        <v>8244410</v>
      </c>
      <c r="M853" s="6" t="s">
        <v>79</v>
      </c>
      <c r="N853" s="6" t="s">
        <v>1120</v>
      </c>
      <c r="O853" s="6" t="s">
        <v>21</v>
      </c>
      <c r="P853" s="6" t="s">
        <v>21</v>
      </c>
      <c r="Q853" s="6" t="s">
        <v>3332</v>
      </c>
      <c r="R853" s="8" t="s">
        <v>1808</v>
      </c>
      <c r="S853" s="6"/>
    </row>
    <row r="854" spans="1:19" ht="25.5" x14ac:dyDescent="0.25">
      <c r="A854" s="5" t="s">
        <v>3872</v>
      </c>
      <c r="B854" s="5">
        <v>853</v>
      </c>
      <c r="C854" s="6" t="s">
        <v>2646</v>
      </c>
      <c r="D854" s="6" t="s">
        <v>4142</v>
      </c>
      <c r="E854" s="6">
        <v>5</v>
      </c>
      <c r="F854" s="6" t="s">
        <v>617</v>
      </c>
      <c r="G854" s="6">
        <v>1150</v>
      </c>
      <c r="H854" s="6" t="s">
        <v>618</v>
      </c>
      <c r="I854" s="6" t="s">
        <v>4351</v>
      </c>
      <c r="J854" s="6" t="s">
        <v>4352</v>
      </c>
      <c r="K854" s="6" t="s">
        <v>3331</v>
      </c>
      <c r="L854" s="6">
        <v>51824393</v>
      </c>
      <c r="M854" s="6" t="s">
        <v>79</v>
      </c>
      <c r="N854" s="6" t="s">
        <v>1117</v>
      </c>
      <c r="O854" s="6" t="s">
        <v>21</v>
      </c>
      <c r="P854" s="6" t="s">
        <v>21</v>
      </c>
      <c r="Q854" s="6" t="s">
        <v>3332</v>
      </c>
      <c r="R854" s="8" t="s">
        <v>1808</v>
      </c>
      <c r="S854" s="6"/>
    </row>
    <row r="855" spans="1:19" ht="25.5" x14ac:dyDescent="0.25">
      <c r="A855" s="5" t="s">
        <v>3872</v>
      </c>
      <c r="B855" s="5">
        <v>854</v>
      </c>
      <c r="C855" s="6" t="s">
        <v>2647</v>
      </c>
      <c r="D855" s="6" t="s">
        <v>4142</v>
      </c>
      <c r="E855" s="6">
        <v>39</v>
      </c>
      <c r="F855" s="6" t="s">
        <v>1094</v>
      </c>
      <c r="G855" s="6">
        <v>1225</v>
      </c>
      <c r="H855" s="6" t="s">
        <v>349</v>
      </c>
      <c r="I855" s="6" t="s">
        <v>4353</v>
      </c>
      <c r="J855" s="6" t="s">
        <v>4354</v>
      </c>
      <c r="K855" s="6" t="s">
        <v>3331</v>
      </c>
      <c r="L855" s="6">
        <v>20476369</v>
      </c>
      <c r="M855" s="6" t="s">
        <v>79</v>
      </c>
      <c r="N855" s="6" t="s">
        <v>1121</v>
      </c>
      <c r="O855" s="6" t="s">
        <v>21</v>
      </c>
      <c r="P855" s="6" t="s">
        <v>21</v>
      </c>
      <c r="Q855" s="6" t="s">
        <v>3332</v>
      </c>
      <c r="R855" s="8" t="s">
        <v>1808</v>
      </c>
      <c r="S855" s="6"/>
    </row>
    <row r="856" spans="1:19" ht="25.5" x14ac:dyDescent="0.25">
      <c r="A856" s="5" t="s">
        <v>3872</v>
      </c>
      <c r="B856" s="5">
        <v>855</v>
      </c>
      <c r="C856" s="6" t="s">
        <v>2648</v>
      </c>
      <c r="D856" s="6" t="s">
        <v>4142</v>
      </c>
      <c r="E856" s="6">
        <v>72</v>
      </c>
      <c r="F856" s="6" t="s">
        <v>1122</v>
      </c>
      <c r="G856" s="6">
        <v>1329</v>
      </c>
      <c r="H856" s="6" t="s">
        <v>622</v>
      </c>
      <c r="I856" s="6" t="s">
        <v>4355</v>
      </c>
      <c r="J856" s="6" t="s">
        <v>4356</v>
      </c>
      <c r="K856" s="6" t="s">
        <v>3331</v>
      </c>
      <c r="L856" s="6">
        <v>37250229</v>
      </c>
      <c r="M856" s="6" t="s">
        <v>79</v>
      </c>
      <c r="N856" s="6" t="s">
        <v>1117</v>
      </c>
      <c r="O856" s="6" t="s">
        <v>21</v>
      </c>
      <c r="P856" s="6" t="s">
        <v>21</v>
      </c>
      <c r="Q856" s="6" t="s">
        <v>3332</v>
      </c>
      <c r="R856" s="8" t="s">
        <v>1808</v>
      </c>
      <c r="S856" s="6"/>
    </row>
    <row r="857" spans="1:19" ht="25.5" x14ac:dyDescent="0.25">
      <c r="A857" s="5" t="s">
        <v>3872</v>
      </c>
      <c r="B857" s="5">
        <v>856</v>
      </c>
      <c r="C857" s="6" t="s">
        <v>2650</v>
      </c>
      <c r="D857" s="6" t="s">
        <v>4142</v>
      </c>
      <c r="E857" s="6">
        <v>81</v>
      </c>
      <c r="F857" s="6" t="s">
        <v>1074</v>
      </c>
      <c r="G857" s="6">
        <v>29</v>
      </c>
      <c r="H857" s="6" t="s">
        <v>40</v>
      </c>
      <c r="I857" s="6" t="s">
        <v>4357</v>
      </c>
      <c r="J857" s="6" t="s">
        <v>3694</v>
      </c>
      <c r="K857" s="6" t="s">
        <v>3331</v>
      </c>
      <c r="L857" s="6">
        <v>51734202</v>
      </c>
      <c r="M857" s="6" t="s">
        <v>1124</v>
      </c>
      <c r="N857" s="6" t="s">
        <v>1125</v>
      </c>
      <c r="O857" s="6" t="s">
        <v>21</v>
      </c>
      <c r="P857" s="6" t="s">
        <v>21</v>
      </c>
      <c r="Q857" s="6" t="s">
        <v>3332</v>
      </c>
      <c r="R857" s="8" t="s">
        <v>1808</v>
      </c>
      <c r="S857" s="6"/>
    </row>
    <row r="858" spans="1:19" ht="25.5" x14ac:dyDescent="0.25">
      <c r="A858" s="5" t="s">
        <v>3872</v>
      </c>
      <c r="B858" s="5">
        <v>857</v>
      </c>
      <c r="C858" s="6" t="s">
        <v>2651</v>
      </c>
      <c r="D858" s="6" t="s">
        <v>4142</v>
      </c>
      <c r="E858" s="6">
        <v>40</v>
      </c>
      <c r="F858" s="6" t="s">
        <v>1082</v>
      </c>
      <c r="G858" s="6">
        <v>579</v>
      </c>
      <c r="H858" s="6" t="s">
        <v>94</v>
      </c>
      <c r="I858" s="6" t="s">
        <v>4358</v>
      </c>
      <c r="J858" s="6" t="s">
        <v>4359</v>
      </c>
      <c r="K858" s="6" t="s">
        <v>3331</v>
      </c>
      <c r="L858" s="6">
        <v>79057428</v>
      </c>
      <c r="M858" s="6" t="s">
        <v>1126</v>
      </c>
      <c r="N858" s="6" t="s">
        <v>1127</v>
      </c>
      <c r="O858" s="6" t="s">
        <v>21</v>
      </c>
      <c r="P858" s="6" t="s">
        <v>21</v>
      </c>
      <c r="Q858" s="6" t="s">
        <v>3332</v>
      </c>
      <c r="R858" s="8" t="s">
        <v>1808</v>
      </c>
      <c r="S858" s="6"/>
    </row>
    <row r="859" spans="1:19" ht="25.5" x14ac:dyDescent="0.25">
      <c r="A859" s="5" t="s">
        <v>3872</v>
      </c>
      <c r="B859" s="5">
        <v>858</v>
      </c>
      <c r="C859" s="6" t="s">
        <v>2652</v>
      </c>
      <c r="D859" s="6" t="s">
        <v>4142</v>
      </c>
      <c r="E859" s="6">
        <v>130</v>
      </c>
      <c r="F859" s="6" t="s">
        <v>1128</v>
      </c>
      <c r="G859" s="6">
        <v>871</v>
      </c>
      <c r="H859" s="6" t="s">
        <v>346</v>
      </c>
      <c r="I859" s="6" t="s">
        <v>4358</v>
      </c>
      <c r="J859" s="6" t="s">
        <v>4360</v>
      </c>
      <c r="K859" s="6" t="s">
        <v>3331</v>
      </c>
      <c r="L859" s="6">
        <v>79556255</v>
      </c>
      <c r="M859" s="6" t="s">
        <v>1126</v>
      </c>
      <c r="N859" s="6" t="s">
        <v>1127</v>
      </c>
      <c r="O859" s="6" t="s">
        <v>21</v>
      </c>
      <c r="P859" s="6" t="s">
        <v>21</v>
      </c>
      <c r="Q859" s="6" t="s">
        <v>3332</v>
      </c>
      <c r="R859" s="8" t="s">
        <v>1808</v>
      </c>
      <c r="S859" s="6"/>
    </row>
    <row r="860" spans="1:19" ht="25.5" x14ac:dyDescent="0.25">
      <c r="A860" s="5" t="s">
        <v>3872</v>
      </c>
      <c r="B860" s="5">
        <v>859</v>
      </c>
      <c r="C860" s="6" t="s">
        <v>2653</v>
      </c>
      <c r="D860" s="6" t="s">
        <v>4142</v>
      </c>
      <c r="E860" s="6">
        <v>130</v>
      </c>
      <c r="F860" s="6" t="s">
        <v>1128</v>
      </c>
      <c r="G860" s="6">
        <v>871</v>
      </c>
      <c r="H860" s="6" t="s">
        <v>346</v>
      </c>
      <c r="I860" s="6" t="s">
        <v>4361</v>
      </c>
      <c r="J860" s="6" t="s">
        <v>4362</v>
      </c>
      <c r="K860" s="6" t="s">
        <v>3331</v>
      </c>
      <c r="L860" s="6">
        <v>19279542</v>
      </c>
      <c r="M860" s="6" t="s">
        <v>1126</v>
      </c>
      <c r="N860" s="6" t="s">
        <v>1127</v>
      </c>
      <c r="O860" s="6" t="s">
        <v>21</v>
      </c>
      <c r="P860" s="6" t="s">
        <v>21</v>
      </c>
      <c r="Q860" s="6" t="s">
        <v>3332</v>
      </c>
      <c r="R860" s="8" t="s">
        <v>1808</v>
      </c>
      <c r="S860" s="6"/>
    </row>
    <row r="861" spans="1:19" ht="25.5" x14ac:dyDescent="0.25">
      <c r="A861" s="5" t="s">
        <v>3872</v>
      </c>
      <c r="B861" s="5">
        <v>860</v>
      </c>
      <c r="C861" s="6" t="s">
        <v>2654</v>
      </c>
      <c r="D861" s="6" t="s">
        <v>4142</v>
      </c>
      <c r="E861" s="6">
        <v>47</v>
      </c>
      <c r="F861" s="6" t="s">
        <v>1088</v>
      </c>
      <c r="G861" s="6">
        <v>893</v>
      </c>
      <c r="H861" s="6" t="s">
        <v>787</v>
      </c>
      <c r="I861" s="6" t="s">
        <v>4363</v>
      </c>
      <c r="J861" s="6" t="s">
        <v>4364</v>
      </c>
      <c r="K861" s="6" t="s">
        <v>3331</v>
      </c>
      <c r="L861" s="6">
        <v>79054780</v>
      </c>
      <c r="M861" s="6" t="s">
        <v>1126</v>
      </c>
      <c r="N861" s="6" t="s">
        <v>1127</v>
      </c>
      <c r="O861" s="6" t="s">
        <v>21</v>
      </c>
      <c r="P861" s="6" t="s">
        <v>21</v>
      </c>
      <c r="Q861" s="6" t="s">
        <v>3332</v>
      </c>
      <c r="R861" s="8" t="s">
        <v>1808</v>
      </c>
      <c r="S861" s="6"/>
    </row>
    <row r="862" spans="1:19" ht="25.5" x14ac:dyDescent="0.25">
      <c r="A862" s="5" t="s">
        <v>3872</v>
      </c>
      <c r="B862" s="5">
        <v>861</v>
      </c>
      <c r="C862" s="6" t="s">
        <v>2656</v>
      </c>
      <c r="D862" s="6" t="s">
        <v>4142</v>
      </c>
      <c r="E862" s="6">
        <v>52</v>
      </c>
      <c r="F862" s="6" t="s">
        <v>1131</v>
      </c>
      <c r="G862" s="6">
        <v>924</v>
      </c>
      <c r="H862" s="6" t="s">
        <v>330</v>
      </c>
      <c r="I862" s="6" t="s">
        <v>4365</v>
      </c>
      <c r="J862" s="6" t="s">
        <v>4366</v>
      </c>
      <c r="K862" s="6" t="s">
        <v>3331</v>
      </c>
      <c r="L862" s="6">
        <v>79328622</v>
      </c>
      <c r="M862" s="6" t="s">
        <v>1126</v>
      </c>
      <c r="N862" s="6" t="s">
        <v>1127</v>
      </c>
      <c r="O862" s="6" t="s">
        <v>21</v>
      </c>
      <c r="P862" s="6" t="s">
        <v>21</v>
      </c>
      <c r="Q862" s="6" t="s">
        <v>3332</v>
      </c>
      <c r="R862" s="8" t="s">
        <v>1808</v>
      </c>
      <c r="S862" s="6"/>
    </row>
    <row r="863" spans="1:19" ht="25.5" x14ac:dyDescent="0.25">
      <c r="A863" s="5" t="s">
        <v>3872</v>
      </c>
      <c r="B863" s="5">
        <v>862</v>
      </c>
      <c r="C863" s="6" t="s">
        <v>2657</v>
      </c>
      <c r="D863" s="6" t="s">
        <v>4142</v>
      </c>
      <c r="E863" s="6">
        <v>84</v>
      </c>
      <c r="F863" s="6" t="s">
        <v>1089</v>
      </c>
      <c r="G863" s="6">
        <v>1032</v>
      </c>
      <c r="H863" s="6" t="s">
        <v>1090</v>
      </c>
      <c r="I863" s="6" t="s">
        <v>4367</v>
      </c>
      <c r="J863" s="6" t="s">
        <v>4368</v>
      </c>
      <c r="K863" s="6" t="s">
        <v>3331</v>
      </c>
      <c r="L863" s="6">
        <v>79579269</v>
      </c>
      <c r="M863" s="6" t="s">
        <v>1126</v>
      </c>
      <c r="N863" s="6" t="s">
        <v>1127</v>
      </c>
      <c r="O863" s="6" t="s">
        <v>21</v>
      </c>
      <c r="P863" s="6" t="s">
        <v>21</v>
      </c>
      <c r="Q863" s="6" t="s">
        <v>3332</v>
      </c>
      <c r="R863" s="8" t="s">
        <v>1808</v>
      </c>
      <c r="S863" s="6"/>
    </row>
    <row r="864" spans="1:19" ht="25.5" x14ac:dyDescent="0.25">
      <c r="A864" s="5" t="s">
        <v>3872</v>
      </c>
      <c r="B864" s="5">
        <v>863</v>
      </c>
      <c r="C864" s="6" t="s">
        <v>2658</v>
      </c>
      <c r="D864" s="6" t="s">
        <v>4142</v>
      </c>
      <c r="E864" s="6">
        <v>109</v>
      </c>
      <c r="F864" s="6" t="s">
        <v>1091</v>
      </c>
      <c r="G864" s="6">
        <v>1097</v>
      </c>
      <c r="H864" s="6" t="s">
        <v>119</v>
      </c>
      <c r="I864" s="6" t="s">
        <v>4369</v>
      </c>
      <c r="J864" s="6" t="s">
        <v>4370</v>
      </c>
      <c r="K864" s="6" t="s">
        <v>3331</v>
      </c>
      <c r="L864" s="6">
        <v>79471888</v>
      </c>
      <c r="M864" s="6" t="s">
        <v>1126</v>
      </c>
      <c r="N864" s="6" t="s">
        <v>1127</v>
      </c>
      <c r="O864" s="6" t="s">
        <v>21</v>
      </c>
      <c r="P864" s="6" t="s">
        <v>21</v>
      </c>
      <c r="Q864" s="6" t="s">
        <v>3332</v>
      </c>
      <c r="R864" s="8" t="s">
        <v>1808</v>
      </c>
      <c r="S864" s="6"/>
    </row>
    <row r="865" spans="1:19" ht="25.5" x14ac:dyDescent="0.25">
      <c r="A865" s="5" t="s">
        <v>3872</v>
      </c>
      <c r="B865" s="5">
        <v>864</v>
      </c>
      <c r="C865" s="6" t="s">
        <v>2659</v>
      </c>
      <c r="D865" s="6" t="s">
        <v>4142</v>
      </c>
      <c r="E865" s="6">
        <v>5</v>
      </c>
      <c r="F865" s="6" t="s">
        <v>617</v>
      </c>
      <c r="G865" s="6">
        <v>1150</v>
      </c>
      <c r="H865" s="6" t="s">
        <v>618</v>
      </c>
      <c r="I865" s="6" t="s">
        <v>4371</v>
      </c>
      <c r="J865" s="6" t="s">
        <v>4372</v>
      </c>
      <c r="K865" s="6" t="s">
        <v>3331</v>
      </c>
      <c r="L865" s="6">
        <v>52190890</v>
      </c>
      <c r="M865" s="6" t="s">
        <v>1126</v>
      </c>
      <c r="N865" s="6" t="s">
        <v>1127</v>
      </c>
      <c r="O865" s="6" t="s">
        <v>21</v>
      </c>
      <c r="P865" s="6" t="s">
        <v>21</v>
      </c>
      <c r="Q865" s="6" t="s">
        <v>3332</v>
      </c>
      <c r="R865" s="8" t="s">
        <v>1808</v>
      </c>
      <c r="S865" s="6"/>
    </row>
    <row r="866" spans="1:19" ht="25.5" x14ac:dyDescent="0.25">
      <c r="A866" s="5" t="s">
        <v>3872</v>
      </c>
      <c r="B866" s="5">
        <v>865</v>
      </c>
      <c r="C866" s="6" t="s">
        <v>2660</v>
      </c>
      <c r="D866" s="6" t="s">
        <v>4142</v>
      </c>
      <c r="E866" s="6">
        <v>40</v>
      </c>
      <c r="F866" s="6" t="s">
        <v>1082</v>
      </c>
      <c r="G866" s="6">
        <v>579</v>
      </c>
      <c r="H866" s="6" t="s">
        <v>94</v>
      </c>
      <c r="I866" s="6" t="s">
        <v>4373</v>
      </c>
      <c r="J866" s="6" t="s">
        <v>4374</v>
      </c>
      <c r="K866" s="6" t="s">
        <v>3331</v>
      </c>
      <c r="L866" s="6">
        <v>51552589</v>
      </c>
      <c r="M866" s="6" t="s">
        <v>1133</v>
      </c>
      <c r="N866" s="6" t="s">
        <v>1106</v>
      </c>
      <c r="O866" s="6" t="s">
        <v>21</v>
      </c>
      <c r="P866" s="6" t="s">
        <v>21</v>
      </c>
      <c r="Q866" s="6" t="s">
        <v>3332</v>
      </c>
      <c r="R866" s="8" t="s">
        <v>1808</v>
      </c>
      <c r="S866" s="6"/>
    </row>
    <row r="867" spans="1:19" ht="25.5" x14ac:dyDescent="0.25">
      <c r="A867" s="5" t="s">
        <v>3872</v>
      </c>
      <c r="B867" s="5">
        <v>866</v>
      </c>
      <c r="C867" s="6" t="s">
        <v>2664</v>
      </c>
      <c r="D867" s="6" t="s">
        <v>4142</v>
      </c>
      <c r="E867" s="6">
        <v>25</v>
      </c>
      <c r="F867" s="6" t="s">
        <v>1136</v>
      </c>
      <c r="G867" s="6">
        <v>509</v>
      </c>
      <c r="H867" s="6" t="s">
        <v>1137</v>
      </c>
      <c r="I867" s="6" t="s">
        <v>4375</v>
      </c>
      <c r="J867" s="6" t="s">
        <v>4376</v>
      </c>
      <c r="K867" s="6" t="s">
        <v>3331</v>
      </c>
      <c r="L867" s="6">
        <v>39739803</v>
      </c>
      <c r="M867" s="6" t="s">
        <v>50</v>
      </c>
      <c r="N867" s="6" t="s">
        <v>1117</v>
      </c>
      <c r="O867" s="6" t="s">
        <v>21</v>
      </c>
      <c r="P867" s="6" t="s">
        <v>21</v>
      </c>
      <c r="Q867" s="6" t="s">
        <v>3332</v>
      </c>
      <c r="R867" s="8" t="s">
        <v>1808</v>
      </c>
      <c r="S867" s="6"/>
    </row>
    <row r="868" spans="1:19" ht="25.5" x14ac:dyDescent="0.25">
      <c r="A868" s="5" t="s">
        <v>3872</v>
      </c>
      <c r="B868" s="5">
        <v>867</v>
      </c>
      <c r="C868" s="6" t="s">
        <v>2665</v>
      </c>
      <c r="D868" s="6" t="s">
        <v>4142</v>
      </c>
      <c r="E868" s="6">
        <v>112</v>
      </c>
      <c r="F868" s="6" t="s">
        <v>1138</v>
      </c>
      <c r="G868" s="6">
        <v>705</v>
      </c>
      <c r="H868" s="6" t="s">
        <v>1139</v>
      </c>
      <c r="I868" s="6" t="s">
        <v>4377</v>
      </c>
      <c r="J868" s="6" t="s">
        <v>4378</v>
      </c>
      <c r="K868" s="6" t="s">
        <v>3331</v>
      </c>
      <c r="L868" s="6">
        <v>52080396</v>
      </c>
      <c r="M868" s="6" t="s">
        <v>50</v>
      </c>
      <c r="N868" s="6" t="s">
        <v>1117</v>
      </c>
      <c r="O868" s="6" t="s">
        <v>21</v>
      </c>
      <c r="P868" s="6" t="s">
        <v>21</v>
      </c>
      <c r="Q868" s="6" t="s">
        <v>3332</v>
      </c>
      <c r="R868" s="8" t="s">
        <v>1808</v>
      </c>
      <c r="S868" s="6"/>
    </row>
    <row r="869" spans="1:19" ht="25.5" x14ac:dyDescent="0.25">
      <c r="A869" s="5" t="s">
        <v>3872</v>
      </c>
      <c r="B869" s="5">
        <v>868</v>
      </c>
      <c r="C869" s="6" t="s">
        <v>2666</v>
      </c>
      <c r="D869" s="6" t="s">
        <v>4142</v>
      </c>
      <c r="E869" s="6">
        <v>112</v>
      </c>
      <c r="F869" s="6" t="s">
        <v>1138</v>
      </c>
      <c r="G869" s="6">
        <v>705</v>
      </c>
      <c r="H869" s="6" t="s">
        <v>1139</v>
      </c>
      <c r="I869" s="6" t="s">
        <v>4379</v>
      </c>
      <c r="J869" s="6" t="s">
        <v>4380</v>
      </c>
      <c r="K869" s="6" t="s">
        <v>3331</v>
      </c>
      <c r="L869" s="6">
        <v>52023803</v>
      </c>
      <c r="M869" s="6" t="s">
        <v>50</v>
      </c>
      <c r="N869" s="6" t="s">
        <v>1117</v>
      </c>
      <c r="O869" s="6" t="s">
        <v>21</v>
      </c>
      <c r="P869" s="6" t="s">
        <v>21</v>
      </c>
      <c r="Q869" s="6" t="s">
        <v>3332</v>
      </c>
      <c r="R869" s="8" t="s">
        <v>1808</v>
      </c>
      <c r="S869" s="6"/>
    </row>
    <row r="870" spans="1:19" ht="25.5" x14ac:dyDescent="0.25">
      <c r="A870" s="5" t="s">
        <v>3872</v>
      </c>
      <c r="B870" s="5">
        <v>869</v>
      </c>
      <c r="C870" s="6" t="s">
        <v>2667</v>
      </c>
      <c r="D870" s="6" t="s">
        <v>4142</v>
      </c>
      <c r="E870" s="6">
        <v>112</v>
      </c>
      <c r="F870" s="6" t="s">
        <v>1138</v>
      </c>
      <c r="G870" s="6">
        <v>705</v>
      </c>
      <c r="H870" s="6" t="s">
        <v>1139</v>
      </c>
      <c r="I870" s="6" t="s">
        <v>4381</v>
      </c>
      <c r="J870" s="6" t="s">
        <v>4382</v>
      </c>
      <c r="K870" s="6" t="s">
        <v>3331</v>
      </c>
      <c r="L870" s="6">
        <v>40398824</v>
      </c>
      <c r="M870" s="6" t="s">
        <v>50</v>
      </c>
      <c r="N870" s="6" t="s">
        <v>1117</v>
      </c>
      <c r="O870" s="6" t="s">
        <v>21</v>
      </c>
      <c r="P870" s="6" t="s">
        <v>21</v>
      </c>
      <c r="Q870" s="6" t="s">
        <v>3332</v>
      </c>
      <c r="R870" s="8" t="s">
        <v>1808</v>
      </c>
      <c r="S870" s="6"/>
    </row>
    <row r="871" spans="1:19" ht="25.5" x14ac:dyDescent="0.25">
      <c r="A871" s="5" t="s">
        <v>3872</v>
      </c>
      <c r="B871" s="5">
        <v>870</v>
      </c>
      <c r="C871" s="6" t="s">
        <v>2668</v>
      </c>
      <c r="D871" s="6" t="s">
        <v>4142</v>
      </c>
      <c r="E871" s="6">
        <v>112</v>
      </c>
      <c r="F871" s="6" t="s">
        <v>1138</v>
      </c>
      <c r="G871" s="6">
        <v>705</v>
      </c>
      <c r="H871" s="6" t="s">
        <v>1139</v>
      </c>
      <c r="I871" s="6" t="s">
        <v>4383</v>
      </c>
      <c r="J871" s="6" t="s">
        <v>4384</v>
      </c>
      <c r="K871" s="6" t="s">
        <v>3331</v>
      </c>
      <c r="L871" s="6">
        <v>51905036</v>
      </c>
      <c r="M871" s="6" t="s">
        <v>50</v>
      </c>
      <c r="N871" s="6" t="s">
        <v>1117</v>
      </c>
      <c r="O871" s="6" t="s">
        <v>21</v>
      </c>
      <c r="P871" s="6" t="s">
        <v>21</v>
      </c>
      <c r="Q871" s="6" t="s">
        <v>3332</v>
      </c>
      <c r="R871" s="8" t="s">
        <v>1808</v>
      </c>
      <c r="S871" s="6"/>
    </row>
    <row r="872" spans="1:19" ht="25.5" x14ac:dyDescent="0.25">
      <c r="A872" s="5" t="s">
        <v>3872</v>
      </c>
      <c r="B872" s="5">
        <v>871</v>
      </c>
      <c r="C872" s="6" t="s">
        <v>2669</v>
      </c>
      <c r="D872" s="6" t="s">
        <v>4142</v>
      </c>
      <c r="E872" s="6">
        <v>130</v>
      </c>
      <c r="F872" s="6" t="s">
        <v>1128</v>
      </c>
      <c r="G872" s="6">
        <v>753</v>
      </c>
      <c r="H872" s="6" t="s">
        <v>1140</v>
      </c>
      <c r="I872" s="6" t="s">
        <v>4385</v>
      </c>
      <c r="J872" s="6" t="s">
        <v>4386</v>
      </c>
      <c r="K872" s="6" t="s">
        <v>3331</v>
      </c>
      <c r="L872" s="6">
        <v>51824739</v>
      </c>
      <c r="M872" s="6" t="s">
        <v>50</v>
      </c>
      <c r="N872" s="6" t="s">
        <v>1117</v>
      </c>
      <c r="O872" s="6" t="s">
        <v>21</v>
      </c>
      <c r="P872" s="6" t="s">
        <v>21</v>
      </c>
      <c r="Q872" s="6" t="s">
        <v>3332</v>
      </c>
      <c r="R872" s="8" t="s">
        <v>1808</v>
      </c>
      <c r="S872" s="6"/>
    </row>
    <row r="873" spans="1:19" ht="25.5" x14ac:dyDescent="0.25">
      <c r="A873" s="5" t="s">
        <v>3872</v>
      </c>
      <c r="B873" s="5">
        <v>872</v>
      </c>
      <c r="C873" s="6" t="s">
        <v>2670</v>
      </c>
      <c r="D873" s="6" t="s">
        <v>4142</v>
      </c>
      <c r="E873" s="6">
        <v>130</v>
      </c>
      <c r="F873" s="6" t="s">
        <v>1128</v>
      </c>
      <c r="G873" s="6">
        <v>753</v>
      </c>
      <c r="H873" s="6" t="s">
        <v>1140</v>
      </c>
      <c r="I873" s="6" t="s">
        <v>4387</v>
      </c>
      <c r="J873" s="6" t="s">
        <v>4388</v>
      </c>
      <c r="K873" s="6" t="s">
        <v>3331</v>
      </c>
      <c r="L873" s="6">
        <v>20897202</v>
      </c>
      <c r="M873" s="6" t="s">
        <v>50</v>
      </c>
      <c r="N873" s="6" t="s">
        <v>1117</v>
      </c>
      <c r="O873" s="6" t="s">
        <v>21</v>
      </c>
      <c r="P873" s="6" t="s">
        <v>21</v>
      </c>
      <c r="Q873" s="6" t="s">
        <v>3332</v>
      </c>
      <c r="R873" s="8" t="s">
        <v>1808</v>
      </c>
      <c r="S873" s="6"/>
    </row>
    <row r="874" spans="1:19" ht="25.5" x14ac:dyDescent="0.25">
      <c r="A874" s="5" t="s">
        <v>3872</v>
      </c>
      <c r="B874" s="5">
        <v>873</v>
      </c>
      <c r="C874" s="6" t="s">
        <v>2671</v>
      </c>
      <c r="D874" s="6" t="s">
        <v>4142</v>
      </c>
      <c r="E874" s="6">
        <v>130</v>
      </c>
      <c r="F874" s="6" t="s">
        <v>1128</v>
      </c>
      <c r="G874" s="6">
        <v>753</v>
      </c>
      <c r="H874" s="6" t="s">
        <v>1140</v>
      </c>
      <c r="I874" s="6" t="s">
        <v>4389</v>
      </c>
      <c r="J874" s="6" t="s">
        <v>3824</v>
      </c>
      <c r="K874" s="6" t="s">
        <v>3331</v>
      </c>
      <c r="L874" s="6">
        <v>52071110</v>
      </c>
      <c r="M874" s="6" t="s">
        <v>50</v>
      </c>
      <c r="N874" s="6" t="s">
        <v>1117</v>
      </c>
      <c r="O874" s="6" t="s">
        <v>21</v>
      </c>
      <c r="P874" s="6" t="s">
        <v>21</v>
      </c>
      <c r="Q874" s="6" t="s">
        <v>3332</v>
      </c>
      <c r="R874" s="8" t="s">
        <v>1808</v>
      </c>
      <c r="S874" s="6"/>
    </row>
    <row r="875" spans="1:19" ht="25.5" x14ac:dyDescent="0.25">
      <c r="A875" s="5" t="s">
        <v>3872</v>
      </c>
      <c r="B875" s="5">
        <v>874</v>
      </c>
      <c r="C875" s="6" t="s">
        <v>2672</v>
      </c>
      <c r="D875" s="6" t="s">
        <v>4142</v>
      </c>
      <c r="E875" s="6">
        <v>4</v>
      </c>
      <c r="F875" s="6" t="s">
        <v>1085</v>
      </c>
      <c r="G875" s="6">
        <v>819</v>
      </c>
      <c r="H875" s="6" t="s">
        <v>779</v>
      </c>
      <c r="I875" s="6" t="s">
        <v>4390</v>
      </c>
      <c r="J875" s="6" t="s">
        <v>4237</v>
      </c>
      <c r="K875" s="6" t="s">
        <v>3331</v>
      </c>
      <c r="L875" s="6">
        <v>51977790</v>
      </c>
      <c r="M875" s="6" t="s">
        <v>50</v>
      </c>
      <c r="N875" s="6" t="s">
        <v>1117</v>
      </c>
      <c r="O875" s="6" t="s">
        <v>21</v>
      </c>
      <c r="P875" s="6" t="s">
        <v>21</v>
      </c>
      <c r="Q875" s="6" t="s">
        <v>3332</v>
      </c>
      <c r="R875" s="8" t="s">
        <v>1808</v>
      </c>
      <c r="S875" s="6"/>
    </row>
    <row r="876" spans="1:19" ht="25.5" x14ac:dyDescent="0.25">
      <c r="A876" s="5" t="s">
        <v>3872</v>
      </c>
      <c r="B876" s="5">
        <v>875</v>
      </c>
      <c r="C876" s="6" t="s">
        <v>2673</v>
      </c>
      <c r="D876" s="6" t="s">
        <v>4142</v>
      </c>
      <c r="E876" s="6">
        <v>4</v>
      </c>
      <c r="F876" s="6" t="s">
        <v>1085</v>
      </c>
      <c r="G876" s="6">
        <v>819</v>
      </c>
      <c r="H876" s="6" t="s">
        <v>779</v>
      </c>
      <c r="I876" s="6" t="s">
        <v>4391</v>
      </c>
      <c r="J876" s="6" t="s">
        <v>4392</v>
      </c>
      <c r="K876" s="6" t="s">
        <v>3331</v>
      </c>
      <c r="L876" s="6">
        <v>52320039</v>
      </c>
      <c r="M876" s="6" t="s">
        <v>50</v>
      </c>
      <c r="N876" s="6" t="s">
        <v>1117</v>
      </c>
      <c r="O876" s="6" t="s">
        <v>21</v>
      </c>
      <c r="P876" s="6" t="s">
        <v>21</v>
      </c>
      <c r="Q876" s="6" t="s">
        <v>3332</v>
      </c>
      <c r="R876" s="8" t="s">
        <v>1808</v>
      </c>
      <c r="S876" s="6"/>
    </row>
    <row r="877" spans="1:19" ht="25.5" x14ac:dyDescent="0.25">
      <c r="A877" s="5" t="s">
        <v>3872</v>
      </c>
      <c r="B877" s="5">
        <v>876</v>
      </c>
      <c r="C877" s="6" t="s">
        <v>2674</v>
      </c>
      <c r="D877" s="6" t="s">
        <v>4142</v>
      </c>
      <c r="E877" s="6">
        <v>28</v>
      </c>
      <c r="F877" s="6" t="s">
        <v>1086</v>
      </c>
      <c r="G877" s="6">
        <v>840</v>
      </c>
      <c r="H877" s="6" t="s">
        <v>107</v>
      </c>
      <c r="I877" s="6" t="s">
        <v>4393</v>
      </c>
      <c r="J877" s="6" t="s">
        <v>4394</v>
      </c>
      <c r="K877" s="6" t="s">
        <v>3331</v>
      </c>
      <c r="L877" s="6">
        <v>52193059</v>
      </c>
      <c r="M877" s="6" t="s">
        <v>50</v>
      </c>
      <c r="N877" s="6" t="s">
        <v>1117</v>
      </c>
      <c r="O877" s="6" t="s">
        <v>21</v>
      </c>
      <c r="P877" s="6" t="s">
        <v>21</v>
      </c>
      <c r="Q877" s="6" t="s">
        <v>3332</v>
      </c>
      <c r="R877" s="8" t="s">
        <v>1808</v>
      </c>
      <c r="S877" s="6"/>
    </row>
    <row r="878" spans="1:19" ht="25.5" x14ac:dyDescent="0.25">
      <c r="A878" s="5" t="s">
        <v>3872</v>
      </c>
      <c r="B878" s="5">
        <v>877</v>
      </c>
      <c r="C878" s="6" t="s">
        <v>2675</v>
      </c>
      <c r="D878" s="6" t="s">
        <v>4142</v>
      </c>
      <c r="E878" s="6">
        <v>52</v>
      </c>
      <c r="F878" s="6" t="s">
        <v>1131</v>
      </c>
      <c r="G878" s="6">
        <v>924</v>
      </c>
      <c r="H878" s="6" t="s">
        <v>330</v>
      </c>
      <c r="I878" s="6" t="s">
        <v>4395</v>
      </c>
      <c r="J878" s="6" t="s">
        <v>4396</v>
      </c>
      <c r="K878" s="6" t="s">
        <v>3331</v>
      </c>
      <c r="L878" s="6">
        <v>51876302</v>
      </c>
      <c r="M878" s="6" t="s">
        <v>50</v>
      </c>
      <c r="N878" s="6" t="s">
        <v>1117</v>
      </c>
      <c r="O878" s="6" t="s">
        <v>21</v>
      </c>
      <c r="P878" s="6" t="s">
        <v>21</v>
      </c>
      <c r="Q878" s="6" t="s">
        <v>3332</v>
      </c>
      <c r="R878" s="8" t="s">
        <v>1808</v>
      </c>
      <c r="S878" s="6"/>
    </row>
    <row r="879" spans="1:19" ht="25.5" x14ac:dyDescent="0.25">
      <c r="A879" s="5" t="s">
        <v>3872</v>
      </c>
      <c r="B879" s="5">
        <v>878</v>
      </c>
      <c r="C879" s="6" t="s">
        <v>2676</v>
      </c>
      <c r="D879" s="6" t="s">
        <v>4142</v>
      </c>
      <c r="E879" s="6">
        <v>61</v>
      </c>
      <c r="F879" s="6" t="s">
        <v>1141</v>
      </c>
      <c r="G879" s="6">
        <v>950</v>
      </c>
      <c r="H879" s="6" t="s">
        <v>111</v>
      </c>
      <c r="I879" s="6" t="s">
        <v>4397</v>
      </c>
      <c r="J879" s="6" t="s">
        <v>4398</v>
      </c>
      <c r="K879" s="6" t="s">
        <v>3331</v>
      </c>
      <c r="L879" s="6">
        <v>52260619</v>
      </c>
      <c r="M879" s="6" t="s">
        <v>50</v>
      </c>
      <c r="N879" s="6" t="s">
        <v>1117</v>
      </c>
      <c r="O879" s="6" t="s">
        <v>21</v>
      </c>
      <c r="P879" s="6" t="s">
        <v>21</v>
      </c>
      <c r="Q879" s="6" t="s">
        <v>3332</v>
      </c>
      <c r="R879" s="8" t="s">
        <v>1808</v>
      </c>
      <c r="S879" s="6"/>
    </row>
    <row r="880" spans="1:19" ht="25.5" x14ac:dyDescent="0.25">
      <c r="A880" s="5" t="s">
        <v>3872</v>
      </c>
      <c r="B880" s="5">
        <v>879</v>
      </c>
      <c r="C880" s="6" t="s">
        <v>2677</v>
      </c>
      <c r="D880" s="6" t="s">
        <v>4142</v>
      </c>
      <c r="E880" s="6">
        <v>61</v>
      </c>
      <c r="F880" s="6" t="s">
        <v>1141</v>
      </c>
      <c r="G880" s="6">
        <v>950</v>
      </c>
      <c r="H880" s="6" t="s">
        <v>111</v>
      </c>
      <c r="I880" s="6" t="s">
        <v>4399</v>
      </c>
      <c r="J880" s="6" t="s">
        <v>4400</v>
      </c>
      <c r="K880" s="6" t="s">
        <v>3331</v>
      </c>
      <c r="L880" s="6">
        <v>51793175</v>
      </c>
      <c r="M880" s="6" t="s">
        <v>50</v>
      </c>
      <c r="N880" s="6" t="s">
        <v>1117</v>
      </c>
      <c r="O880" s="6" t="s">
        <v>21</v>
      </c>
      <c r="P880" s="6" t="s">
        <v>21</v>
      </c>
      <c r="Q880" s="6" t="s">
        <v>3332</v>
      </c>
      <c r="R880" s="8" t="s">
        <v>1808</v>
      </c>
      <c r="S880" s="6"/>
    </row>
    <row r="881" spans="1:19" ht="25.5" x14ac:dyDescent="0.25">
      <c r="A881" s="5" t="s">
        <v>3872</v>
      </c>
      <c r="B881" s="5">
        <v>880</v>
      </c>
      <c r="C881" s="6" t="s">
        <v>2678</v>
      </c>
      <c r="D881" s="6" t="s">
        <v>4142</v>
      </c>
      <c r="E881" s="6">
        <v>67</v>
      </c>
      <c r="F881" s="6" t="s">
        <v>1142</v>
      </c>
      <c r="G881" s="6">
        <v>983</v>
      </c>
      <c r="H881" s="6" t="s">
        <v>1143</v>
      </c>
      <c r="I881" s="6" t="s">
        <v>4401</v>
      </c>
      <c r="J881" s="6" t="s">
        <v>4402</v>
      </c>
      <c r="K881" s="6" t="s">
        <v>3331</v>
      </c>
      <c r="L881" s="6">
        <v>52282678</v>
      </c>
      <c r="M881" s="6" t="s">
        <v>50</v>
      </c>
      <c r="N881" s="6" t="s">
        <v>1117</v>
      </c>
      <c r="O881" s="6" t="s">
        <v>21</v>
      </c>
      <c r="P881" s="6" t="s">
        <v>21</v>
      </c>
      <c r="Q881" s="6" t="s">
        <v>3332</v>
      </c>
      <c r="R881" s="8" t="s">
        <v>1808</v>
      </c>
      <c r="S881" s="6"/>
    </row>
    <row r="882" spans="1:19" ht="25.5" x14ac:dyDescent="0.25">
      <c r="A882" s="5" t="s">
        <v>3872</v>
      </c>
      <c r="B882" s="5">
        <v>881</v>
      </c>
      <c r="C882" s="6" t="s">
        <v>2679</v>
      </c>
      <c r="D882" s="6" t="s">
        <v>4142</v>
      </c>
      <c r="E882" s="6">
        <v>74</v>
      </c>
      <c r="F882" s="6" t="s">
        <v>1144</v>
      </c>
      <c r="G882" s="6">
        <v>1007</v>
      </c>
      <c r="H882" s="6" t="s">
        <v>115</v>
      </c>
      <c r="I882" s="6" t="s">
        <v>4403</v>
      </c>
      <c r="J882" s="6" t="s">
        <v>3417</v>
      </c>
      <c r="K882" s="6" t="s">
        <v>3331</v>
      </c>
      <c r="L882" s="6">
        <v>52170412</v>
      </c>
      <c r="M882" s="6" t="s">
        <v>50</v>
      </c>
      <c r="N882" s="6" t="s">
        <v>1117</v>
      </c>
      <c r="O882" s="6" t="s">
        <v>21</v>
      </c>
      <c r="P882" s="6" t="s">
        <v>21</v>
      </c>
      <c r="Q882" s="6" t="s">
        <v>3332</v>
      </c>
      <c r="R882" s="8" t="s">
        <v>1808</v>
      </c>
      <c r="S882" s="6"/>
    </row>
    <row r="883" spans="1:19" ht="25.5" x14ac:dyDescent="0.25">
      <c r="A883" s="5" t="s">
        <v>3872</v>
      </c>
      <c r="B883" s="5">
        <v>882</v>
      </c>
      <c r="C883" s="6" t="s">
        <v>2680</v>
      </c>
      <c r="D883" s="6" t="s">
        <v>4142</v>
      </c>
      <c r="E883" s="6">
        <v>74</v>
      </c>
      <c r="F883" s="6" t="s">
        <v>1144</v>
      </c>
      <c r="G883" s="6">
        <v>1007</v>
      </c>
      <c r="H883" s="6" t="s">
        <v>115</v>
      </c>
      <c r="I883" s="6" t="s">
        <v>4404</v>
      </c>
      <c r="J883" s="6" t="s">
        <v>4405</v>
      </c>
      <c r="K883" s="6" t="s">
        <v>3331</v>
      </c>
      <c r="L883" s="6">
        <v>51923030</v>
      </c>
      <c r="M883" s="6" t="s">
        <v>50</v>
      </c>
      <c r="N883" s="6" t="s">
        <v>1117</v>
      </c>
      <c r="O883" s="6" t="s">
        <v>21</v>
      </c>
      <c r="P883" s="6" t="s">
        <v>21</v>
      </c>
      <c r="Q883" s="6" t="s">
        <v>3332</v>
      </c>
      <c r="R883" s="8" t="s">
        <v>1808</v>
      </c>
      <c r="S883" s="6"/>
    </row>
    <row r="884" spans="1:19" ht="25.5" x14ac:dyDescent="0.25">
      <c r="A884" s="5" t="s">
        <v>3872</v>
      </c>
      <c r="B884" s="5">
        <v>883</v>
      </c>
      <c r="C884" s="6" t="s">
        <v>2681</v>
      </c>
      <c r="D884" s="6" t="s">
        <v>4142</v>
      </c>
      <c r="E884" s="6">
        <v>74</v>
      </c>
      <c r="F884" s="6" t="s">
        <v>1144</v>
      </c>
      <c r="G884" s="6">
        <v>1007</v>
      </c>
      <c r="H884" s="6" t="s">
        <v>115</v>
      </c>
      <c r="I884" s="6" t="s">
        <v>4406</v>
      </c>
      <c r="J884" s="6" t="s">
        <v>4407</v>
      </c>
      <c r="K884" s="6" t="s">
        <v>3331</v>
      </c>
      <c r="L884" s="6">
        <v>46677396</v>
      </c>
      <c r="M884" s="6" t="s">
        <v>50</v>
      </c>
      <c r="N884" s="6" t="s">
        <v>1117</v>
      </c>
      <c r="O884" s="6" t="s">
        <v>21</v>
      </c>
      <c r="P884" s="6" t="s">
        <v>21</v>
      </c>
      <c r="Q884" s="6" t="s">
        <v>3332</v>
      </c>
      <c r="R884" s="8" t="s">
        <v>1808</v>
      </c>
      <c r="S884" s="6"/>
    </row>
    <row r="885" spans="1:19" ht="25.5" x14ac:dyDescent="0.25">
      <c r="A885" s="5" t="s">
        <v>3872</v>
      </c>
      <c r="B885" s="5">
        <v>884</v>
      </c>
      <c r="C885" s="6" t="s">
        <v>2682</v>
      </c>
      <c r="D885" s="6" t="s">
        <v>4142</v>
      </c>
      <c r="E885" s="6">
        <v>92</v>
      </c>
      <c r="F885" s="6" t="s">
        <v>1145</v>
      </c>
      <c r="G885" s="6">
        <v>1063</v>
      </c>
      <c r="H885" s="6" t="s">
        <v>362</v>
      </c>
      <c r="I885" s="6" t="s">
        <v>4408</v>
      </c>
      <c r="J885" s="6" t="s">
        <v>4409</v>
      </c>
      <c r="K885" s="6" t="s">
        <v>3331</v>
      </c>
      <c r="L885" s="6">
        <v>35527395</v>
      </c>
      <c r="M885" s="6" t="s">
        <v>50</v>
      </c>
      <c r="N885" s="6" t="s">
        <v>1117</v>
      </c>
      <c r="O885" s="6" t="s">
        <v>21</v>
      </c>
      <c r="P885" s="6" t="s">
        <v>21</v>
      </c>
      <c r="Q885" s="6" t="s">
        <v>3332</v>
      </c>
      <c r="R885" s="8" t="s">
        <v>1808</v>
      </c>
      <c r="S885" s="6"/>
    </row>
    <row r="886" spans="1:19" ht="25.5" x14ac:dyDescent="0.25">
      <c r="A886" s="5" t="s">
        <v>3872</v>
      </c>
      <c r="B886" s="5">
        <v>885</v>
      </c>
      <c r="C886" s="6" t="s">
        <v>2683</v>
      </c>
      <c r="D886" s="6" t="s">
        <v>4142</v>
      </c>
      <c r="E886" s="6">
        <v>5</v>
      </c>
      <c r="F886" s="6" t="s">
        <v>617</v>
      </c>
      <c r="G886" s="6">
        <v>1150</v>
      </c>
      <c r="H886" s="6" t="s">
        <v>618</v>
      </c>
      <c r="I886" s="6" t="s">
        <v>4410</v>
      </c>
      <c r="J886" s="6" t="s">
        <v>4411</v>
      </c>
      <c r="K886" s="6" t="s">
        <v>3331</v>
      </c>
      <c r="L886" s="6">
        <v>52030516</v>
      </c>
      <c r="M886" s="6" t="s">
        <v>50</v>
      </c>
      <c r="N886" s="6" t="s">
        <v>1117</v>
      </c>
      <c r="O886" s="6" t="s">
        <v>21</v>
      </c>
      <c r="P886" s="6" t="s">
        <v>21</v>
      </c>
      <c r="Q886" s="6" t="s">
        <v>3332</v>
      </c>
      <c r="R886" s="8" t="s">
        <v>1808</v>
      </c>
      <c r="S886" s="6"/>
    </row>
    <row r="887" spans="1:19" ht="25.5" x14ac:dyDescent="0.25">
      <c r="A887" s="5" t="s">
        <v>3872</v>
      </c>
      <c r="B887" s="5">
        <v>886</v>
      </c>
      <c r="C887" s="6" t="s">
        <v>2684</v>
      </c>
      <c r="D887" s="6" t="s">
        <v>4142</v>
      </c>
      <c r="E887" s="6">
        <v>21</v>
      </c>
      <c r="F887" s="6" t="s">
        <v>1146</v>
      </c>
      <c r="G887" s="6">
        <v>1176</v>
      </c>
      <c r="H887" s="6" t="s">
        <v>1147</v>
      </c>
      <c r="I887" s="6" t="s">
        <v>4412</v>
      </c>
      <c r="J887" s="6" t="s">
        <v>3770</v>
      </c>
      <c r="K887" s="6" t="s">
        <v>3331</v>
      </c>
      <c r="L887" s="6">
        <v>52120594</v>
      </c>
      <c r="M887" s="6" t="s">
        <v>50</v>
      </c>
      <c r="N887" s="6" t="s">
        <v>1117</v>
      </c>
      <c r="O887" s="6" t="s">
        <v>21</v>
      </c>
      <c r="P887" s="6" t="s">
        <v>21</v>
      </c>
      <c r="Q887" s="6" t="s">
        <v>3332</v>
      </c>
      <c r="R887" s="8" t="s">
        <v>1808</v>
      </c>
      <c r="S887" s="6"/>
    </row>
    <row r="888" spans="1:19" ht="25.5" x14ac:dyDescent="0.25">
      <c r="A888" s="5" t="s">
        <v>3872</v>
      </c>
      <c r="B888" s="5">
        <v>887</v>
      </c>
      <c r="C888" s="6" t="s">
        <v>2685</v>
      </c>
      <c r="D888" s="6" t="s">
        <v>4142</v>
      </c>
      <c r="E888" s="6">
        <v>50</v>
      </c>
      <c r="F888" s="6" t="s">
        <v>1095</v>
      </c>
      <c r="G888" s="6">
        <v>1258</v>
      </c>
      <c r="H888" s="6" t="s">
        <v>594</v>
      </c>
      <c r="I888" s="6" t="s">
        <v>4413</v>
      </c>
      <c r="J888" s="6" t="s">
        <v>4414</v>
      </c>
      <c r="K888" s="6" t="s">
        <v>3331</v>
      </c>
      <c r="L888" s="6">
        <v>35478853</v>
      </c>
      <c r="M888" s="6" t="s">
        <v>50</v>
      </c>
      <c r="N888" s="6" t="s">
        <v>1121</v>
      </c>
      <c r="O888" s="6" t="s">
        <v>21</v>
      </c>
      <c r="P888" s="6" t="s">
        <v>21</v>
      </c>
      <c r="Q888" s="6" t="s">
        <v>3332</v>
      </c>
      <c r="R888" s="8" t="s">
        <v>1808</v>
      </c>
      <c r="S888" s="6"/>
    </row>
    <row r="889" spans="1:19" ht="25.5" x14ac:dyDescent="0.25">
      <c r="A889" s="5" t="s">
        <v>3872</v>
      </c>
      <c r="B889" s="5">
        <v>888</v>
      </c>
      <c r="C889" s="6" t="s">
        <v>2686</v>
      </c>
      <c r="D889" s="6" t="s">
        <v>4142</v>
      </c>
      <c r="E889" s="6">
        <v>50</v>
      </c>
      <c r="F889" s="6" t="s">
        <v>1095</v>
      </c>
      <c r="G889" s="6">
        <v>1258</v>
      </c>
      <c r="H889" s="6" t="s">
        <v>594</v>
      </c>
      <c r="I889" s="6" t="s">
        <v>4415</v>
      </c>
      <c r="J889" s="6" t="s">
        <v>4416</v>
      </c>
      <c r="K889" s="6" t="s">
        <v>3331</v>
      </c>
      <c r="L889" s="6">
        <v>52125469</v>
      </c>
      <c r="M889" s="6" t="s">
        <v>50</v>
      </c>
      <c r="N889" s="6" t="s">
        <v>1121</v>
      </c>
      <c r="O889" s="6" t="s">
        <v>21</v>
      </c>
      <c r="P889" s="6" t="s">
        <v>21</v>
      </c>
      <c r="Q889" s="6" t="s">
        <v>3332</v>
      </c>
      <c r="R889" s="8" t="s">
        <v>1808</v>
      </c>
      <c r="S889" s="6"/>
    </row>
    <row r="890" spans="1:19" ht="25.5" x14ac:dyDescent="0.25">
      <c r="A890" s="5" t="s">
        <v>3872</v>
      </c>
      <c r="B890" s="5">
        <v>889</v>
      </c>
      <c r="C890" s="6" t="s">
        <v>2687</v>
      </c>
      <c r="D890" s="6" t="s">
        <v>4142</v>
      </c>
      <c r="E890" s="6">
        <v>98</v>
      </c>
      <c r="F890" s="6" t="s">
        <v>124</v>
      </c>
      <c r="G890" s="6">
        <v>1416</v>
      </c>
      <c r="H890" s="6" t="s">
        <v>125</v>
      </c>
      <c r="I890" s="6" t="s">
        <v>4417</v>
      </c>
      <c r="J890" s="6" t="s">
        <v>4418</v>
      </c>
      <c r="K890" s="6" t="s">
        <v>3331</v>
      </c>
      <c r="L890" s="6">
        <v>52520517</v>
      </c>
      <c r="M890" s="6" t="s">
        <v>50</v>
      </c>
      <c r="N890" s="6" t="s">
        <v>1121</v>
      </c>
      <c r="O890" s="6" t="s">
        <v>21</v>
      </c>
      <c r="P890" s="6" t="s">
        <v>21</v>
      </c>
      <c r="Q890" s="6" t="s">
        <v>3332</v>
      </c>
      <c r="R890" s="8" t="s">
        <v>1808</v>
      </c>
      <c r="S890" s="6"/>
    </row>
    <row r="891" spans="1:19" ht="25.5" x14ac:dyDescent="0.25">
      <c r="A891" s="5" t="s">
        <v>3872</v>
      </c>
      <c r="B891" s="5">
        <v>890</v>
      </c>
      <c r="C891" s="6" t="s">
        <v>2688</v>
      </c>
      <c r="D891" s="6" t="s">
        <v>4142</v>
      </c>
      <c r="E891" s="6">
        <v>53</v>
      </c>
      <c r="F891" s="6" t="s">
        <v>163</v>
      </c>
      <c r="G891" s="6">
        <v>798</v>
      </c>
      <c r="H891" s="6" t="s">
        <v>164</v>
      </c>
      <c r="I891" s="6" t="s">
        <v>4419</v>
      </c>
      <c r="J891" s="6" t="s">
        <v>4420</v>
      </c>
      <c r="K891" s="6" t="s">
        <v>3331</v>
      </c>
      <c r="L891" s="6">
        <v>52902968</v>
      </c>
      <c r="M891" s="6" t="s">
        <v>50</v>
      </c>
      <c r="N891" s="6" t="s">
        <v>1121</v>
      </c>
      <c r="O891" s="6">
        <v>2</v>
      </c>
      <c r="P891" s="6" t="s">
        <v>773</v>
      </c>
      <c r="Q891" s="6" t="s">
        <v>3332</v>
      </c>
      <c r="R891" s="8" t="s">
        <v>1808</v>
      </c>
      <c r="S891" s="6"/>
    </row>
    <row r="892" spans="1:19" ht="25.5" x14ac:dyDescent="0.25">
      <c r="A892" s="5" t="s">
        <v>3872</v>
      </c>
      <c r="B892" s="5">
        <v>891</v>
      </c>
      <c r="C892" s="6" t="s">
        <v>2689</v>
      </c>
      <c r="D892" s="6" t="s">
        <v>4142</v>
      </c>
      <c r="E892" s="6">
        <v>136</v>
      </c>
      <c r="F892" s="6" t="s">
        <v>175</v>
      </c>
      <c r="G892" s="6">
        <v>2017</v>
      </c>
      <c r="H892" s="6" t="s">
        <v>177</v>
      </c>
      <c r="I892" s="6" t="s">
        <v>4421</v>
      </c>
      <c r="J892" s="6" t="s">
        <v>4422</v>
      </c>
      <c r="K892" s="6" t="s">
        <v>3331</v>
      </c>
      <c r="L892" s="6">
        <v>1026256518</v>
      </c>
      <c r="M892" s="6" t="s">
        <v>50</v>
      </c>
      <c r="N892" s="6" t="s">
        <v>1121</v>
      </c>
      <c r="O892" s="6">
        <v>9</v>
      </c>
      <c r="P892" s="6" t="s">
        <v>1148</v>
      </c>
      <c r="Q892" s="6" t="s">
        <v>3332</v>
      </c>
      <c r="R892" s="8" t="s">
        <v>1808</v>
      </c>
      <c r="S892" s="6"/>
    </row>
    <row r="893" spans="1:19" ht="25.5" x14ac:dyDescent="0.25">
      <c r="A893" s="5" t="s">
        <v>3872</v>
      </c>
      <c r="B893" s="5">
        <v>892</v>
      </c>
      <c r="C893" s="6" t="s">
        <v>2690</v>
      </c>
      <c r="D893" s="6" t="s">
        <v>4142</v>
      </c>
      <c r="E893" s="6">
        <v>136</v>
      </c>
      <c r="F893" s="6" t="s">
        <v>175</v>
      </c>
      <c r="G893" s="6">
        <v>2017</v>
      </c>
      <c r="H893" s="6" t="s">
        <v>177</v>
      </c>
      <c r="I893" s="6" t="s">
        <v>4423</v>
      </c>
      <c r="J893" s="6" t="s">
        <v>4424</v>
      </c>
      <c r="K893" s="6" t="s">
        <v>3331</v>
      </c>
      <c r="L893" s="6">
        <v>53165957</v>
      </c>
      <c r="M893" s="6" t="s">
        <v>50</v>
      </c>
      <c r="N893" s="6" t="s">
        <v>1121</v>
      </c>
      <c r="O893" s="6">
        <v>104</v>
      </c>
      <c r="P893" s="6" t="s">
        <v>1148</v>
      </c>
      <c r="Q893" s="6" t="s">
        <v>3332</v>
      </c>
      <c r="R893" s="8" t="s">
        <v>1808</v>
      </c>
      <c r="S893" s="6"/>
    </row>
    <row r="894" spans="1:19" ht="25.5" x14ac:dyDescent="0.25">
      <c r="A894" s="5" t="s">
        <v>3872</v>
      </c>
      <c r="B894" s="5">
        <v>893</v>
      </c>
      <c r="C894" s="6" t="s">
        <v>2691</v>
      </c>
      <c r="D894" s="6" t="s">
        <v>4142</v>
      </c>
      <c r="E894" s="6">
        <v>10</v>
      </c>
      <c r="F894" s="6" t="s">
        <v>1149</v>
      </c>
      <c r="G894" s="6">
        <v>216</v>
      </c>
      <c r="H894" s="6" t="s">
        <v>180</v>
      </c>
      <c r="I894" s="6" t="s">
        <v>4425</v>
      </c>
      <c r="J894" s="6" t="s">
        <v>3483</v>
      </c>
      <c r="K894" s="6" t="s">
        <v>3331</v>
      </c>
      <c r="L894" s="6">
        <v>52788224</v>
      </c>
      <c r="M894" s="6" t="s">
        <v>401</v>
      </c>
      <c r="N894" s="6" t="s">
        <v>1121</v>
      </c>
      <c r="O894" s="6">
        <v>90</v>
      </c>
      <c r="P894" s="6" t="s">
        <v>176</v>
      </c>
      <c r="Q894" s="6" t="s">
        <v>3332</v>
      </c>
      <c r="R894" s="8" t="s">
        <v>1808</v>
      </c>
      <c r="S894" s="6"/>
    </row>
    <row r="895" spans="1:19" ht="25.5" x14ac:dyDescent="0.25">
      <c r="A895" s="5" t="s">
        <v>3872</v>
      </c>
      <c r="B895" s="5">
        <v>894</v>
      </c>
      <c r="C895" s="6" t="s">
        <v>2692</v>
      </c>
      <c r="D895" s="6" t="s">
        <v>4142</v>
      </c>
      <c r="E895" s="6">
        <v>10</v>
      </c>
      <c r="F895" s="6" t="s">
        <v>1149</v>
      </c>
      <c r="G895" s="6">
        <v>216</v>
      </c>
      <c r="H895" s="6" t="s">
        <v>180</v>
      </c>
      <c r="I895" s="6" t="s">
        <v>4426</v>
      </c>
      <c r="J895" s="6" t="s">
        <v>4427</v>
      </c>
      <c r="K895" s="6" t="s">
        <v>3331</v>
      </c>
      <c r="L895" s="6">
        <v>1030526165</v>
      </c>
      <c r="M895" s="6" t="s">
        <v>401</v>
      </c>
      <c r="N895" s="6" t="s">
        <v>1121</v>
      </c>
      <c r="O895" s="6">
        <v>107</v>
      </c>
      <c r="P895" s="6" t="s">
        <v>1150</v>
      </c>
      <c r="Q895" s="6" t="s">
        <v>3332</v>
      </c>
      <c r="R895" s="8" t="s">
        <v>1808</v>
      </c>
      <c r="S895" s="6"/>
    </row>
    <row r="896" spans="1:19" ht="25.5" x14ac:dyDescent="0.25">
      <c r="A896" s="5" t="s">
        <v>3872</v>
      </c>
      <c r="B896" s="5">
        <v>895</v>
      </c>
      <c r="C896" s="6" t="s">
        <v>2693</v>
      </c>
      <c r="D896" s="6" t="s">
        <v>4142</v>
      </c>
      <c r="E896" s="6">
        <v>53</v>
      </c>
      <c r="F896" s="6" t="s">
        <v>163</v>
      </c>
      <c r="G896" s="6">
        <v>798</v>
      </c>
      <c r="H896" s="6" t="s">
        <v>164</v>
      </c>
      <c r="I896" s="6" t="s">
        <v>4428</v>
      </c>
      <c r="J896" s="6" t="s">
        <v>4429</v>
      </c>
      <c r="K896" s="6" t="s">
        <v>3331</v>
      </c>
      <c r="L896" s="6">
        <v>1013625771</v>
      </c>
      <c r="M896" s="6" t="s">
        <v>269</v>
      </c>
      <c r="N896" s="6" t="s">
        <v>270</v>
      </c>
      <c r="O896" s="6">
        <v>279470</v>
      </c>
      <c r="P896" s="6" t="s">
        <v>1151</v>
      </c>
      <c r="Q896" s="6" t="s">
        <v>3332</v>
      </c>
      <c r="R896" s="8" t="s">
        <v>1808</v>
      </c>
      <c r="S896" s="6"/>
    </row>
    <row r="897" spans="1:19" ht="25.5" x14ac:dyDescent="0.25">
      <c r="A897" s="5" t="s">
        <v>3872</v>
      </c>
      <c r="B897" s="5">
        <v>896</v>
      </c>
      <c r="C897" s="6" t="s">
        <v>2694</v>
      </c>
      <c r="D897" s="6" t="s">
        <v>4142</v>
      </c>
      <c r="E897" s="6">
        <v>110</v>
      </c>
      <c r="F897" s="6" t="s">
        <v>746</v>
      </c>
      <c r="G897" s="6">
        <v>1732</v>
      </c>
      <c r="H897" s="6" t="s">
        <v>170</v>
      </c>
      <c r="I897" s="6" t="s">
        <v>4430</v>
      </c>
      <c r="J897" s="6" t="s">
        <v>3534</v>
      </c>
      <c r="K897" s="6" t="s">
        <v>3331</v>
      </c>
      <c r="L897" s="6">
        <v>1014239050</v>
      </c>
      <c r="M897" s="6" t="s">
        <v>269</v>
      </c>
      <c r="N897" s="6" t="s">
        <v>270</v>
      </c>
      <c r="O897" s="6">
        <v>1123474</v>
      </c>
      <c r="P897" s="6" t="s">
        <v>1152</v>
      </c>
      <c r="Q897" s="6" t="s">
        <v>3332</v>
      </c>
      <c r="R897" s="8" t="s">
        <v>1808</v>
      </c>
      <c r="S897" s="6"/>
    </row>
    <row r="898" spans="1:19" ht="25.5" x14ac:dyDescent="0.25">
      <c r="A898" s="5" t="s">
        <v>3872</v>
      </c>
      <c r="B898" s="5">
        <v>897</v>
      </c>
      <c r="C898" s="6" t="s">
        <v>2695</v>
      </c>
      <c r="D898" s="6" t="s">
        <v>4142</v>
      </c>
      <c r="E898" s="6">
        <v>35</v>
      </c>
      <c r="F898" s="6" t="s">
        <v>1153</v>
      </c>
      <c r="G898" s="6">
        <v>507</v>
      </c>
      <c r="H898" s="6" t="s">
        <v>259</v>
      </c>
      <c r="I898" s="6" t="s">
        <v>4431</v>
      </c>
      <c r="J898" s="6" t="s">
        <v>4432</v>
      </c>
      <c r="K898" s="6" t="s">
        <v>3331</v>
      </c>
      <c r="L898" s="6">
        <v>52906038</v>
      </c>
      <c r="M898" s="6" t="s">
        <v>269</v>
      </c>
      <c r="N898" s="6" t="s">
        <v>270</v>
      </c>
      <c r="O898" s="6" t="s">
        <v>4433</v>
      </c>
      <c r="P898" s="6" t="s">
        <v>1154</v>
      </c>
      <c r="Q898" s="6" t="s">
        <v>3332</v>
      </c>
      <c r="R898" s="8" t="s">
        <v>1808</v>
      </c>
      <c r="S898" s="6"/>
    </row>
    <row r="899" spans="1:19" ht="25.5" x14ac:dyDescent="0.25">
      <c r="A899" s="5" t="s">
        <v>3872</v>
      </c>
      <c r="B899" s="5">
        <v>898</v>
      </c>
      <c r="C899" s="6" t="s">
        <v>2696</v>
      </c>
      <c r="D899" s="6" t="s">
        <v>4142</v>
      </c>
      <c r="E899" s="6">
        <v>35</v>
      </c>
      <c r="F899" s="6" t="s">
        <v>1153</v>
      </c>
      <c r="G899" s="6">
        <v>507</v>
      </c>
      <c r="H899" s="6" t="s">
        <v>259</v>
      </c>
      <c r="I899" s="6" t="s">
        <v>4434</v>
      </c>
      <c r="J899" s="6" t="s">
        <v>4435</v>
      </c>
      <c r="K899" s="6" t="s">
        <v>3331</v>
      </c>
      <c r="L899" s="6">
        <v>1014228326</v>
      </c>
      <c r="M899" s="6" t="s">
        <v>269</v>
      </c>
      <c r="N899" s="6" t="s">
        <v>270</v>
      </c>
      <c r="O899" s="6">
        <v>453739</v>
      </c>
      <c r="P899" s="6" t="s">
        <v>1155</v>
      </c>
      <c r="Q899" s="6" t="s">
        <v>3332</v>
      </c>
      <c r="R899" s="8" t="s">
        <v>1808</v>
      </c>
      <c r="S899" s="6"/>
    </row>
    <row r="900" spans="1:19" ht="25.5" x14ac:dyDescent="0.25">
      <c r="A900" s="5" t="s">
        <v>3872</v>
      </c>
      <c r="B900" s="5">
        <v>899</v>
      </c>
      <c r="C900" s="6" t="s">
        <v>2697</v>
      </c>
      <c r="D900" s="6" t="s">
        <v>4142</v>
      </c>
      <c r="E900" s="6">
        <v>35</v>
      </c>
      <c r="F900" s="6" t="s">
        <v>1153</v>
      </c>
      <c r="G900" s="6">
        <v>507</v>
      </c>
      <c r="H900" s="6" t="s">
        <v>259</v>
      </c>
      <c r="I900" s="6" t="s">
        <v>4436</v>
      </c>
      <c r="J900" s="6" t="s">
        <v>4437</v>
      </c>
      <c r="K900" s="6" t="s">
        <v>3331</v>
      </c>
      <c r="L900" s="6">
        <v>1033678370</v>
      </c>
      <c r="M900" s="6" t="s">
        <v>269</v>
      </c>
      <c r="N900" s="6" t="s">
        <v>270</v>
      </c>
      <c r="O900" s="6">
        <v>801604</v>
      </c>
      <c r="P900" s="6" t="s">
        <v>1156</v>
      </c>
      <c r="Q900" s="6" t="s">
        <v>3332</v>
      </c>
      <c r="R900" s="8" t="s">
        <v>1808</v>
      </c>
      <c r="S900" s="6"/>
    </row>
    <row r="901" spans="1:19" ht="25.5" x14ac:dyDescent="0.25">
      <c r="A901" s="5" t="s">
        <v>3872</v>
      </c>
      <c r="B901" s="5">
        <v>900</v>
      </c>
      <c r="C901" s="6" t="s">
        <v>2698</v>
      </c>
      <c r="D901" s="6" t="s">
        <v>4142</v>
      </c>
      <c r="E901" s="6">
        <v>42</v>
      </c>
      <c r="F901" s="6" t="s">
        <v>259</v>
      </c>
      <c r="G901" s="6">
        <v>584</v>
      </c>
      <c r="H901" s="6" t="s">
        <v>262</v>
      </c>
      <c r="I901" s="6" t="s">
        <v>4438</v>
      </c>
      <c r="J901" s="6" t="s">
        <v>4439</v>
      </c>
      <c r="K901" s="6" t="s">
        <v>3331</v>
      </c>
      <c r="L901" s="6">
        <v>1122132284</v>
      </c>
      <c r="M901" s="6" t="s">
        <v>269</v>
      </c>
      <c r="N901" s="6" t="s">
        <v>270</v>
      </c>
      <c r="O901" s="6">
        <v>801611</v>
      </c>
      <c r="P901" s="6" t="s">
        <v>1157</v>
      </c>
      <c r="Q901" s="6" t="s">
        <v>3332</v>
      </c>
      <c r="R901" s="8" t="s">
        <v>1808</v>
      </c>
      <c r="S901" s="6"/>
    </row>
    <row r="902" spans="1:19" ht="25.5" x14ac:dyDescent="0.25">
      <c r="A902" s="5" t="s">
        <v>3872</v>
      </c>
      <c r="B902" s="5">
        <v>901</v>
      </c>
      <c r="C902" s="6" t="s">
        <v>2699</v>
      </c>
      <c r="D902" s="6" t="s">
        <v>4142</v>
      </c>
      <c r="E902" s="6">
        <v>68</v>
      </c>
      <c r="F902" s="6" t="s">
        <v>319</v>
      </c>
      <c r="G902" s="6">
        <v>925</v>
      </c>
      <c r="H902" s="6" t="s">
        <v>1158</v>
      </c>
      <c r="I902" s="6" t="s">
        <v>4440</v>
      </c>
      <c r="J902" s="6" t="s">
        <v>4441</v>
      </c>
      <c r="K902" s="6" t="s">
        <v>3331</v>
      </c>
      <c r="L902" s="6">
        <v>1026268971</v>
      </c>
      <c r="M902" s="6" t="s">
        <v>269</v>
      </c>
      <c r="N902" s="6" t="s">
        <v>270</v>
      </c>
      <c r="O902" s="6">
        <v>279383</v>
      </c>
      <c r="P902" s="6" t="s">
        <v>1151</v>
      </c>
      <c r="Q902" s="6" t="s">
        <v>3332</v>
      </c>
      <c r="R902" s="8" t="s">
        <v>1808</v>
      </c>
      <c r="S902" s="6"/>
    </row>
    <row r="903" spans="1:19" ht="25.5" x14ac:dyDescent="0.25">
      <c r="A903" s="5" t="s">
        <v>3872</v>
      </c>
      <c r="B903" s="5">
        <v>902</v>
      </c>
      <c r="C903" s="6" t="s">
        <v>2700</v>
      </c>
      <c r="D903" s="6" t="s">
        <v>4142</v>
      </c>
      <c r="E903" s="6">
        <v>68</v>
      </c>
      <c r="F903" s="6" t="s">
        <v>319</v>
      </c>
      <c r="G903" s="6">
        <v>925</v>
      </c>
      <c r="H903" s="6" t="s">
        <v>1158</v>
      </c>
      <c r="I903" s="6" t="s">
        <v>4442</v>
      </c>
      <c r="J903" s="6" t="s">
        <v>4443</v>
      </c>
      <c r="K903" s="6" t="s">
        <v>3331</v>
      </c>
      <c r="L903" s="6">
        <v>1013625596</v>
      </c>
      <c r="M903" s="6" t="s">
        <v>269</v>
      </c>
      <c r="N903" s="6" t="s">
        <v>270</v>
      </c>
      <c r="O903" s="6">
        <v>326464</v>
      </c>
      <c r="P903" s="6" t="s">
        <v>1159</v>
      </c>
      <c r="Q903" s="6" t="s">
        <v>3332</v>
      </c>
      <c r="R903" s="8" t="s">
        <v>1808</v>
      </c>
      <c r="S903" s="6"/>
    </row>
    <row r="904" spans="1:19" ht="25.5" x14ac:dyDescent="0.25">
      <c r="A904" s="5" t="s">
        <v>3872</v>
      </c>
      <c r="B904" s="5">
        <v>903</v>
      </c>
      <c r="C904" s="6" t="s">
        <v>2701</v>
      </c>
      <c r="D904" s="6" t="s">
        <v>4142</v>
      </c>
      <c r="E904" s="6">
        <v>89</v>
      </c>
      <c r="F904" s="6" t="s">
        <v>1160</v>
      </c>
      <c r="G904" s="6">
        <v>1221</v>
      </c>
      <c r="H904" s="6" t="s">
        <v>1161</v>
      </c>
      <c r="I904" s="6" t="s">
        <v>4444</v>
      </c>
      <c r="J904" s="6" t="s">
        <v>4445</v>
      </c>
      <c r="K904" s="6" t="s">
        <v>3331</v>
      </c>
      <c r="L904" s="6">
        <v>1070956405</v>
      </c>
      <c r="M904" s="6" t="s">
        <v>269</v>
      </c>
      <c r="N904" s="6" t="s">
        <v>270</v>
      </c>
      <c r="O904" s="6" t="s">
        <v>4446</v>
      </c>
      <c r="P904" s="6" t="s">
        <v>1162</v>
      </c>
      <c r="Q904" s="6" t="s">
        <v>3332</v>
      </c>
      <c r="R904" s="8" t="s">
        <v>1808</v>
      </c>
      <c r="S904" s="6"/>
    </row>
    <row r="905" spans="1:19" ht="25.5" x14ac:dyDescent="0.25">
      <c r="A905" s="5" t="s">
        <v>3872</v>
      </c>
      <c r="B905" s="5">
        <v>904</v>
      </c>
      <c r="C905" s="6" t="s">
        <v>2702</v>
      </c>
      <c r="D905" s="6" t="s">
        <v>4142</v>
      </c>
      <c r="E905" s="6">
        <v>76</v>
      </c>
      <c r="F905" s="6" t="s">
        <v>1084</v>
      </c>
      <c r="G905" s="6">
        <v>636</v>
      </c>
      <c r="H905" s="6" t="s">
        <v>333</v>
      </c>
      <c r="I905" s="6" t="s">
        <v>4447</v>
      </c>
      <c r="J905" s="6" t="s">
        <v>4448</v>
      </c>
      <c r="K905" s="6" t="s">
        <v>3331</v>
      </c>
      <c r="L905" s="6">
        <v>41724846</v>
      </c>
      <c r="M905" s="6" t="s">
        <v>328</v>
      </c>
      <c r="N905" s="6" t="s">
        <v>1098</v>
      </c>
      <c r="O905" s="6" t="s">
        <v>21</v>
      </c>
      <c r="P905" s="6" t="s">
        <v>21</v>
      </c>
      <c r="Q905" s="6" t="s">
        <v>3332</v>
      </c>
      <c r="R905" s="8" t="s">
        <v>1808</v>
      </c>
      <c r="S905" s="6"/>
    </row>
    <row r="906" spans="1:19" ht="25.5" x14ac:dyDescent="0.25">
      <c r="A906" s="5" t="s">
        <v>3872</v>
      </c>
      <c r="B906" s="5">
        <v>905</v>
      </c>
      <c r="C906" s="6" t="s">
        <v>2703</v>
      </c>
      <c r="D906" s="6" t="s">
        <v>4142</v>
      </c>
      <c r="E906" s="6">
        <v>89</v>
      </c>
      <c r="F906" s="6" t="s">
        <v>1080</v>
      </c>
      <c r="G906" s="6">
        <v>536</v>
      </c>
      <c r="H906" s="6" t="s">
        <v>89</v>
      </c>
      <c r="I906" s="6" t="s">
        <v>4449</v>
      </c>
      <c r="J906" s="6" t="s">
        <v>4450</v>
      </c>
      <c r="K906" s="6" t="s">
        <v>3331</v>
      </c>
      <c r="L906" s="6">
        <v>79275102</v>
      </c>
      <c r="M906" s="6" t="s">
        <v>331</v>
      </c>
      <c r="N906" s="6" t="s">
        <v>1106</v>
      </c>
      <c r="O906" s="6" t="s">
        <v>21</v>
      </c>
      <c r="P906" s="6" t="s">
        <v>21</v>
      </c>
      <c r="Q906" s="6" t="s">
        <v>3332</v>
      </c>
      <c r="R906" s="8" t="s">
        <v>1808</v>
      </c>
      <c r="S906" s="6"/>
    </row>
    <row r="907" spans="1:19" ht="25.5" x14ac:dyDescent="0.25">
      <c r="A907" s="5" t="s">
        <v>3872</v>
      </c>
      <c r="B907" s="5">
        <v>906</v>
      </c>
      <c r="C907" s="6" t="s">
        <v>2704</v>
      </c>
      <c r="D907" s="6" t="s">
        <v>4142</v>
      </c>
      <c r="E907" s="6">
        <v>39</v>
      </c>
      <c r="F907" s="6" t="s">
        <v>1094</v>
      </c>
      <c r="G907" s="6">
        <v>1225</v>
      </c>
      <c r="H907" s="6" t="s">
        <v>349</v>
      </c>
      <c r="I907" s="6" t="s">
        <v>4373</v>
      </c>
      <c r="J907" s="6" t="s">
        <v>4451</v>
      </c>
      <c r="K907" s="6" t="s">
        <v>3331</v>
      </c>
      <c r="L907" s="6">
        <v>40033049</v>
      </c>
      <c r="M907" s="6" t="s">
        <v>331</v>
      </c>
      <c r="N907" s="6" t="s">
        <v>1163</v>
      </c>
      <c r="O907" s="6" t="s">
        <v>21</v>
      </c>
      <c r="P907" s="6" t="s">
        <v>21</v>
      </c>
      <c r="Q907" s="6" t="s">
        <v>3332</v>
      </c>
      <c r="R907" s="8" t="s">
        <v>1808</v>
      </c>
      <c r="S907" s="6"/>
    </row>
    <row r="908" spans="1:19" ht="25.5" x14ac:dyDescent="0.25">
      <c r="A908" s="5" t="s">
        <v>3872</v>
      </c>
      <c r="B908" s="5">
        <v>907</v>
      </c>
      <c r="C908" s="6" t="s">
        <v>2705</v>
      </c>
      <c r="D908" s="6" t="s">
        <v>4142</v>
      </c>
      <c r="E908" s="6">
        <v>28</v>
      </c>
      <c r="F908" s="6" t="s">
        <v>1086</v>
      </c>
      <c r="G908" s="6">
        <v>840</v>
      </c>
      <c r="H908" s="6" t="s">
        <v>107</v>
      </c>
      <c r="I908" s="6" t="s">
        <v>4452</v>
      </c>
      <c r="J908" s="6" t="s">
        <v>4453</v>
      </c>
      <c r="K908" s="6" t="s">
        <v>3331</v>
      </c>
      <c r="L908" s="6">
        <v>79465011</v>
      </c>
      <c r="M908" s="6" t="s">
        <v>358</v>
      </c>
      <c r="N908" s="6" t="s">
        <v>1163</v>
      </c>
      <c r="O908" s="6" t="s">
        <v>21</v>
      </c>
      <c r="P908" s="6" t="s">
        <v>21</v>
      </c>
      <c r="Q908" s="6" t="s">
        <v>3332</v>
      </c>
      <c r="R908" s="8" t="s">
        <v>1808</v>
      </c>
      <c r="S908" s="6"/>
    </row>
    <row r="909" spans="1:19" ht="25.5" x14ac:dyDescent="0.25">
      <c r="A909" s="5" t="s">
        <v>3872</v>
      </c>
      <c r="B909" s="5">
        <v>908</v>
      </c>
      <c r="C909" s="6" t="s">
        <v>2706</v>
      </c>
      <c r="D909" s="6" t="s">
        <v>4142</v>
      </c>
      <c r="E909" s="6">
        <v>39</v>
      </c>
      <c r="F909" s="6" t="s">
        <v>1094</v>
      </c>
      <c r="G909" s="6">
        <v>1225</v>
      </c>
      <c r="H909" s="6" t="s">
        <v>349</v>
      </c>
      <c r="I909" s="6" t="s">
        <v>4454</v>
      </c>
      <c r="J909" s="6" t="s">
        <v>4455</v>
      </c>
      <c r="K909" s="6" t="s">
        <v>3331</v>
      </c>
      <c r="L909" s="6">
        <v>52589380</v>
      </c>
      <c r="M909" s="6" t="s">
        <v>358</v>
      </c>
      <c r="N909" s="6" t="s">
        <v>1163</v>
      </c>
      <c r="O909" s="6" t="s">
        <v>21</v>
      </c>
      <c r="P909" s="6" t="s">
        <v>21</v>
      </c>
      <c r="Q909" s="6" t="s">
        <v>3332</v>
      </c>
      <c r="R909" s="8" t="s">
        <v>1808</v>
      </c>
      <c r="S909" s="6"/>
    </row>
    <row r="910" spans="1:19" ht="25.5" x14ac:dyDescent="0.25">
      <c r="A910" s="5" t="s">
        <v>3872</v>
      </c>
      <c r="B910" s="5">
        <v>909</v>
      </c>
      <c r="C910" s="6" t="s">
        <v>2707</v>
      </c>
      <c r="D910" s="6" t="s">
        <v>4142</v>
      </c>
      <c r="E910" s="6">
        <v>27</v>
      </c>
      <c r="F910" s="6" t="s">
        <v>1164</v>
      </c>
      <c r="G910" s="6">
        <v>395</v>
      </c>
      <c r="H910" s="6" t="s">
        <v>1165</v>
      </c>
      <c r="I910" s="6" t="s">
        <v>4456</v>
      </c>
      <c r="J910" s="6" t="s">
        <v>4457</v>
      </c>
      <c r="K910" s="6" t="s">
        <v>3331</v>
      </c>
      <c r="L910" s="6">
        <v>3102984</v>
      </c>
      <c r="M910" s="6" t="s">
        <v>358</v>
      </c>
      <c r="N910" s="6" t="s">
        <v>1163</v>
      </c>
      <c r="O910" s="6">
        <v>20</v>
      </c>
      <c r="P910" s="6" t="s">
        <v>1166</v>
      </c>
      <c r="Q910" s="6" t="s">
        <v>3332</v>
      </c>
      <c r="R910" s="8" t="s">
        <v>1808</v>
      </c>
      <c r="S910" s="6"/>
    </row>
    <row r="911" spans="1:19" ht="25.5" x14ac:dyDescent="0.25">
      <c r="A911" s="5" t="s">
        <v>3872</v>
      </c>
      <c r="B911" s="5">
        <v>910</v>
      </c>
      <c r="C911" s="6" t="s">
        <v>2708</v>
      </c>
      <c r="D911" s="6" t="s">
        <v>4142</v>
      </c>
      <c r="E911" s="6">
        <v>4</v>
      </c>
      <c r="F911" s="6" t="s">
        <v>1079</v>
      </c>
      <c r="G911" s="6">
        <v>331</v>
      </c>
      <c r="H911" s="6" t="s">
        <v>84</v>
      </c>
      <c r="I911" s="6" t="s">
        <v>4458</v>
      </c>
      <c r="J911" s="6" t="s">
        <v>4459</v>
      </c>
      <c r="K911" s="6" t="s">
        <v>3331</v>
      </c>
      <c r="L911" s="6">
        <v>79710077</v>
      </c>
      <c r="M911" s="6" t="s">
        <v>1167</v>
      </c>
      <c r="N911" s="6" t="s">
        <v>1098</v>
      </c>
      <c r="O911" s="6" t="s">
        <v>21</v>
      </c>
      <c r="P911" s="6" t="s">
        <v>21</v>
      </c>
      <c r="Q911" s="6" t="s">
        <v>3332</v>
      </c>
      <c r="R911" s="8" t="s">
        <v>1808</v>
      </c>
      <c r="S911" s="6"/>
    </row>
    <row r="912" spans="1:19" ht="25.5" x14ac:dyDescent="0.25">
      <c r="A912" s="5" t="s">
        <v>3872</v>
      </c>
      <c r="B912" s="5">
        <v>911</v>
      </c>
      <c r="C912" s="6" t="s">
        <v>2709</v>
      </c>
      <c r="D912" s="6" t="s">
        <v>4142</v>
      </c>
      <c r="E912" s="6">
        <v>25</v>
      </c>
      <c r="F912" s="6" t="s">
        <v>1136</v>
      </c>
      <c r="G912" s="6">
        <v>509</v>
      </c>
      <c r="H912" s="6" t="s">
        <v>1137</v>
      </c>
      <c r="I912" s="6" t="s">
        <v>4460</v>
      </c>
      <c r="J912" s="6" t="s">
        <v>4461</v>
      </c>
      <c r="K912" s="6" t="s">
        <v>3331</v>
      </c>
      <c r="L912" s="6">
        <v>79456202</v>
      </c>
      <c r="M912" s="6" t="s">
        <v>1167</v>
      </c>
      <c r="N912" s="6" t="s">
        <v>1098</v>
      </c>
      <c r="O912" s="6" t="s">
        <v>21</v>
      </c>
      <c r="P912" s="6" t="s">
        <v>21</v>
      </c>
      <c r="Q912" s="6" t="s">
        <v>3332</v>
      </c>
      <c r="R912" s="8" t="s">
        <v>1808</v>
      </c>
      <c r="S912" s="6"/>
    </row>
    <row r="913" spans="1:19" ht="25.5" x14ac:dyDescent="0.25">
      <c r="A913" s="5" t="s">
        <v>3872</v>
      </c>
      <c r="B913" s="5">
        <v>912</v>
      </c>
      <c r="C913" s="6" t="s">
        <v>2710</v>
      </c>
      <c r="D913" s="6" t="s">
        <v>4142</v>
      </c>
      <c r="E913" s="6">
        <v>40</v>
      </c>
      <c r="F913" s="6" t="s">
        <v>1082</v>
      </c>
      <c r="G913" s="6">
        <v>579</v>
      </c>
      <c r="H913" s="6" t="s">
        <v>94</v>
      </c>
      <c r="I913" s="6" t="s">
        <v>4462</v>
      </c>
      <c r="J913" s="6" t="s">
        <v>4463</v>
      </c>
      <c r="K913" s="6" t="s">
        <v>3331</v>
      </c>
      <c r="L913" s="6">
        <v>80390350</v>
      </c>
      <c r="M913" s="6" t="s">
        <v>1167</v>
      </c>
      <c r="N913" s="6" t="s">
        <v>1098</v>
      </c>
      <c r="O913" s="6" t="s">
        <v>21</v>
      </c>
      <c r="P913" s="6" t="s">
        <v>21</v>
      </c>
      <c r="Q913" s="6" t="s">
        <v>3332</v>
      </c>
      <c r="R913" s="8" t="s">
        <v>1808</v>
      </c>
      <c r="S913" s="6"/>
    </row>
    <row r="914" spans="1:19" ht="25.5" x14ac:dyDescent="0.25">
      <c r="A914" s="5" t="s">
        <v>3872</v>
      </c>
      <c r="B914" s="5">
        <v>913</v>
      </c>
      <c r="C914" s="6" t="s">
        <v>2711</v>
      </c>
      <c r="D914" s="6" t="s">
        <v>4142</v>
      </c>
      <c r="E914" s="6">
        <v>130</v>
      </c>
      <c r="F914" s="6" t="s">
        <v>1128</v>
      </c>
      <c r="G914" s="6">
        <v>753</v>
      </c>
      <c r="H914" s="6" t="s">
        <v>1140</v>
      </c>
      <c r="I914" s="6" t="s">
        <v>4464</v>
      </c>
      <c r="J914" s="6" t="s">
        <v>4465</v>
      </c>
      <c r="K914" s="6" t="s">
        <v>3331</v>
      </c>
      <c r="L914" s="6">
        <v>79474077</v>
      </c>
      <c r="M914" s="6" t="s">
        <v>1167</v>
      </c>
      <c r="N914" s="6" t="s">
        <v>1168</v>
      </c>
      <c r="O914" s="6" t="s">
        <v>21</v>
      </c>
      <c r="P914" s="6" t="s">
        <v>21</v>
      </c>
      <c r="Q914" s="6" t="s">
        <v>3332</v>
      </c>
      <c r="R914" s="8" t="s">
        <v>1808</v>
      </c>
      <c r="S914" s="6"/>
    </row>
    <row r="915" spans="1:19" ht="25.5" x14ac:dyDescent="0.25">
      <c r="A915" s="5" t="s">
        <v>3872</v>
      </c>
      <c r="B915" s="5">
        <v>914</v>
      </c>
      <c r="C915" s="6" t="s">
        <v>2712</v>
      </c>
      <c r="D915" s="6" t="s">
        <v>4142</v>
      </c>
      <c r="E915" s="6">
        <v>144</v>
      </c>
      <c r="F915" s="6" t="s">
        <v>1169</v>
      </c>
      <c r="G915" s="6">
        <v>772</v>
      </c>
      <c r="H915" s="6" t="s">
        <v>341</v>
      </c>
      <c r="I915" s="6" t="s">
        <v>4466</v>
      </c>
      <c r="J915" s="6" t="s">
        <v>4467</v>
      </c>
      <c r="K915" s="6" t="s">
        <v>3331</v>
      </c>
      <c r="L915" s="6">
        <v>52104975</v>
      </c>
      <c r="M915" s="6" t="s">
        <v>1167</v>
      </c>
      <c r="N915" s="6" t="s">
        <v>1098</v>
      </c>
      <c r="O915" s="6" t="s">
        <v>21</v>
      </c>
      <c r="P915" s="6" t="s">
        <v>21</v>
      </c>
      <c r="Q915" s="6" t="s">
        <v>3332</v>
      </c>
      <c r="R915" s="8" t="s">
        <v>1808</v>
      </c>
      <c r="S915" s="6"/>
    </row>
    <row r="916" spans="1:19" ht="25.5" x14ac:dyDescent="0.25">
      <c r="A916" s="5" t="s">
        <v>3872</v>
      </c>
      <c r="B916" s="5">
        <v>915</v>
      </c>
      <c r="C916" s="6" t="s">
        <v>2713</v>
      </c>
      <c r="D916" s="6" t="s">
        <v>4142</v>
      </c>
      <c r="E916" s="6">
        <v>28</v>
      </c>
      <c r="F916" s="6" t="s">
        <v>1086</v>
      </c>
      <c r="G916" s="6">
        <v>840</v>
      </c>
      <c r="H916" s="6" t="s">
        <v>107</v>
      </c>
      <c r="I916" s="6" t="s">
        <v>4468</v>
      </c>
      <c r="J916" s="6" t="s">
        <v>4469</v>
      </c>
      <c r="K916" s="6" t="s">
        <v>3331</v>
      </c>
      <c r="L916" s="6">
        <v>33207609</v>
      </c>
      <c r="M916" s="6" t="s">
        <v>1167</v>
      </c>
      <c r="N916" s="6" t="s">
        <v>1098</v>
      </c>
      <c r="O916" s="6" t="s">
        <v>21</v>
      </c>
      <c r="P916" s="6" t="s">
        <v>21</v>
      </c>
      <c r="Q916" s="6" t="s">
        <v>3332</v>
      </c>
      <c r="R916" s="8" t="s">
        <v>1808</v>
      </c>
      <c r="S916" s="6"/>
    </row>
    <row r="917" spans="1:19" ht="25.5" x14ac:dyDescent="0.25">
      <c r="A917" s="5" t="s">
        <v>3872</v>
      </c>
      <c r="B917" s="5">
        <v>916</v>
      </c>
      <c r="C917" s="6" t="s">
        <v>2714</v>
      </c>
      <c r="D917" s="6" t="s">
        <v>4142</v>
      </c>
      <c r="E917" s="6">
        <v>40</v>
      </c>
      <c r="F917" s="6" t="s">
        <v>1087</v>
      </c>
      <c r="G917" s="6">
        <v>871</v>
      </c>
      <c r="H917" s="6" t="s">
        <v>346</v>
      </c>
      <c r="I917" s="6" t="s">
        <v>4470</v>
      </c>
      <c r="J917" s="6" t="s">
        <v>3461</v>
      </c>
      <c r="K917" s="6" t="s">
        <v>3331</v>
      </c>
      <c r="L917" s="6">
        <v>80417169</v>
      </c>
      <c r="M917" s="6" t="s">
        <v>1167</v>
      </c>
      <c r="N917" s="6" t="s">
        <v>1098</v>
      </c>
      <c r="O917" s="6" t="s">
        <v>21</v>
      </c>
      <c r="P917" s="6" t="s">
        <v>21</v>
      </c>
      <c r="Q917" s="6" t="s">
        <v>3332</v>
      </c>
      <c r="R917" s="8" t="s">
        <v>1808</v>
      </c>
      <c r="S917" s="6"/>
    </row>
    <row r="918" spans="1:19" ht="25.5" x14ac:dyDescent="0.25">
      <c r="A918" s="5" t="s">
        <v>3872</v>
      </c>
      <c r="B918" s="5">
        <v>917</v>
      </c>
      <c r="C918" s="6" t="s">
        <v>2715</v>
      </c>
      <c r="D918" s="6" t="s">
        <v>4142</v>
      </c>
      <c r="E918" s="6">
        <v>92</v>
      </c>
      <c r="F918" s="6" t="s">
        <v>1145</v>
      </c>
      <c r="G918" s="6">
        <v>1063</v>
      </c>
      <c r="H918" s="6" t="s">
        <v>362</v>
      </c>
      <c r="I918" s="6" t="s">
        <v>4471</v>
      </c>
      <c r="J918" s="6" t="s">
        <v>4472</v>
      </c>
      <c r="K918" s="6" t="s">
        <v>3331</v>
      </c>
      <c r="L918" s="6">
        <v>79565414</v>
      </c>
      <c r="M918" s="6" t="s">
        <v>1167</v>
      </c>
      <c r="N918" s="6" t="s">
        <v>1168</v>
      </c>
      <c r="O918" s="6" t="s">
        <v>21</v>
      </c>
      <c r="P918" s="6" t="s">
        <v>21</v>
      </c>
      <c r="Q918" s="6" t="s">
        <v>3332</v>
      </c>
      <c r="R918" s="8" t="s">
        <v>1808</v>
      </c>
      <c r="S918" s="6"/>
    </row>
    <row r="919" spans="1:19" ht="25.5" x14ac:dyDescent="0.25">
      <c r="A919" s="5" t="s">
        <v>3872</v>
      </c>
      <c r="B919" s="5">
        <v>918</v>
      </c>
      <c r="C919" s="6" t="s">
        <v>2716</v>
      </c>
      <c r="D919" s="6" t="s">
        <v>4142</v>
      </c>
      <c r="E919" s="6">
        <v>92</v>
      </c>
      <c r="F919" s="6" t="s">
        <v>1145</v>
      </c>
      <c r="G919" s="6">
        <v>1063</v>
      </c>
      <c r="H919" s="6" t="s">
        <v>362</v>
      </c>
      <c r="I919" s="6" t="s">
        <v>4473</v>
      </c>
      <c r="J919" s="6" t="s">
        <v>4474</v>
      </c>
      <c r="K919" s="6" t="s">
        <v>3331</v>
      </c>
      <c r="L919" s="6">
        <v>80416357</v>
      </c>
      <c r="M919" s="6" t="s">
        <v>1167</v>
      </c>
      <c r="N919" s="6" t="s">
        <v>1168</v>
      </c>
      <c r="O919" s="6" t="s">
        <v>21</v>
      </c>
      <c r="P919" s="6" t="s">
        <v>21</v>
      </c>
      <c r="Q919" s="6" t="s">
        <v>3332</v>
      </c>
      <c r="R919" s="8" t="s">
        <v>1808</v>
      </c>
      <c r="S919" s="6"/>
    </row>
    <row r="920" spans="1:19" ht="25.5" x14ac:dyDescent="0.25">
      <c r="A920" s="5" t="s">
        <v>3872</v>
      </c>
      <c r="B920" s="5">
        <v>919</v>
      </c>
      <c r="C920" s="6" t="s">
        <v>2717</v>
      </c>
      <c r="D920" s="6" t="s">
        <v>4142</v>
      </c>
      <c r="E920" s="6">
        <v>21</v>
      </c>
      <c r="F920" s="6" t="s">
        <v>1146</v>
      </c>
      <c r="G920" s="6">
        <v>1176</v>
      </c>
      <c r="H920" s="6" t="s">
        <v>1147</v>
      </c>
      <c r="I920" s="6" t="s">
        <v>4475</v>
      </c>
      <c r="J920" s="6" t="s">
        <v>4476</v>
      </c>
      <c r="K920" s="6" t="s">
        <v>3331</v>
      </c>
      <c r="L920" s="6">
        <v>11936076</v>
      </c>
      <c r="M920" s="6" t="s">
        <v>1167</v>
      </c>
      <c r="N920" s="6" t="s">
        <v>1168</v>
      </c>
      <c r="O920" s="6" t="s">
        <v>21</v>
      </c>
      <c r="P920" s="6" t="s">
        <v>21</v>
      </c>
      <c r="Q920" s="6" t="s">
        <v>3332</v>
      </c>
      <c r="R920" s="8" t="s">
        <v>1808</v>
      </c>
      <c r="S920" s="6"/>
    </row>
    <row r="921" spans="1:19" ht="25.5" x14ac:dyDescent="0.25">
      <c r="A921" s="5" t="s">
        <v>3872</v>
      </c>
      <c r="B921" s="5">
        <v>920</v>
      </c>
      <c r="C921" s="6" t="s">
        <v>2718</v>
      </c>
      <c r="D921" s="6" t="s">
        <v>4142</v>
      </c>
      <c r="E921" s="6">
        <v>21</v>
      </c>
      <c r="F921" s="6" t="s">
        <v>1146</v>
      </c>
      <c r="G921" s="6">
        <v>1176</v>
      </c>
      <c r="H921" s="6" t="s">
        <v>1147</v>
      </c>
      <c r="I921" s="6" t="s">
        <v>4477</v>
      </c>
      <c r="J921" s="6" t="s">
        <v>4478</v>
      </c>
      <c r="K921" s="6" t="s">
        <v>3331</v>
      </c>
      <c r="L921" s="6">
        <v>80469915</v>
      </c>
      <c r="M921" s="6" t="s">
        <v>1167</v>
      </c>
      <c r="N921" s="6" t="s">
        <v>1168</v>
      </c>
      <c r="O921" s="6" t="s">
        <v>21</v>
      </c>
      <c r="P921" s="6" t="s">
        <v>21</v>
      </c>
      <c r="Q921" s="6" t="s">
        <v>3332</v>
      </c>
      <c r="R921" s="8" t="s">
        <v>1808</v>
      </c>
      <c r="S921" s="6"/>
    </row>
    <row r="922" spans="1:19" ht="25.5" x14ac:dyDescent="0.25">
      <c r="A922" s="5" t="s">
        <v>3872</v>
      </c>
      <c r="B922" s="5">
        <v>921</v>
      </c>
      <c r="C922" s="6" t="s">
        <v>2719</v>
      </c>
      <c r="D922" s="6" t="s">
        <v>4142</v>
      </c>
      <c r="E922" s="6">
        <v>39</v>
      </c>
      <c r="F922" s="6" t="s">
        <v>1094</v>
      </c>
      <c r="G922" s="6">
        <v>1225</v>
      </c>
      <c r="H922" s="6" t="s">
        <v>349</v>
      </c>
      <c r="I922" s="6" t="s">
        <v>4479</v>
      </c>
      <c r="J922" s="6" t="s">
        <v>4480</v>
      </c>
      <c r="K922" s="6" t="s">
        <v>3331</v>
      </c>
      <c r="L922" s="6">
        <v>79555807</v>
      </c>
      <c r="M922" s="6" t="s">
        <v>1167</v>
      </c>
      <c r="N922" s="6" t="s">
        <v>1168</v>
      </c>
      <c r="O922" s="6" t="s">
        <v>21</v>
      </c>
      <c r="P922" s="6" t="s">
        <v>21</v>
      </c>
      <c r="Q922" s="6" t="s">
        <v>3332</v>
      </c>
      <c r="R922" s="8" t="s">
        <v>1808</v>
      </c>
      <c r="S922" s="6"/>
    </row>
    <row r="923" spans="1:19" ht="25.5" x14ac:dyDescent="0.25">
      <c r="A923" s="5" t="s">
        <v>3872</v>
      </c>
      <c r="B923" s="5">
        <v>922</v>
      </c>
      <c r="C923" s="6" t="s">
        <v>2720</v>
      </c>
      <c r="D923" s="6" t="s">
        <v>4142</v>
      </c>
      <c r="E923" s="6">
        <v>31</v>
      </c>
      <c r="F923" s="6" t="s">
        <v>1092</v>
      </c>
      <c r="G923" s="6">
        <v>1197</v>
      </c>
      <c r="H923" s="6" t="s">
        <v>1093</v>
      </c>
      <c r="I923" s="6" t="s">
        <v>4481</v>
      </c>
      <c r="J923" s="6" t="s">
        <v>4482</v>
      </c>
      <c r="K923" s="6" t="s">
        <v>3331</v>
      </c>
      <c r="L923" s="6">
        <v>9658854</v>
      </c>
      <c r="M923" s="6" t="s">
        <v>1170</v>
      </c>
      <c r="N923" s="6" t="s">
        <v>1168</v>
      </c>
      <c r="O923" s="6" t="s">
        <v>21</v>
      </c>
      <c r="P923" s="6" t="s">
        <v>21</v>
      </c>
      <c r="Q923" s="6" t="s">
        <v>3332</v>
      </c>
      <c r="R923" s="8" t="s">
        <v>1808</v>
      </c>
      <c r="S923" s="6"/>
    </row>
    <row r="924" spans="1:19" ht="25.5" x14ac:dyDescent="0.25">
      <c r="A924" s="5" t="s">
        <v>3872</v>
      </c>
      <c r="B924" s="5">
        <v>923</v>
      </c>
      <c r="C924" s="6" t="s">
        <v>2721</v>
      </c>
      <c r="D924" s="6" t="s">
        <v>4142</v>
      </c>
      <c r="E924" s="6">
        <v>31</v>
      </c>
      <c r="F924" s="6" t="s">
        <v>1092</v>
      </c>
      <c r="G924" s="6">
        <v>1197</v>
      </c>
      <c r="H924" s="6" t="s">
        <v>1093</v>
      </c>
      <c r="I924" s="6" t="s">
        <v>4483</v>
      </c>
      <c r="J924" s="6" t="s">
        <v>4012</v>
      </c>
      <c r="K924" s="6" t="s">
        <v>3331</v>
      </c>
      <c r="L924" s="6">
        <v>52006396</v>
      </c>
      <c r="M924" s="6" t="s">
        <v>1170</v>
      </c>
      <c r="N924" s="6" t="s">
        <v>1168</v>
      </c>
      <c r="O924" s="6" t="s">
        <v>21</v>
      </c>
      <c r="P924" s="6" t="s">
        <v>21</v>
      </c>
      <c r="Q924" s="6" t="s">
        <v>3332</v>
      </c>
      <c r="R924" s="8" t="s">
        <v>1808</v>
      </c>
      <c r="S924" s="6"/>
    </row>
    <row r="925" spans="1:19" ht="25.5" x14ac:dyDescent="0.25">
      <c r="A925" s="5" t="s">
        <v>3872</v>
      </c>
      <c r="B925" s="5">
        <v>924</v>
      </c>
      <c r="C925" s="6" t="s">
        <v>2722</v>
      </c>
      <c r="D925" s="6" t="s">
        <v>4142</v>
      </c>
      <c r="E925" s="6">
        <v>12</v>
      </c>
      <c r="F925" s="6" t="s">
        <v>1171</v>
      </c>
      <c r="G925" s="6">
        <v>177</v>
      </c>
      <c r="H925" s="6" t="s">
        <v>1172</v>
      </c>
      <c r="I925" s="6" t="s">
        <v>4484</v>
      </c>
      <c r="J925" s="6" t="s">
        <v>4485</v>
      </c>
      <c r="K925" s="6" t="s">
        <v>3331</v>
      </c>
      <c r="L925" s="6">
        <v>80117629</v>
      </c>
      <c r="M925" s="6" t="s">
        <v>1170</v>
      </c>
      <c r="N925" s="6" t="s">
        <v>1173</v>
      </c>
      <c r="O925" s="6">
        <v>2552</v>
      </c>
      <c r="P925" s="6" t="s">
        <v>1174</v>
      </c>
      <c r="Q925" s="6" t="s">
        <v>3332</v>
      </c>
      <c r="R925" s="8" t="s">
        <v>1808</v>
      </c>
      <c r="S925" s="6"/>
    </row>
    <row r="926" spans="1:19" ht="25.5" x14ac:dyDescent="0.25">
      <c r="A926" s="5" t="s">
        <v>3872</v>
      </c>
      <c r="B926" s="5">
        <v>925</v>
      </c>
      <c r="C926" s="6" t="s">
        <v>2723</v>
      </c>
      <c r="D926" s="6" t="s">
        <v>4142</v>
      </c>
      <c r="E926" s="6">
        <v>68</v>
      </c>
      <c r="F926" s="6" t="s">
        <v>1083</v>
      </c>
      <c r="G926" s="6">
        <v>636</v>
      </c>
      <c r="H926" s="6" t="s">
        <v>333</v>
      </c>
      <c r="I926" s="6" t="s">
        <v>4486</v>
      </c>
      <c r="J926" s="6" t="s">
        <v>4487</v>
      </c>
      <c r="K926" s="6" t="s">
        <v>3331</v>
      </c>
      <c r="L926" s="6">
        <v>79308278</v>
      </c>
      <c r="M926" s="6" t="s">
        <v>1175</v>
      </c>
      <c r="N926" s="6" t="s">
        <v>1163</v>
      </c>
      <c r="O926" s="6" t="s">
        <v>21</v>
      </c>
      <c r="P926" s="6" t="s">
        <v>21</v>
      </c>
      <c r="Q926" s="6" t="s">
        <v>3332</v>
      </c>
      <c r="R926" s="8" t="s">
        <v>1808</v>
      </c>
      <c r="S926" s="6"/>
    </row>
    <row r="927" spans="1:19" ht="25.5" x14ac:dyDescent="0.25">
      <c r="A927" s="5" t="s">
        <v>3872</v>
      </c>
      <c r="B927" s="5">
        <v>926</v>
      </c>
      <c r="C927" s="6" t="s">
        <v>2724</v>
      </c>
      <c r="D927" s="6" t="s">
        <v>4142</v>
      </c>
      <c r="E927" s="6">
        <v>88</v>
      </c>
      <c r="F927" s="6" t="s">
        <v>1176</v>
      </c>
      <c r="G927" s="6">
        <v>675</v>
      </c>
      <c r="H927" s="6" t="s">
        <v>882</v>
      </c>
      <c r="I927" s="6" t="s">
        <v>4488</v>
      </c>
      <c r="J927" s="6" t="s">
        <v>4489</v>
      </c>
      <c r="K927" s="6" t="s">
        <v>3331</v>
      </c>
      <c r="L927" s="6">
        <v>52028510</v>
      </c>
      <c r="M927" s="6" t="s">
        <v>1175</v>
      </c>
      <c r="N927" s="6" t="s">
        <v>1163</v>
      </c>
      <c r="O927" s="6" t="s">
        <v>21</v>
      </c>
      <c r="P927" s="6" t="s">
        <v>21</v>
      </c>
      <c r="Q927" s="6" t="s">
        <v>3332</v>
      </c>
      <c r="R927" s="8" t="s">
        <v>1808</v>
      </c>
      <c r="S927" s="6"/>
    </row>
    <row r="928" spans="1:19" ht="25.5" x14ac:dyDescent="0.25">
      <c r="A928" s="5" t="s">
        <v>3872</v>
      </c>
      <c r="B928" s="5">
        <v>927</v>
      </c>
      <c r="C928" s="6" t="s">
        <v>2725</v>
      </c>
      <c r="D928" s="6" t="s">
        <v>4142</v>
      </c>
      <c r="E928" s="6">
        <v>88</v>
      </c>
      <c r="F928" s="6" t="s">
        <v>1176</v>
      </c>
      <c r="G928" s="6">
        <v>675</v>
      </c>
      <c r="H928" s="6" t="s">
        <v>882</v>
      </c>
      <c r="I928" s="6" t="s">
        <v>4490</v>
      </c>
      <c r="J928" s="6" t="s">
        <v>4491</v>
      </c>
      <c r="K928" s="6" t="s">
        <v>3331</v>
      </c>
      <c r="L928" s="6">
        <v>39771965</v>
      </c>
      <c r="M928" s="6" t="s">
        <v>1175</v>
      </c>
      <c r="N928" s="6" t="s">
        <v>1163</v>
      </c>
      <c r="O928" s="6" t="s">
        <v>21</v>
      </c>
      <c r="P928" s="6" t="s">
        <v>21</v>
      </c>
      <c r="Q928" s="6" t="s">
        <v>3332</v>
      </c>
      <c r="R928" s="8" t="s">
        <v>1808</v>
      </c>
      <c r="S928" s="6"/>
    </row>
    <row r="929" spans="1:19" ht="25.5" x14ac:dyDescent="0.25">
      <c r="A929" s="5" t="s">
        <v>3872</v>
      </c>
      <c r="B929" s="5">
        <v>928</v>
      </c>
      <c r="C929" s="6" t="s">
        <v>2726</v>
      </c>
      <c r="D929" s="6" t="s">
        <v>4142</v>
      </c>
      <c r="E929" s="6">
        <v>84</v>
      </c>
      <c r="F929" s="6" t="s">
        <v>1089</v>
      </c>
      <c r="G929" s="6">
        <v>1032</v>
      </c>
      <c r="H929" s="6" t="s">
        <v>1090</v>
      </c>
      <c r="I929" s="6" t="s">
        <v>4492</v>
      </c>
      <c r="J929" s="6" t="s">
        <v>4493</v>
      </c>
      <c r="K929" s="6" t="s">
        <v>3331</v>
      </c>
      <c r="L929" s="6">
        <v>51930331</v>
      </c>
      <c r="M929" s="6" t="s">
        <v>1175</v>
      </c>
      <c r="N929" s="6" t="s">
        <v>1163</v>
      </c>
      <c r="O929" s="6" t="s">
        <v>21</v>
      </c>
      <c r="P929" s="6" t="s">
        <v>21</v>
      </c>
      <c r="Q929" s="6" t="s">
        <v>3332</v>
      </c>
      <c r="R929" s="8" t="s">
        <v>1808</v>
      </c>
      <c r="S929" s="6"/>
    </row>
    <row r="930" spans="1:19" ht="25.5" x14ac:dyDescent="0.25">
      <c r="A930" s="5" t="s">
        <v>3872</v>
      </c>
      <c r="B930" s="5">
        <v>929</v>
      </c>
      <c r="C930" s="6" t="s">
        <v>2727</v>
      </c>
      <c r="D930" s="6" t="s">
        <v>4142</v>
      </c>
      <c r="E930" s="6">
        <v>68</v>
      </c>
      <c r="F930" s="6" t="s">
        <v>1083</v>
      </c>
      <c r="G930" s="6">
        <v>636</v>
      </c>
      <c r="H930" s="6" t="s">
        <v>333</v>
      </c>
      <c r="I930" s="6" t="s">
        <v>4494</v>
      </c>
      <c r="J930" s="6" t="s">
        <v>4274</v>
      </c>
      <c r="K930" s="6" t="s">
        <v>3331</v>
      </c>
      <c r="L930" s="6">
        <v>19302660</v>
      </c>
      <c r="M930" s="6" t="s">
        <v>1177</v>
      </c>
      <c r="N930" s="6" t="s">
        <v>1178</v>
      </c>
      <c r="O930" s="6" t="s">
        <v>21</v>
      </c>
      <c r="P930" s="6" t="s">
        <v>21</v>
      </c>
      <c r="Q930" s="6" t="s">
        <v>3332</v>
      </c>
      <c r="R930" s="8" t="s">
        <v>1808</v>
      </c>
      <c r="S930" s="6"/>
    </row>
    <row r="931" spans="1:19" ht="25.5" x14ac:dyDescent="0.25">
      <c r="A931" s="5" t="s">
        <v>3872</v>
      </c>
      <c r="B931" s="5">
        <v>930</v>
      </c>
      <c r="C931" s="6" t="s">
        <v>2728</v>
      </c>
      <c r="D931" s="6" t="s">
        <v>4142</v>
      </c>
      <c r="E931" s="6">
        <v>4</v>
      </c>
      <c r="F931" s="6" t="s">
        <v>1085</v>
      </c>
      <c r="G931" s="6">
        <v>819</v>
      </c>
      <c r="H931" s="6" t="s">
        <v>779</v>
      </c>
      <c r="I931" s="6" t="s">
        <v>4495</v>
      </c>
      <c r="J931" s="6" t="s">
        <v>4496</v>
      </c>
      <c r="K931" s="6" t="s">
        <v>3331</v>
      </c>
      <c r="L931" s="6">
        <v>41629173</v>
      </c>
      <c r="M931" s="6" t="s">
        <v>1177</v>
      </c>
      <c r="N931" s="6" t="s">
        <v>1178</v>
      </c>
      <c r="O931" s="6" t="s">
        <v>21</v>
      </c>
      <c r="P931" s="6" t="s">
        <v>21</v>
      </c>
      <c r="Q931" s="6" t="s">
        <v>3332</v>
      </c>
      <c r="R931" s="8" t="s">
        <v>1808</v>
      </c>
      <c r="S931" s="6"/>
    </row>
    <row r="932" spans="1:19" ht="25.5" x14ac:dyDescent="0.25">
      <c r="A932" s="5" t="s">
        <v>3872</v>
      </c>
      <c r="B932" s="5">
        <v>931</v>
      </c>
      <c r="C932" s="6" t="s">
        <v>2729</v>
      </c>
      <c r="D932" s="6" t="s">
        <v>4142</v>
      </c>
      <c r="E932" s="6">
        <v>92</v>
      </c>
      <c r="F932" s="6" t="s">
        <v>1145</v>
      </c>
      <c r="G932" s="6">
        <v>1063</v>
      </c>
      <c r="H932" s="6" t="s">
        <v>362</v>
      </c>
      <c r="I932" s="6" t="s">
        <v>4497</v>
      </c>
      <c r="J932" s="6" t="s">
        <v>4498</v>
      </c>
      <c r="K932" s="6" t="s">
        <v>3331</v>
      </c>
      <c r="L932" s="6">
        <v>12111028</v>
      </c>
      <c r="M932" s="6" t="s">
        <v>1177</v>
      </c>
      <c r="N932" s="6" t="s">
        <v>1178</v>
      </c>
      <c r="O932" s="6" t="s">
        <v>21</v>
      </c>
      <c r="P932" s="6" t="s">
        <v>21</v>
      </c>
      <c r="Q932" s="6" t="s">
        <v>3332</v>
      </c>
      <c r="R932" s="8" t="s">
        <v>1808</v>
      </c>
      <c r="S932" s="6"/>
    </row>
    <row r="933" spans="1:19" ht="25.5" x14ac:dyDescent="0.25">
      <c r="A933" s="5" t="s">
        <v>3872</v>
      </c>
      <c r="B933" s="5">
        <v>932</v>
      </c>
      <c r="C933" s="6" t="s">
        <v>2730</v>
      </c>
      <c r="D933" s="6" t="s">
        <v>4142</v>
      </c>
      <c r="E933" s="6">
        <v>76</v>
      </c>
      <c r="F933" s="6" t="s">
        <v>1084</v>
      </c>
      <c r="G933" s="6">
        <v>636</v>
      </c>
      <c r="H933" s="6" t="s">
        <v>333</v>
      </c>
      <c r="I933" s="6" t="s">
        <v>4499</v>
      </c>
      <c r="J933" s="6" t="s">
        <v>4500</v>
      </c>
      <c r="K933" s="6" t="s">
        <v>3331</v>
      </c>
      <c r="L933" s="6">
        <v>19420864</v>
      </c>
      <c r="M933" s="6" t="s">
        <v>1179</v>
      </c>
      <c r="N933" s="6" t="s">
        <v>1178</v>
      </c>
      <c r="O933" s="6" t="s">
        <v>21</v>
      </c>
      <c r="P933" s="6" t="s">
        <v>21</v>
      </c>
      <c r="Q933" s="6" t="s">
        <v>3332</v>
      </c>
      <c r="R933" s="8" t="s">
        <v>1808</v>
      </c>
      <c r="S933" s="6"/>
    </row>
    <row r="934" spans="1:19" ht="25.5" x14ac:dyDescent="0.25">
      <c r="A934" s="5" t="s">
        <v>3872</v>
      </c>
      <c r="B934" s="5">
        <v>933</v>
      </c>
      <c r="C934" s="6" t="s">
        <v>2731</v>
      </c>
      <c r="D934" s="6" t="s">
        <v>4142</v>
      </c>
      <c r="E934" s="6">
        <v>100</v>
      </c>
      <c r="F934" s="6" t="s">
        <v>1176</v>
      </c>
      <c r="G934" s="6">
        <v>675</v>
      </c>
      <c r="H934" s="6" t="s">
        <v>882</v>
      </c>
      <c r="I934" s="6" t="s">
        <v>4501</v>
      </c>
      <c r="J934" s="6" t="s">
        <v>3461</v>
      </c>
      <c r="K934" s="6" t="s">
        <v>3331</v>
      </c>
      <c r="L934" s="6">
        <v>79055581</v>
      </c>
      <c r="M934" s="6" t="s">
        <v>1179</v>
      </c>
      <c r="N934" s="6" t="s">
        <v>1178</v>
      </c>
      <c r="O934" s="6" t="s">
        <v>21</v>
      </c>
      <c r="P934" s="6" t="s">
        <v>21</v>
      </c>
      <c r="Q934" s="6" t="s">
        <v>3332</v>
      </c>
      <c r="R934" s="8" t="s">
        <v>1808</v>
      </c>
      <c r="S934" s="6"/>
    </row>
    <row r="935" spans="1:19" ht="25.5" x14ac:dyDescent="0.25">
      <c r="A935" s="5" t="s">
        <v>3872</v>
      </c>
      <c r="B935" s="5">
        <v>934</v>
      </c>
      <c r="C935" s="6" t="s">
        <v>2732</v>
      </c>
      <c r="D935" s="6" t="s">
        <v>4142</v>
      </c>
      <c r="E935" s="6">
        <v>40</v>
      </c>
      <c r="F935" s="6" t="s">
        <v>1087</v>
      </c>
      <c r="G935" s="6">
        <v>871</v>
      </c>
      <c r="H935" s="6" t="s">
        <v>346</v>
      </c>
      <c r="I935" s="6" t="s">
        <v>4502</v>
      </c>
      <c r="J935" s="6" t="s">
        <v>4503</v>
      </c>
      <c r="K935" s="6" t="s">
        <v>3331</v>
      </c>
      <c r="L935" s="6">
        <v>7167209</v>
      </c>
      <c r="M935" s="6" t="s">
        <v>1179</v>
      </c>
      <c r="N935" s="6" t="s">
        <v>1178</v>
      </c>
      <c r="O935" s="6" t="s">
        <v>21</v>
      </c>
      <c r="P935" s="6" t="s">
        <v>21</v>
      </c>
      <c r="Q935" s="6" t="s">
        <v>3332</v>
      </c>
      <c r="R935" s="8" t="s">
        <v>1808</v>
      </c>
      <c r="S935" s="6"/>
    </row>
    <row r="936" spans="1:19" ht="25.5" x14ac:dyDescent="0.25">
      <c r="A936" s="5" t="s">
        <v>3872</v>
      </c>
      <c r="B936" s="5">
        <v>935</v>
      </c>
      <c r="C936" s="6" t="s">
        <v>2733</v>
      </c>
      <c r="D936" s="6" t="s">
        <v>4142</v>
      </c>
      <c r="E936" s="6">
        <v>61</v>
      </c>
      <c r="F936" s="6" t="s">
        <v>1141</v>
      </c>
      <c r="G936" s="6">
        <v>950</v>
      </c>
      <c r="H936" s="6" t="s">
        <v>111</v>
      </c>
      <c r="I936" s="6" t="s">
        <v>4504</v>
      </c>
      <c r="J936" s="6" t="s">
        <v>4048</v>
      </c>
      <c r="K936" s="6" t="s">
        <v>3331</v>
      </c>
      <c r="L936" s="6">
        <v>79566875</v>
      </c>
      <c r="M936" s="6" t="s">
        <v>1179</v>
      </c>
      <c r="N936" s="6" t="s">
        <v>1178</v>
      </c>
      <c r="O936" s="6" t="s">
        <v>21</v>
      </c>
      <c r="P936" s="6" t="s">
        <v>21</v>
      </c>
      <c r="Q936" s="6" t="s">
        <v>3332</v>
      </c>
      <c r="R936" s="8" t="s">
        <v>1808</v>
      </c>
      <c r="S936" s="6"/>
    </row>
    <row r="937" spans="1:19" ht="25.5" x14ac:dyDescent="0.25">
      <c r="A937" s="5" t="s">
        <v>3872</v>
      </c>
      <c r="B937" s="5">
        <v>936</v>
      </c>
      <c r="C937" s="6" t="s">
        <v>2734</v>
      </c>
      <c r="D937" s="6" t="s">
        <v>4142</v>
      </c>
      <c r="E937" s="6">
        <v>26</v>
      </c>
      <c r="F937" s="6" t="s">
        <v>1146</v>
      </c>
      <c r="G937" s="6">
        <v>1176</v>
      </c>
      <c r="H937" s="6" t="s">
        <v>1147</v>
      </c>
      <c r="I937" s="6" t="s">
        <v>4505</v>
      </c>
      <c r="J937" s="6" t="s">
        <v>4506</v>
      </c>
      <c r="K937" s="6" t="s">
        <v>3331</v>
      </c>
      <c r="L937" s="6">
        <v>79716107</v>
      </c>
      <c r="M937" s="6" t="s">
        <v>1179</v>
      </c>
      <c r="N937" s="6" t="s">
        <v>1178</v>
      </c>
      <c r="O937" s="6" t="s">
        <v>21</v>
      </c>
      <c r="P937" s="6" t="s">
        <v>21</v>
      </c>
      <c r="Q937" s="6" t="s">
        <v>3332</v>
      </c>
      <c r="R937" s="8" t="s">
        <v>1808</v>
      </c>
      <c r="S937" s="6"/>
    </row>
    <row r="938" spans="1:19" ht="25.5" x14ac:dyDescent="0.25">
      <c r="A938" s="5" t="s">
        <v>3872</v>
      </c>
      <c r="B938" s="5">
        <v>937</v>
      </c>
      <c r="C938" s="6" t="s">
        <v>2735</v>
      </c>
      <c r="D938" s="6" t="s">
        <v>4142</v>
      </c>
      <c r="E938" s="6">
        <v>98</v>
      </c>
      <c r="F938" s="6" t="s">
        <v>124</v>
      </c>
      <c r="G938" s="6">
        <v>1416</v>
      </c>
      <c r="H938" s="6" t="s">
        <v>125</v>
      </c>
      <c r="I938" s="6" t="s">
        <v>4507</v>
      </c>
      <c r="J938" s="6" t="s">
        <v>4508</v>
      </c>
      <c r="K938" s="6" t="s">
        <v>3331</v>
      </c>
      <c r="L938" s="6">
        <v>11342443</v>
      </c>
      <c r="M938" s="6" t="s">
        <v>1179</v>
      </c>
      <c r="N938" s="6" t="s">
        <v>1178</v>
      </c>
      <c r="O938" s="6" t="s">
        <v>21</v>
      </c>
      <c r="P938" s="6" t="s">
        <v>21</v>
      </c>
      <c r="Q938" s="6" t="s">
        <v>3332</v>
      </c>
      <c r="R938" s="8" t="s">
        <v>1808</v>
      </c>
      <c r="S938" s="6"/>
    </row>
    <row r="939" spans="1:19" ht="25.5" x14ac:dyDescent="0.25">
      <c r="A939" s="5" t="s">
        <v>3872</v>
      </c>
      <c r="B939" s="5">
        <v>938</v>
      </c>
      <c r="C939" s="6" t="s">
        <v>2736</v>
      </c>
      <c r="D939" s="6" t="s">
        <v>4142</v>
      </c>
      <c r="E939" s="6">
        <v>98</v>
      </c>
      <c r="F939" s="6" t="s">
        <v>124</v>
      </c>
      <c r="G939" s="6">
        <v>1416</v>
      </c>
      <c r="H939" s="6" t="s">
        <v>125</v>
      </c>
      <c r="I939" s="6" t="s">
        <v>4509</v>
      </c>
      <c r="J939" s="6" t="s">
        <v>4510</v>
      </c>
      <c r="K939" s="6" t="s">
        <v>3331</v>
      </c>
      <c r="L939" s="6">
        <v>80504437</v>
      </c>
      <c r="M939" s="6" t="s">
        <v>1179</v>
      </c>
      <c r="N939" s="6" t="s">
        <v>1178</v>
      </c>
      <c r="O939" s="6" t="s">
        <v>21</v>
      </c>
      <c r="P939" s="6" t="s">
        <v>21</v>
      </c>
      <c r="Q939" s="6" t="s">
        <v>3332</v>
      </c>
      <c r="R939" s="8" t="s">
        <v>1808</v>
      </c>
      <c r="S939" s="6"/>
    </row>
    <row r="940" spans="1:19" ht="25.5" x14ac:dyDescent="0.25">
      <c r="A940" s="5" t="s">
        <v>3872</v>
      </c>
      <c r="B940" s="5">
        <v>939</v>
      </c>
      <c r="C940" s="6" t="s">
        <v>2737</v>
      </c>
      <c r="D940" s="6" t="s">
        <v>4142</v>
      </c>
      <c r="E940" s="6">
        <v>98</v>
      </c>
      <c r="F940" s="6" t="s">
        <v>124</v>
      </c>
      <c r="G940" s="6">
        <v>1416</v>
      </c>
      <c r="H940" s="6" t="s">
        <v>125</v>
      </c>
      <c r="I940" s="6" t="s">
        <v>4511</v>
      </c>
      <c r="J940" s="6" t="s">
        <v>3829</v>
      </c>
      <c r="K940" s="6" t="s">
        <v>3331</v>
      </c>
      <c r="L940" s="6">
        <v>11231297</v>
      </c>
      <c r="M940" s="6" t="s">
        <v>1179</v>
      </c>
      <c r="N940" s="6" t="s">
        <v>1178</v>
      </c>
      <c r="O940" s="6" t="s">
        <v>21</v>
      </c>
      <c r="P940" s="6" t="s">
        <v>21</v>
      </c>
      <c r="Q940" s="6" t="s">
        <v>3332</v>
      </c>
      <c r="R940" s="8" t="s">
        <v>1808</v>
      </c>
      <c r="S940" s="6"/>
    </row>
    <row r="941" spans="1:19" ht="25.5" x14ac:dyDescent="0.25">
      <c r="A941" s="5" t="s">
        <v>3872</v>
      </c>
      <c r="B941" s="5">
        <v>940</v>
      </c>
      <c r="C941" s="6" t="s">
        <v>2738</v>
      </c>
      <c r="D941" s="6" t="s">
        <v>4142</v>
      </c>
      <c r="E941" s="6">
        <v>109</v>
      </c>
      <c r="F941" s="6" t="s">
        <v>1091</v>
      </c>
      <c r="G941" s="6">
        <v>1097</v>
      </c>
      <c r="H941" s="6" t="s">
        <v>119</v>
      </c>
      <c r="I941" s="6" t="s">
        <v>4512</v>
      </c>
      <c r="J941" s="6" t="s">
        <v>4513</v>
      </c>
      <c r="K941" s="6" t="s">
        <v>3331</v>
      </c>
      <c r="L941" s="6">
        <v>20471915</v>
      </c>
      <c r="M941" s="6" t="s">
        <v>1180</v>
      </c>
      <c r="N941" s="6" t="s">
        <v>1064</v>
      </c>
      <c r="O941" s="6" t="s">
        <v>21</v>
      </c>
      <c r="P941" s="6" t="s">
        <v>21</v>
      </c>
      <c r="Q941" s="6" t="s">
        <v>3332</v>
      </c>
      <c r="R941" s="8" t="s">
        <v>1808</v>
      </c>
      <c r="S941" s="6"/>
    </row>
    <row r="942" spans="1:19" ht="25.5" x14ac:dyDescent="0.25">
      <c r="A942" s="5" t="s">
        <v>3872</v>
      </c>
      <c r="B942" s="5">
        <v>941</v>
      </c>
      <c r="C942" s="6" t="s">
        <v>2739</v>
      </c>
      <c r="D942" s="6" t="s">
        <v>4142</v>
      </c>
      <c r="E942" s="6">
        <v>28</v>
      </c>
      <c r="F942" s="6" t="s">
        <v>1086</v>
      </c>
      <c r="G942" s="6">
        <v>839</v>
      </c>
      <c r="H942" s="6" t="s">
        <v>107</v>
      </c>
      <c r="I942" s="6" t="s">
        <v>4514</v>
      </c>
      <c r="J942" s="6" t="s">
        <v>3739</v>
      </c>
      <c r="K942" s="6" t="s">
        <v>3331</v>
      </c>
      <c r="L942" s="6">
        <v>39779586</v>
      </c>
      <c r="M942" s="6" t="s">
        <v>1181</v>
      </c>
      <c r="N942" s="6" t="s">
        <v>1182</v>
      </c>
      <c r="O942" s="6" t="s">
        <v>21</v>
      </c>
      <c r="P942" s="6" t="s">
        <v>21</v>
      </c>
      <c r="Q942" s="6" t="s">
        <v>3332</v>
      </c>
      <c r="R942" s="8" t="s">
        <v>1808</v>
      </c>
      <c r="S942" s="6"/>
    </row>
    <row r="943" spans="1:19" ht="25.5" x14ac:dyDescent="0.25">
      <c r="A943" s="5" t="s">
        <v>3872</v>
      </c>
      <c r="B943" s="5">
        <v>942</v>
      </c>
      <c r="C943" s="6" t="s">
        <v>2740</v>
      </c>
      <c r="D943" s="6" t="s">
        <v>4142</v>
      </c>
      <c r="E943" s="6">
        <v>53</v>
      </c>
      <c r="F943" s="6" t="s">
        <v>1183</v>
      </c>
      <c r="G943" s="6">
        <v>2552</v>
      </c>
      <c r="H943" s="6" t="s">
        <v>520</v>
      </c>
      <c r="I943" s="6" t="s">
        <v>4515</v>
      </c>
      <c r="J943" s="6" t="s">
        <v>4516</v>
      </c>
      <c r="K943" s="6" t="s">
        <v>3331</v>
      </c>
      <c r="L943" s="6">
        <v>52266763</v>
      </c>
      <c r="M943" s="6" t="s">
        <v>1184</v>
      </c>
      <c r="N943" s="6" t="s">
        <v>1064</v>
      </c>
      <c r="O943" s="6" t="s">
        <v>21</v>
      </c>
      <c r="P943" s="6" t="s">
        <v>136</v>
      </c>
      <c r="Q943" s="6" t="s">
        <v>3332</v>
      </c>
      <c r="R943" s="8" t="s">
        <v>1808</v>
      </c>
      <c r="S943" s="6"/>
    </row>
    <row r="944" spans="1:19" ht="25.5" x14ac:dyDescent="0.25">
      <c r="A944" s="5" t="s">
        <v>3872</v>
      </c>
      <c r="B944" s="5">
        <v>943</v>
      </c>
      <c r="C944" s="6" t="s">
        <v>2741</v>
      </c>
      <c r="D944" s="6" t="s">
        <v>4142</v>
      </c>
      <c r="E944" s="6">
        <v>30</v>
      </c>
      <c r="F944" s="6" t="s">
        <v>853</v>
      </c>
      <c r="G944" s="6">
        <v>2958</v>
      </c>
      <c r="H944" s="6" t="s">
        <v>854</v>
      </c>
      <c r="I944" s="6" t="s">
        <v>4517</v>
      </c>
      <c r="J944" s="6" t="s">
        <v>4518</v>
      </c>
      <c r="K944" s="6" t="s">
        <v>3331</v>
      </c>
      <c r="L944" s="6">
        <v>79052270</v>
      </c>
      <c r="M944" s="6" t="s">
        <v>1184</v>
      </c>
      <c r="N944" s="6" t="s">
        <v>1064</v>
      </c>
      <c r="O944" s="6" t="s">
        <v>21</v>
      </c>
      <c r="P944" s="6" t="s">
        <v>1185</v>
      </c>
      <c r="Q944" s="6" t="s">
        <v>3332</v>
      </c>
      <c r="R944" s="8" t="s">
        <v>1808</v>
      </c>
      <c r="S944" s="6"/>
    </row>
    <row r="945" spans="1:19" ht="25.5" x14ac:dyDescent="0.25">
      <c r="A945" s="5" t="s">
        <v>3872</v>
      </c>
      <c r="B945" s="5">
        <v>944</v>
      </c>
      <c r="C945" s="6" t="s">
        <v>2742</v>
      </c>
      <c r="D945" s="6" t="s">
        <v>4142</v>
      </c>
      <c r="E945" s="6">
        <v>12</v>
      </c>
      <c r="F945" s="6" t="s">
        <v>1186</v>
      </c>
      <c r="G945" s="6">
        <v>1826</v>
      </c>
      <c r="H945" s="6" t="s">
        <v>1187</v>
      </c>
      <c r="I945" s="6" t="s">
        <v>4519</v>
      </c>
      <c r="J945" s="6" t="s">
        <v>4520</v>
      </c>
      <c r="K945" s="6" t="s">
        <v>3331</v>
      </c>
      <c r="L945" s="6">
        <v>52347165</v>
      </c>
      <c r="M945" s="6" t="s">
        <v>1184</v>
      </c>
      <c r="N945" s="6" t="s">
        <v>1064</v>
      </c>
      <c r="O945" s="6" t="s">
        <v>21</v>
      </c>
      <c r="P945" s="6" t="s">
        <v>21</v>
      </c>
      <c r="Q945" s="6" t="s">
        <v>3332</v>
      </c>
      <c r="R945" s="8" t="s">
        <v>1808</v>
      </c>
      <c r="S945" s="6"/>
    </row>
    <row r="946" spans="1:19" ht="25.5" x14ac:dyDescent="0.25">
      <c r="A946" s="5" t="s">
        <v>3872</v>
      </c>
      <c r="B946" s="5">
        <v>945</v>
      </c>
      <c r="C946" s="6" t="s">
        <v>2743</v>
      </c>
      <c r="D946" s="6" t="s">
        <v>4142</v>
      </c>
      <c r="E946" s="6">
        <v>26</v>
      </c>
      <c r="F946" s="6" t="s">
        <v>1188</v>
      </c>
      <c r="G946" s="6">
        <v>1881</v>
      </c>
      <c r="H946" s="6" t="s">
        <v>436</v>
      </c>
      <c r="I946" s="6" t="s">
        <v>4521</v>
      </c>
      <c r="J946" s="6" t="s">
        <v>4522</v>
      </c>
      <c r="K946" s="6" t="s">
        <v>3331</v>
      </c>
      <c r="L946" s="6">
        <v>17416417</v>
      </c>
      <c r="M946" s="6" t="s">
        <v>1184</v>
      </c>
      <c r="N946" s="6" t="s">
        <v>1064</v>
      </c>
      <c r="O946" s="6" t="s">
        <v>21</v>
      </c>
      <c r="P946" s="6" t="s">
        <v>21</v>
      </c>
      <c r="Q946" s="6" t="s">
        <v>3332</v>
      </c>
      <c r="R946" s="8" t="s">
        <v>1808</v>
      </c>
      <c r="S946" s="6"/>
    </row>
    <row r="947" spans="1:19" ht="25.5" x14ac:dyDescent="0.25">
      <c r="A947" s="5" t="s">
        <v>3872</v>
      </c>
      <c r="B947" s="5">
        <v>946</v>
      </c>
      <c r="C947" s="6" t="s">
        <v>2744</v>
      </c>
      <c r="D947" s="6" t="s">
        <v>4142</v>
      </c>
      <c r="E947" s="6">
        <v>26</v>
      </c>
      <c r="F947" s="6" t="s">
        <v>1188</v>
      </c>
      <c r="G947" s="6">
        <v>1881</v>
      </c>
      <c r="H947" s="6" t="s">
        <v>436</v>
      </c>
      <c r="I947" s="6" t="s">
        <v>4523</v>
      </c>
      <c r="J947" s="6" t="s">
        <v>4524</v>
      </c>
      <c r="K947" s="6" t="s">
        <v>3331</v>
      </c>
      <c r="L947" s="6">
        <v>79839276</v>
      </c>
      <c r="M947" s="6" t="s">
        <v>1184</v>
      </c>
      <c r="N947" s="6" t="s">
        <v>1064</v>
      </c>
      <c r="O947" s="6" t="s">
        <v>21</v>
      </c>
      <c r="P947" s="6" t="s">
        <v>21</v>
      </c>
      <c r="Q947" s="6" t="s">
        <v>3332</v>
      </c>
      <c r="R947" s="8" t="s">
        <v>1808</v>
      </c>
      <c r="S947" s="6"/>
    </row>
    <row r="948" spans="1:19" ht="25.5" x14ac:dyDescent="0.25">
      <c r="A948" s="5" t="s">
        <v>3872</v>
      </c>
      <c r="B948" s="5">
        <v>947</v>
      </c>
      <c r="C948" s="6" t="s">
        <v>2745</v>
      </c>
      <c r="D948" s="6" t="s">
        <v>4142</v>
      </c>
      <c r="E948" s="6">
        <v>55</v>
      </c>
      <c r="F948" s="6" t="s">
        <v>1189</v>
      </c>
      <c r="G948" s="6">
        <v>2073</v>
      </c>
      <c r="H948" s="6" t="s">
        <v>634</v>
      </c>
      <c r="I948" s="6" t="s">
        <v>4525</v>
      </c>
      <c r="J948" s="6" t="s">
        <v>4526</v>
      </c>
      <c r="K948" s="6" t="s">
        <v>3331</v>
      </c>
      <c r="L948" s="6">
        <v>52094203</v>
      </c>
      <c r="M948" s="6" t="s">
        <v>1184</v>
      </c>
      <c r="N948" s="6" t="s">
        <v>1064</v>
      </c>
      <c r="O948" s="6" t="s">
        <v>21</v>
      </c>
      <c r="P948" s="6" t="s">
        <v>21</v>
      </c>
      <c r="Q948" s="6" t="s">
        <v>3332</v>
      </c>
      <c r="R948" s="8" t="s">
        <v>1808</v>
      </c>
      <c r="S948" s="6"/>
    </row>
    <row r="949" spans="1:19" ht="25.5" x14ac:dyDescent="0.25">
      <c r="A949" s="5" t="s">
        <v>3872</v>
      </c>
      <c r="B949" s="5">
        <v>948</v>
      </c>
      <c r="C949" s="6" t="s">
        <v>2746</v>
      </c>
      <c r="D949" s="6" t="s">
        <v>4142</v>
      </c>
      <c r="E949" s="6">
        <v>61</v>
      </c>
      <c r="F949" s="6" t="s">
        <v>1190</v>
      </c>
      <c r="G949" s="6">
        <v>2108</v>
      </c>
      <c r="H949" s="6" t="s">
        <v>1190</v>
      </c>
      <c r="I949" s="6" t="s">
        <v>4527</v>
      </c>
      <c r="J949" s="6" t="s">
        <v>3677</v>
      </c>
      <c r="K949" s="6" t="s">
        <v>3331</v>
      </c>
      <c r="L949" s="6">
        <v>4165117</v>
      </c>
      <c r="M949" s="6" t="s">
        <v>1184</v>
      </c>
      <c r="N949" s="6" t="s">
        <v>1064</v>
      </c>
      <c r="O949" s="6" t="s">
        <v>21</v>
      </c>
      <c r="P949" s="6" t="s">
        <v>21</v>
      </c>
      <c r="Q949" s="6" t="s">
        <v>3332</v>
      </c>
      <c r="R949" s="8" t="s">
        <v>1808</v>
      </c>
      <c r="S949" s="6"/>
    </row>
    <row r="950" spans="1:19" ht="25.5" x14ac:dyDescent="0.25">
      <c r="A950" s="5" t="s">
        <v>3872</v>
      </c>
      <c r="B950" s="5">
        <v>949</v>
      </c>
      <c r="C950" s="6" t="s">
        <v>2747</v>
      </c>
      <c r="D950" s="6" t="s">
        <v>4142</v>
      </c>
      <c r="E950" s="6">
        <v>48</v>
      </c>
      <c r="F950" s="6" t="s">
        <v>1191</v>
      </c>
      <c r="G950" s="6">
        <v>2507</v>
      </c>
      <c r="H950" s="6" t="s">
        <v>400</v>
      </c>
      <c r="I950" s="6" t="s">
        <v>4528</v>
      </c>
      <c r="J950" s="6" t="s">
        <v>4529</v>
      </c>
      <c r="K950" s="6" t="s">
        <v>3331</v>
      </c>
      <c r="L950" s="6">
        <v>79104185</v>
      </c>
      <c r="M950" s="6" t="s">
        <v>1180</v>
      </c>
      <c r="N950" s="6" t="s">
        <v>1064</v>
      </c>
      <c r="O950" s="6" t="s">
        <v>21</v>
      </c>
      <c r="P950" s="6" t="s">
        <v>1192</v>
      </c>
      <c r="Q950" s="6" t="s">
        <v>3332</v>
      </c>
      <c r="R950" s="8" t="s">
        <v>1808</v>
      </c>
      <c r="S950" s="6"/>
    </row>
    <row r="951" spans="1:19" ht="25.5" x14ac:dyDescent="0.25">
      <c r="A951" s="5" t="s">
        <v>3872</v>
      </c>
      <c r="B951" s="5">
        <v>950</v>
      </c>
      <c r="C951" s="6" t="s">
        <v>2748</v>
      </c>
      <c r="D951" s="6" t="s">
        <v>4142</v>
      </c>
      <c r="E951" s="6">
        <v>57</v>
      </c>
      <c r="F951" s="6" t="s">
        <v>1193</v>
      </c>
      <c r="G951" s="6">
        <v>884</v>
      </c>
      <c r="H951" s="6" t="s">
        <v>240</v>
      </c>
      <c r="I951" s="6" t="s">
        <v>4530</v>
      </c>
      <c r="J951" s="6" t="s">
        <v>3663</v>
      </c>
      <c r="K951" s="6" t="s">
        <v>3331</v>
      </c>
      <c r="L951" s="6">
        <v>13886892</v>
      </c>
      <c r="M951" s="6" t="s">
        <v>1180</v>
      </c>
      <c r="N951" s="6" t="s">
        <v>1064</v>
      </c>
      <c r="O951" s="6">
        <v>31</v>
      </c>
      <c r="P951" s="6" t="s">
        <v>1194</v>
      </c>
      <c r="Q951" s="6" t="s">
        <v>3332</v>
      </c>
      <c r="R951" s="8" t="s">
        <v>1808</v>
      </c>
      <c r="S951" s="6"/>
    </row>
    <row r="952" spans="1:19" ht="25.5" x14ac:dyDescent="0.25">
      <c r="A952" s="5" t="s">
        <v>3872</v>
      </c>
      <c r="B952" s="5">
        <v>951</v>
      </c>
      <c r="C952" s="6" t="s">
        <v>2749</v>
      </c>
      <c r="D952" s="6" t="s">
        <v>4142</v>
      </c>
      <c r="E952" s="6">
        <v>68</v>
      </c>
      <c r="F952" s="6" t="s">
        <v>319</v>
      </c>
      <c r="G952" s="6">
        <v>925</v>
      </c>
      <c r="H952" s="6" t="s">
        <v>1158</v>
      </c>
      <c r="I952" s="6" t="s">
        <v>4531</v>
      </c>
      <c r="J952" s="6" t="s">
        <v>4532</v>
      </c>
      <c r="K952" s="6" t="s">
        <v>3331</v>
      </c>
      <c r="L952" s="6">
        <v>51857828</v>
      </c>
      <c r="M952" s="6" t="s">
        <v>1180</v>
      </c>
      <c r="N952" s="6" t="s">
        <v>1064</v>
      </c>
      <c r="O952" s="6">
        <v>32</v>
      </c>
      <c r="P952" s="6" t="s">
        <v>168</v>
      </c>
      <c r="Q952" s="6" t="s">
        <v>3332</v>
      </c>
      <c r="R952" s="8" t="s">
        <v>1808</v>
      </c>
      <c r="S952" s="6"/>
    </row>
    <row r="953" spans="1:19" ht="25.5" x14ac:dyDescent="0.25">
      <c r="A953" s="5" t="s">
        <v>3872</v>
      </c>
      <c r="B953" s="5">
        <v>952</v>
      </c>
      <c r="C953" s="6" t="s">
        <v>2750</v>
      </c>
      <c r="D953" s="6" t="s">
        <v>4142</v>
      </c>
      <c r="E953" s="6">
        <v>59</v>
      </c>
      <c r="F953" s="6" t="s">
        <v>1195</v>
      </c>
      <c r="G953" s="6">
        <v>1732</v>
      </c>
      <c r="H953" s="6" t="s">
        <v>1196</v>
      </c>
      <c r="I953" s="6" t="s">
        <v>4533</v>
      </c>
      <c r="J953" s="6" t="s">
        <v>4534</v>
      </c>
      <c r="K953" s="6" t="s">
        <v>3331</v>
      </c>
      <c r="L953" s="6">
        <v>52203068</v>
      </c>
      <c r="M953" s="6" t="s">
        <v>1170</v>
      </c>
      <c r="N953" s="6" t="s">
        <v>1168</v>
      </c>
      <c r="O953" s="6" t="s">
        <v>21</v>
      </c>
      <c r="P953" s="6" t="s">
        <v>21</v>
      </c>
      <c r="Q953" s="6" t="s">
        <v>3332</v>
      </c>
      <c r="R953" s="8" t="s">
        <v>1808</v>
      </c>
      <c r="S953" s="6"/>
    </row>
    <row r="954" spans="1:19" ht="25.5" x14ac:dyDescent="0.25">
      <c r="A954" s="5" t="s">
        <v>3872</v>
      </c>
      <c r="B954" s="5">
        <v>953</v>
      </c>
      <c r="C954" s="6" t="s">
        <v>2751</v>
      </c>
      <c r="D954" s="6" t="s">
        <v>4142</v>
      </c>
      <c r="E954" s="6">
        <v>78</v>
      </c>
      <c r="F954" s="6" t="s">
        <v>1197</v>
      </c>
      <c r="G954" s="6">
        <v>2189</v>
      </c>
      <c r="H954" s="6" t="s">
        <v>517</v>
      </c>
      <c r="I954" s="6" t="s">
        <v>4288</v>
      </c>
      <c r="J954" s="6" t="s">
        <v>4289</v>
      </c>
      <c r="K954" s="6" t="s">
        <v>3331</v>
      </c>
      <c r="L954" s="6">
        <v>41566586</v>
      </c>
      <c r="M954" s="6" t="s">
        <v>401</v>
      </c>
      <c r="N954" s="6" t="s">
        <v>1121</v>
      </c>
      <c r="O954" s="6" t="s">
        <v>21</v>
      </c>
      <c r="P954" s="6" t="s">
        <v>1198</v>
      </c>
      <c r="Q954" s="6" t="s">
        <v>3332</v>
      </c>
      <c r="R954" s="8" t="s">
        <v>1808</v>
      </c>
      <c r="S954" s="6"/>
    </row>
    <row r="955" spans="1:19" ht="25.5" x14ac:dyDescent="0.25">
      <c r="A955" s="5" t="s">
        <v>3872</v>
      </c>
      <c r="B955" s="5">
        <v>954</v>
      </c>
      <c r="C955" s="6" t="s">
        <v>2752</v>
      </c>
      <c r="D955" s="6" t="s">
        <v>4142</v>
      </c>
      <c r="E955" s="6">
        <v>65</v>
      </c>
      <c r="F955" s="6" t="s">
        <v>1199</v>
      </c>
      <c r="G955" s="6">
        <v>3153</v>
      </c>
      <c r="H955" s="6" t="s">
        <v>965</v>
      </c>
      <c r="I955" s="6" t="s">
        <v>4535</v>
      </c>
      <c r="J955" s="6" t="s">
        <v>4536</v>
      </c>
      <c r="K955" s="6" t="s">
        <v>3331</v>
      </c>
      <c r="L955" s="6">
        <v>52215924</v>
      </c>
      <c r="M955" s="6" t="s">
        <v>401</v>
      </c>
      <c r="N955" s="6" t="s">
        <v>1121</v>
      </c>
      <c r="O955" s="6" t="s">
        <v>21</v>
      </c>
      <c r="P955" s="6" t="s">
        <v>798</v>
      </c>
      <c r="Q955" s="6" t="s">
        <v>3332</v>
      </c>
      <c r="R955" s="8" t="s">
        <v>1808</v>
      </c>
      <c r="S955" s="6"/>
    </row>
    <row r="956" spans="1:19" ht="25.5" x14ac:dyDescent="0.25">
      <c r="A956" s="5" t="s">
        <v>3872</v>
      </c>
      <c r="B956" s="5">
        <v>955</v>
      </c>
      <c r="C956" s="6" t="s">
        <v>2753</v>
      </c>
      <c r="D956" s="6" t="s">
        <v>4142</v>
      </c>
      <c r="E956" s="6">
        <v>49</v>
      </c>
      <c r="F956" s="6" t="s">
        <v>702</v>
      </c>
      <c r="G956" s="6">
        <v>1073</v>
      </c>
      <c r="H956" s="6" t="s">
        <v>703</v>
      </c>
      <c r="I956" s="6" t="s">
        <v>4537</v>
      </c>
      <c r="J956" s="6" t="s">
        <v>4538</v>
      </c>
      <c r="K956" s="6" t="s">
        <v>3331</v>
      </c>
      <c r="L956" s="6">
        <v>52146184</v>
      </c>
      <c r="M956" s="6" t="s">
        <v>401</v>
      </c>
      <c r="N956" s="6" t="s">
        <v>1121</v>
      </c>
      <c r="O956" s="6">
        <v>77</v>
      </c>
      <c r="P956" s="6" t="s">
        <v>417</v>
      </c>
      <c r="Q956" s="6" t="s">
        <v>3332</v>
      </c>
      <c r="R956" s="8" t="s">
        <v>1808</v>
      </c>
      <c r="S956" s="6"/>
    </row>
    <row r="957" spans="1:19" ht="25.5" x14ac:dyDescent="0.25">
      <c r="A957" s="5" t="s">
        <v>3872</v>
      </c>
      <c r="B957" s="5">
        <v>956</v>
      </c>
      <c r="C957" s="6" t="s">
        <v>2754</v>
      </c>
      <c r="D957" s="6" t="s">
        <v>4142</v>
      </c>
      <c r="E957" s="6">
        <v>48</v>
      </c>
      <c r="F957" s="6" t="s">
        <v>1200</v>
      </c>
      <c r="G957" s="6">
        <v>680</v>
      </c>
      <c r="H957" s="6" t="s">
        <v>998</v>
      </c>
      <c r="I957" s="6" t="s">
        <v>4539</v>
      </c>
      <c r="J957" s="6" t="s">
        <v>4540</v>
      </c>
      <c r="K957" s="6" t="s">
        <v>3331</v>
      </c>
      <c r="L957" s="6">
        <v>1032395936</v>
      </c>
      <c r="M957" s="6" t="s">
        <v>401</v>
      </c>
      <c r="N957" s="6" t="s">
        <v>1121</v>
      </c>
      <c r="O957" s="6">
        <v>18</v>
      </c>
      <c r="P957" s="6" t="s">
        <v>729</v>
      </c>
      <c r="Q957" s="6" t="s">
        <v>3332</v>
      </c>
      <c r="R957" s="8" t="s">
        <v>1808</v>
      </c>
      <c r="S957" s="6"/>
    </row>
    <row r="958" spans="1:19" ht="25.5" x14ac:dyDescent="0.25">
      <c r="A958" s="5" t="s">
        <v>3872</v>
      </c>
      <c r="B958" s="5">
        <v>957</v>
      </c>
      <c r="C958" s="6" t="s">
        <v>2755</v>
      </c>
      <c r="D958" s="6" t="s">
        <v>4142</v>
      </c>
      <c r="E958" s="6">
        <v>101</v>
      </c>
      <c r="F958" s="6" t="s">
        <v>1201</v>
      </c>
      <c r="G958" s="6">
        <v>1407</v>
      </c>
      <c r="H958" s="6" t="s">
        <v>166</v>
      </c>
      <c r="I958" s="6" t="s">
        <v>4541</v>
      </c>
      <c r="J958" s="6" t="s">
        <v>4542</v>
      </c>
      <c r="K958" s="6" t="s">
        <v>3331</v>
      </c>
      <c r="L958" s="6">
        <v>52167798</v>
      </c>
      <c r="M958" s="6" t="s">
        <v>401</v>
      </c>
      <c r="N958" s="6" t="s">
        <v>1121</v>
      </c>
      <c r="O958" s="6">
        <v>74</v>
      </c>
      <c r="P958" s="6" t="s">
        <v>1202</v>
      </c>
      <c r="Q958" s="6" t="s">
        <v>3332</v>
      </c>
      <c r="R958" s="8" t="s">
        <v>1808</v>
      </c>
      <c r="S958" s="6"/>
    </row>
    <row r="959" spans="1:19" ht="25.5" x14ac:dyDescent="0.25">
      <c r="A959" s="5" t="s">
        <v>3872</v>
      </c>
      <c r="B959" s="5">
        <v>958</v>
      </c>
      <c r="C959" s="6" t="s">
        <v>2756</v>
      </c>
      <c r="D959" s="6" t="s">
        <v>4142</v>
      </c>
      <c r="E959" s="6">
        <v>150</v>
      </c>
      <c r="F959" s="6" t="s">
        <v>1203</v>
      </c>
      <c r="G959" s="6">
        <v>1961</v>
      </c>
      <c r="H959" s="6" t="s">
        <v>1204</v>
      </c>
      <c r="I959" s="6" t="s">
        <v>4543</v>
      </c>
      <c r="J959" s="6" t="s">
        <v>4544</v>
      </c>
      <c r="K959" s="6" t="s">
        <v>3331</v>
      </c>
      <c r="L959" s="6">
        <v>1019013061</v>
      </c>
      <c r="M959" s="6" t="s">
        <v>401</v>
      </c>
      <c r="N959" s="6" t="s">
        <v>1121</v>
      </c>
      <c r="O959" s="6">
        <v>13</v>
      </c>
      <c r="P959" s="6" t="s">
        <v>1205</v>
      </c>
      <c r="Q959" s="6" t="s">
        <v>3332</v>
      </c>
      <c r="R959" s="8" t="s">
        <v>1808</v>
      </c>
      <c r="S959" s="6"/>
    </row>
    <row r="960" spans="1:19" ht="25.5" x14ac:dyDescent="0.25">
      <c r="A960" s="5" t="s">
        <v>3872</v>
      </c>
      <c r="B960" s="5">
        <v>959</v>
      </c>
      <c r="C960" s="6" t="s">
        <v>2757</v>
      </c>
      <c r="D960" s="6" t="s">
        <v>4142</v>
      </c>
      <c r="E960" s="6">
        <v>150</v>
      </c>
      <c r="F960" s="6" t="s">
        <v>1203</v>
      </c>
      <c r="G960" s="6">
        <v>1961</v>
      </c>
      <c r="H960" s="6" t="s">
        <v>1204</v>
      </c>
      <c r="I960" s="6" t="s">
        <v>4545</v>
      </c>
      <c r="J960" s="6" t="s">
        <v>4546</v>
      </c>
      <c r="K960" s="6" t="s">
        <v>3331</v>
      </c>
      <c r="L960" s="6">
        <v>39671945</v>
      </c>
      <c r="M960" s="6" t="s">
        <v>401</v>
      </c>
      <c r="N960" s="6" t="s">
        <v>1121</v>
      </c>
      <c r="O960" s="6">
        <v>85</v>
      </c>
      <c r="P960" s="6" t="s">
        <v>1206</v>
      </c>
      <c r="Q960" s="6" t="s">
        <v>3332</v>
      </c>
      <c r="R960" s="8" t="s">
        <v>1808</v>
      </c>
      <c r="S960" s="6"/>
    </row>
    <row r="961" spans="1:19" ht="25.5" x14ac:dyDescent="0.25">
      <c r="A961" s="5" t="s">
        <v>3872</v>
      </c>
      <c r="B961" s="5">
        <v>960</v>
      </c>
      <c r="C961" s="6" t="s">
        <v>2758</v>
      </c>
      <c r="D961" s="6" t="s">
        <v>4142</v>
      </c>
      <c r="E961" s="6">
        <v>168</v>
      </c>
      <c r="F961" s="6" t="s">
        <v>1207</v>
      </c>
      <c r="G961" s="6">
        <v>2126</v>
      </c>
      <c r="H961" s="6" t="s">
        <v>1208</v>
      </c>
      <c r="I961" s="6" t="s">
        <v>4547</v>
      </c>
      <c r="J961" s="6" t="s">
        <v>4548</v>
      </c>
      <c r="K961" s="6" t="s">
        <v>3331</v>
      </c>
      <c r="L961" s="6">
        <v>80066035</v>
      </c>
      <c r="M961" s="6" t="s">
        <v>401</v>
      </c>
      <c r="N961" s="6" t="s">
        <v>1121</v>
      </c>
      <c r="O961" s="6">
        <v>2</v>
      </c>
      <c r="P961" s="6" t="s">
        <v>773</v>
      </c>
      <c r="Q961" s="6" t="s">
        <v>3332</v>
      </c>
      <c r="R961" s="8" t="s">
        <v>1808</v>
      </c>
      <c r="S961" s="6"/>
    </row>
    <row r="962" spans="1:19" ht="25.5" x14ac:dyDescent="0.25">
      <c r="A962" s="5" t="s">
        <v>3872</v>
      </c>
      <c r="B962" s="5">
        <v>961</v>
      </c>
      <c r="C962" s="6" t="s">
        <v>2759</v>
      </c>
      <c r="D962" s="6" t="s">
        <v>4142</v>
      </c>
      <c r="E962" s="6">
        <v>51</v>
      </c>
      <c r="F962" s="6" t="s">
        <v>1209</v>
      </c>
      <c r="G962" s="6">
        <v>765</v>
      </c>
      <c r="H962" s="6" t="s">
        <v>1210</v>
      </c>
      <c r="I962" s="6" t="s">
        <v>4549</v>
      </c>
      <c r="J962" s="6" t="s">
        <v>4550</v>
      </c>
      <c r="K962" s="6" t="s">
        <v>3331</v>
      </c>
      <c r="L962" s="6">
        <v>1022951779</v>
      </c>
      <c r="M962" s="6" t="s">
        <v>401</v>
      </c>
      <c r="N962" s="6" t="s">
        <v>1121</v>
      </c>
      <c r="O962" s="6">
        <v>15</v>
      </c>
      <c r="P962" s="6" t="s">
        <v>1211</v>
      </c>
      <c r="Q962" s="6" t="s">
        <v>3332</v>
      </c>
      <c r="R962" s="8" t="s">
        <v>1808</v>
      </c>
      <c r="S962" s="6"/>
    </row>
    <row r="963" spans="1:19" ht="25.5" x14ac:dyDescent="0.25">
      <c r="A963" s="5" t="s">
        <v>3872</v>
      </c>
      <c r="B963" s="5">
        <v>962</v>
      </c>
      <c r="C963" s="6" t="s">
        <v>2760</v>
      </c>
      <c r="D963" s="6" t="s">
        <v>4142</v>
      </c>
      <c r="E963" s="6">
        <v>86</v>
      </c>
      <c r="F963" s="6" t="s">
        <v>1212</v>
      </c>
      <c r="G963" s="6">
        <v>1352</v>
      </c>
      <c r="H963" s="6" t="s">
        <v>739</v>
      </c>
      <c r="I963" s="6" t="s">
        <v>4551</v>
      </c>
      <c r="J963" s="6" t="s">
        <v>4552</v>
      </c>
      <c r="K963" s="6" t="s">
        <v>3331</v>
      </c>
      <c r="L963" s="6">
        <v>51996305</v>
      </c>
      <c r="M963" s="6" t="s">
        <v>401</v>
      </c>
      <c r="N963" s="6" t="s">
        <v>1117</v>
      </c>
      <c r="O963" s="6">
        <v>71</v>
      </c>
      <c r="P963" s="6" t="s">
        <v>1213</v>
      </c>
      <c r="Q963" s="6" t="s">
        <v>3332</v>
      </c>
      <c r="R963" s="8" t="s">
        <v>1808</v>
      </c>
      <c r="S963" s="6"/>
    </row>
    <row r="964" spans="1:19" ht="25.5" x14ac:dyDescent="0.25">
      <c r="A964" s="5" t="s">
        <v>3872</v>
      </c>
      <c r="B964" s="5">
        <v>963</v>
      </c>
      <c r="C964" s="6" t="s">
        <v>2761</v>
      </c>
      <c r="D964" s="6" t="s">
        <v>4142</v>
      </c>
      <c r="E964" s="6">
        <v>117</v>
      </c>
      <c r="F964" s="6" t="s">
        <v>1214</v>
      </c>
      <c r="G964" s="6">
        <v>1795</v>
      </c>
      <c r="H964" s="6" t="s">
        <v>246</v>
      </c>
      <c r="I964" s="6" t="s">
        <v>4553</v>
      </c>
      <c r="J964" s="6" t="s">
        <v>3528</v>
      </c>
      <c r="K964" s="6" t="s">
        <v>3331</v>
      </c>
      <c r="L964" s="6">
        <v>52343784</v>
      </c>
      <c r="M964" s="6" t="s">
        <v>401</v>
      </c>
      <c r="N964" s="6" t="s">
        <v>1121</v>
      </c>
      <c r="O964" s="6">
        <v>81</v>
      </c>
      <c r="P964" s="6" t="s">
        <v>1215</v>
      </c>
      <c r="Q964" s="6" t="s">
        <v>3332</v>
      </c>
      <c r="R964" s="8" t="s">
        <v>1808</v>
      </c>
      <c r="S964" s="6"/>
    </row>
    <row r="965" spans="1:19" ht="25.5" x14ac:dyDescent="0.25">
      <c r="A965" s="5" t="s">
        <v>3872</v>
      </c>
      <c r="B965" s="5">
        <v>964</v>
      </c>
      <c r="C965" s="6" t="s">
        <v>2762</v>
      </c>
      <c r="D965" s="6" t="s">
        <v>4142</v>
      </c>
      <c r="E965" s="6">
        <v>117</v>
      </c>
      <c r="F965" s="6" t="s">
        <v>1214</v>
      </c>
      <c r="G965" s="6">
        <v>1795</v>
      </c>
      <c r="H965" s="6" t="s">
        <v>246</v>
      </c>
      <c r="I965" s="6" t="s">
        <v>4554</v>
      </c>
      <c r="J965" s="6" t="s">
        <v>4555</v>
      </c>
      <c r="K965" s="6" t="s">
        <v>3331</v>
      </c>
      <c r="L965" s="6">
        <v>79893405</v>
      </c>
      <c r="M965" s="6" t="s">
        <v>401</v>
      </c>
      <c r="N965" s="6" t="s">
        <v>1121</v>
      </c>
      <c r="O965" s="6">
        <v>8</v>
      </c>
      <c r="P965" s="6" t="s">
        <v>968</v>
      </c>
      <c r="Q965" s="6" t="s">
        <v>3332</v>
      </c>
      <c r="R965" s="8" t="s">
        <v>1808</v>
      </c>
      <c r="S965" s="6"/>
    </row>
    <row r="966" spans="1:19" ht="25.5" x14ac:dyDescent="0.25">
      <c r="A966" s="5" t="s">
        <v>3872</v>
      </c>
      <c r="B966" s="5">
        <v>965</v>
      </c>
      <c r="C966" s="6" t="s">
        <v>2763</v>
      </c>
      <c r="D966" s="6" t="s">
        <v>4142</v>
      </c>
      <c r="E966" s="6">
        <v>4</v>
      </c>
      <c r="F966" s="6" t="s">
        <v>1216</v>
      </c>
      <c r="G966" s="6">
        <v>142</v>
      </c>
      <c r="H966" s="6" t="s">
        <v>775</v>
      </c>
      <c r="I966" s="6" t="s">
        <v>4556</v>
      </c>
      <c r="J966" s="6" t="s">
        <v>4557</v>
      </c>
      <c r="K966" s="6" t="s">
        <v>3331</v>
      </c>
      <c r="L966" s="6">
        <v>1026281606</v>
      </c>
      <c r="M966" s="6" t="s">
        <v>401</v>
      </c>
      <c r="N966" s="6" t="s">
        <v>1121</v>
      </c>
      <c r="O966" s="6">
        <v>22</v>
      </c>
      <c r="P966" s="6" t="s">
        <v>1217</v>
      </c>
      <c r="Q966" s="6" t="s">
        <v>3332</v>
      </c>
      <c r="R966" s="8" t="s">
        <v>1808</v>
      </c>
      <c r="S966" s="6"/>
    </row>
    <row r="967" spans="1:19" ht="25.5" x14ac:dyDescent="0.25">
      <c r="A967" s="5" t="s">
        <v>3872</v>
      </c>
      <c r="B967" s="5">
        <v>966</v>
      </c>
      <c r="C967" s="6" t="s">
        <v>2764</v>
      </c>
      <c r="D967" s="6" t="s">
        <v>4142</v>
      </c>
      <c r="E967" s="6">
        <v>4</v>
      </c>
      <c r="F967" s="6" t="s">
        <v>1216</v>
      </c>
      <c r="G967" s="6">
        <v>142</v>
      </c>
      <c r="H967" s="6" t="s">
        <v>775</v>
      </c>
      <c r="I967" s="6" t="s">
        <v>4558</v>
      </c>
      <c r="J967" s="6" t="s">
        <v>4559</v>
      </c>
      <c r="K967" s="6" t="s">
        <v>3331</v>
      </c>
      <c r="L967" s="6">
        <v>80100820</v>
      </c>
      <c r="M967" s="6" t="s">
        <v>401</v>
      </c>
      <c r="N967" s="6" t="s">
        <v>1121</v>
      </c>
      <c r="O967" s="6">
        <v>18</v>
      </c>
      <c r="P967" s="6" t="s">
        <v>729</v>
      </c>
      <c r="Q967" s="6" t="s">
        <v>3332</v>
      </c>
      <c r="R967" s="8" t="s">
        <v>1808</v>
      </c>
      <c r="S967" s="6"/>
    </row>
    <row r="968" spans="1:19" ht="25.5" x14ac:dyDescent="0.25">
      <c r="A968" s="5" t="s">
        <v>3872</v>
      </c>
      <c r="B968" s="5">
        <v>967</v>
      </c>
      <c r="C968" s="6" t="s">
        <v>2765</v>
      </c>
      <c r="D968" s="6" t="s">
        <v>4142</v>
      </c>
      <c r="E968" s="6">
        <v>27</v>
      </c>
      <c r="F968" s="6" t="s">
        <v>1218</v>
      </c>
      <c r="G968" s="6">
        <v>444</v>
      </c>
      <c r="H968" s="6" t="s">
        <v>258</v>
      </c>
      <c r="I968" s="6" t="s">
        <v>4560</v>
      </c>
      <c r="J968" s="6" t="s">
        <v>4561</v>
      </c>
      <c r="K968" s="6" t="s">
        <v>3331</v>
      </c>
      <c r="L968" s="6">
        <v>80758768</v>
      </c>
      <c r="M968" s="6" t="s">
        <v>401</v>
      </c>
      <c r="N968" s="6" t="s">
        <v>1121</v>
      </c>
      <c r="O968" s="6">
        <v>2</v>
      </c>
      <c r="P968" s="6" t="s">
        <v>773</v>
      </c>
      <c r="Q968" s="6" t="s">
        <v>3332</v>
      </c>
      <c r="R968" s="8" t="s">
        <v>1808</v>
      </c>
      <c r="S968" s="6"/>
    </row>
    <row r="969" spans="1:19" ht="25.5" x14ac:dyDescent="0.25">
      <c r="A969" s="5" t="s">
        <v>3872</v>
      </c>
      <c r="B969" s="5">
        <v>968</v>
      </c>
      <c r="C969" s="6" t="s">
        <v>2766</v>
      </c>
      <c r="D969" s="6" t="s">
        <v>4142</v>
      </c>
      <c r="E969" s="6">
        <v>27</v>
      </c>
      <c r="F969" s="6" t="s">
        <v>1218</v>
      </c>
      <c r="G969" s="6">
        <v>444</v>
      </c>
      <c r="H969" s="6" t="s">
        <v>258</v>
      </c>
      <c r="I969" s="6" t="s">
        <v>4562</v>
      </c>
      <c r="J969" s="6" t="s">
        <v>4563</v>
      </c>
      <c r="K969" s="6" t="s">
        <v>3331</v>
      </c>
      <c r="L969" s="6">
        <v>52521430</v>
      </c>
      <c r="M969" s="6" t="s">
        <v>401</v>
      </c>
      <c r="N969" s="6" t="s">
        <v>1121</v>
      </c>
      <c r="O969" s="6">
        <v>81</v>
      </c>
      <c r="P969" s="6" t="s">
        <v>1215</v>
      </c>
      <c r="Q969" s="6" t="s">
        <v>3332</v>
      </c>
      <c r="R969" s="8" t="s">
        <v>1808</v>
      </c>
      <c r="S969" s="6"/>
    </row>
    <row r="970" spans="1:19" ht="25.5" x14ac:dyDescent="0.25">
      <c r="A970" s="5" t="s">
        <v>3872</v>
      </c>
      <c r="B970" s="5">
        <v>969</v>
      </c>
      <c r="C970" s="6" t="s">
        <v>2767</v>
      </c>
      <c r="D970" s="6" t="s">
        <v>4142</v>
      </c>
      <c r="E970" s="6">
        <v>35</v>
      </c>
      <c r="F970" s="6" t="s">
        <v>1153</v>
      </c>
      <c r="G970" s="6">
        <v>507</v>
      </c>
      <c r="H970" s="6" t="s">
        <v>259</v>
      </c>
      <c r="I970" s="6" t="s">
        <v>4564</v>
      </c>
      <c r="J970" s="6" t="s">
        <v>4565</v>
      </c>
      <c r="K970" s="6" t="s">
        <v>3331</v>
      </c>
      <c r="L970" s="6">
        <v>46374955</v>
      </c>
      <c r="M970" s="6" t="s">
        <v>401</v>
      </c>
      <c r="N970" s="6" t="s">
        <v>1121</v>
      </c>
      <c r="O970" s="6">
        <v>83</v>
      </c>
      <c r="P970" s="6" t="s">
        <v>1219</v>
      </c>
      <c r="Q970" s="6" t="s">
        <v>3332</v>
      </c>
      <c r="R970" s="8" t="s">
        <v>1808</v>
      </c>
      <c r="S970" s="6"/>
    </row>
    <row r="971" spans="1:19" ht="25.5" x14ac:dyDescent="0.25">
      <c r="A971" s="5" t="s">
        <v>3872</v>
      </c>
      <c r="B971" s="5">
        <v>970</v>
      </c>
      <c r="C971" s="6" t="s">
        <v>2768</v>
      </c>
      <c r="D971" s="6" t="s">
        <v>4142</v>
      </c>
      <c r="E971" s="6">
        <v>35</v>
      </c>
      <c r="F971" s="6" t="s">
        <v>1153</v>
      </c>
      <c r="G971" s="6">
        <v>507</v>
      </c>
      <c r="H971" s="6" t="s">
        <v>259</v>
      </c>
      <c r="I971" s="6" t="s">
        <v>4566</v>
      </c>
      <c r="J971" s="6" t="s">
        <v>4567</v>
      </c>
      <c r="K971" s="6" t="s">
        <v>3331</v>
      </c>
      <c r="L971" s="6">
        <v>1030541225</v>
      </c>
      <c r="M971" s="6" t="s">
        <v>401</v>
      </c>
      <c r="N971" s="6" t="s">
        <v>1121</v>
      </c>
      <c r="O971" s="6">
        <v>107</v>
      </c>
      <c r="P971" s="6" t="s">
        <v>1150</v>
      </c>
      <c r="Q971" s="6" t="s">
        <v>3332</v>
      </c>
      <c r="R971" s="8" t="s">
        <v>1808</v>
      </c>
      <c r="S971" s="6"/>
    </row>
    <row r="972" spans="1:19" ht="25.5" x14ac:dyDescent="0.25">
      <c r="A972" s="5" t="s">
        <v>3872</v>
      </c>
      <c r="B972" s="5">
        <v>971</v>
      </c>
      <c r="C972" s="6" t="s">
        <v>2769</v>
      </c>
      <c r="D972" s="6" t="s">
        <v>4142</v>
      </c>
      <c r="E972" s="6">
        <v>42</v>
      </c>
      <c r="F972" s="6" t="s">
        <v>259</v>
      </c>
      <c r="G972" s="6">
        <v>584</v>
      </c>
      <c r="H972" s="6" t="s">
        <v>262</v>
      </c>
      <c r="I972" s="6" t="s">
        <v>4568</v>
      </c>
      <c r="J972" s="6" t="s">
        <v>4569</v>
      </c>
      <c r="K972" s="6" t="s">
        <v>3331</v>
      </c>
      <c r="L972" s="6">
        <v>52465453</v>
      </c>
      <c r="M972" s="6" t="s">
        <v>401</v>
      </c>
      <c r="N972" s="6" t="s">
        <v>1121</v>
      </c>
      <c r="O972" s="6">
        <v>86</v>
      </c>
      <c r="P972" s="6" t="s">
        <v>1220</v>
      </c>
      <c r="Q972" s="6" t="s">
        <v>3332</v>
      </c>
      <c r="R972" s="8" t="s">
        <v>1808</v>
      </c>
      <c r="S972" s="6"/>
    </row>
    <row r="973" spans="1:19" ht="25.5" x14ac:dyDescent="0.25">
      <c r="A973" s="5" t="s">
        <v>3872</v>
      </c>
      <c r="B973" s="5">
        <v>972</v>
      </c>
      <c r="C973" s="6" t="s">
        <v>2770</v>
      </c>
      <c r="D973" s="6" t="s">
        <v>4142</v>
      </c>
      <c r="E973" s="6">
        <v>42</v>
      </c>
      <c r="F973" s="6" t="s">
        <v>259</v>
      </c>
      <c r="G973" s="6">
        <v>584</v>
      </c>
      <c r="H973" s="6" t="s">
        <v>262</v>
      </c>
      <c r="I973" s="6" t="s">
        <v>4570</v>
      </c>
      <c r="J973" s="6" t="s">
        <v>4111</v>
      </c>
      <c r="K973" s="6" t="s">
        <v>3331</v>
      </c>
      <c r="L973" s="6">
        <v>80188738</v>
      </c>
      <c r="M973" s="6" t="s">
        <v>401</v>
      </c>
      <c r="N973" s="6" t="s">
        <v>1121</v>
      </c>
      <c r="O973" s="6">
        <v>98</v>
      </c>
      <c r="P973" s="6" t="s">
        <v>1221</v>
      </c>
      <c r="Q973" s="6" t="s">
        <v>3332</v>
      </c>
      <c r="R973" s="8" t="s">
        <v>1808</v>
      </c>
      <c r="S973" s="6"/>
    </row>
    <row r="974" spans="1:19" ht="25.5" x14ac:dyDescent="0.25">
      <c r="A974" s="5" t="s">
        <v>3872</v>
      </c>
      <c r="B974" s="5">
        <v>973</v>
      </c>
      <c r="C974" s="6" t="s">
        <v>2771</v>
      </c>
      <c r="D974" s="6" t="s">
        <v>4142</v>
      </c>
      <c r="E974" s="6">
        <v>21</v>
      </c>
      <c r="F974" s="6" t="s">
        <v>1222</v>
      </c>
      <c r="G974" s="6">
        <v>281</v>
      </c>
      <c r="H974" s="6" t="s">
        <v>188</v>
      </c>
      <c r="I974" s="6" t="s">
        <v>4571</v>
      </c>
      <c r="J974" s="6" t="s">
        <v>4572</v>
      </c>
      <c r="K974" s="6" t="s">
        <v>3331</v>
      </c>
      <c r="L974" s="6">
        <v>79370539</v>
      </c>
      <c r="M974" s="6" t="s">
        <v>19</v>
      </c>
      <c r="N974" s="6" t="s">
        <v>1106</v>
      </c>
      <c r="O974" s="6">
        <v>86</v>
      </c>
      <c r="P974" s="6" t="s">
        <v>37</v>
      </c>
      <c r="Q974" s="6" t="s">
        <v>3332</v>
      </c>
      <c r="R974" s="8" t="s">
        <v>1808</v>
      </c>
      <c r="S974" s="6"/>
    </row>
    <row r="975" spans="1:19" ht="25.5" x14ac:dyDescent="0.25">
      <c r="A975" s="5" t="s">
        <v>3872</v>
      </c>
      <c r="B975" s="5">
        <v>974</v>
      </c>
      <c r="C975" s="6" t="s">
        <v>2772</v>
      </c>
      <c r="D975" s="6" t="s">
        <v>4142</v>
      </c>
      <c r="E975" s="6">
        <v>44</v>
      </c>
      <c r="F975" s="6" t="s">
        <v>1223</v>
      </c>
      <c r="G975" s="6">
        <v>119</v>
      </c>
      <c r="H975" s="6" t="s">
        <v>813</v>
      </c>
      <c r="I975" s="6" t="s">
        <v>4573</v>
      </c>
      <c r="J975" s="6" t="s">
        <v>4574</v>
      </c>
      <c r="K975" s="6" t="s">
        <v>3331</v>
      </c>
      <c r="L975" s="6">
        <v>51636200</v>
      </c>
      <c r="M975" s="6" t="s">
        <v>178</v>
      </c>
      <c r="N975" s="6" t="s">
        <v>1117</v>
      </c>
      <c r="O975" s="6">
        <v>51</v>
      </c>
      <c r="P975" s="6" t="s">
        <v>1224</v>
      </c>
      <c r="Q975" s="6" t="s">
        <v>3332</v>
      </c>
      <c r="R975" s="8" t="s">
        <v>1808</v>
      </c>
      <c r="S975" s="6"/>
    </row>
    <row r="976" spans="1:19" ht="25.5" x14ac:dyDescent="0.25">
      <c r="A976" s="5" t="s">
        <v>3872</v>
      </c>
      <c r="B976" s="5">
        <v>975</v>
      </c>
      <c r="C976" s="6" t="s">
        <v>2773</v>
      </c>
      <c r="D976" s="6" t="s">
        <v>4142</v>
      </c>
      <c r="E976" s="6">
        <v>17</v>
      </c>
      <c r="F976" s="6" t="s">
        <v>1225</v>
      </c>
      <c r="G976" s="6">
        <v>1538</v>
      </c>
      <c r="H976" s="6" t="s">
        <v>430</v>
      </c>
      <c r="I976" s="6" t="s">
        <v>4575</v>
      </c>
      <c r="J976" s="6" t="s">
        <v>4576</v>
      </c>
      <c r="K976" s="6" t="s">
        <v>3331</v>
      </c>
      <c r="L976" s="6">
        <v>51644935</v>
      </c>
      <c r="M976" s="6" t="s">
        <v>79</v>
      </c>
      <c r="N976" s="6" t="s">
        <v>1117</v>
      </c>
      <c r="O976" s="6" t="s">
        <v>21</v>
      </c>
      <c r="P976" s="6" t="s">
        <v>21</v>
      </c>
      <c r="Q976" s="6" t="s">
        <v>3332</v>
      </c>
      <c r="R976" s="8" t="s">
        <v>1808</v>
      </c>
      <c r="S976" s="6"/>
    </row>
    <row r="977" spans="1:19" ht="25.5" x14ac:dyDescent="0.25">
      <c r="A977" s="5" t="s">
        <v>3872</v>
      </c>
      <c r="B977" s="5">
        <v>976</v>
      </c>
      <c r="C977" s="6" t="s">
        <v>2774</v>
      </c>
      <c r="D977" s="6" t="s">
        <v>4142</v>
      </c>
      <c r="E977" s="6">
        <v>5</v>
      </c>
      <c r="F977" s="6" t="s">
        <v>1226</v>
      </c>
      <c r="G977" s="6">
        <v>2218</v>
      </c>
      <c r="H977" s="6" t="s">
        <v>1227</v>
      </c>
      <c r="I977" s="6" t="s">
        <v>4577</v>
      </c>
      <c r="J977" s="6" t="s">
        <v>4578</v>
      </c>
      <c r="K977" s="6" t="s">
        <v>3331</v>
      </c>
      <c r="L977" s="6">
        <v>80440613</v>
      </c>
      <c r="M977" s="6" t="s">
        <v>1228</v>
      </c>
      <c r="N977" s="6" t="s">
        <v>1178</v>
      </c>
      <c r="O977" s="6" t="s">
        <v>21</v>
      </c>
      <c r="P977" s="6" t="s">
        <v>1229</v>
      </c>
      <c r="Q977" s="6" t="s">
        <v>3332</v>
      </c>
      <c r="R977" s="8" t="s">
        <v>1808</v>
      </c>
      <c r="S977" s="6"/>
    </row>
    <row r="978" spans="1:19" ht="25.5" x14ac:dyDescent="0.25">
      <c r="A978" s="5" t="s">
        <v>3872</v>
      </c>
      <c r="B978" s="5">
        <v>977</v>
      </c>
      <c r="C978" s="6" t="s">
        <v>2775</v>
      </c>
      <c r="D978" s="6" t="s">
        <v>4142</v>
      </c>
      <c r="E978" s="6">
        <v>28</v>
      </c>
      <c r="F978" s="6" t="s">
        <v>1230</v>
      </c>
      <c r="G978" s="6">
        <v>1588</v>
      </c>
      <c r="H978" s="6" t="s">
        <v>857</v>
      </c>
      <c r="I978" s="6" t="s">
        <v>4579</v>
      </c>
      <c r="J978" s="6" t="s">
        <v>3663</v>
      </c>
      <c r="K978" s="6" t="s">
        <v>3331</v>
      </c>
      <c r="L978" s="6">
        <v>19109525</v>
      </c>
      <c r="M978" s="6" t="s">
        <v>1228</v>
      </c>
      <c r="N978" s="6" t="s">
        <v>1178</v>
      </c>
      <c r="O978" s="6" t="s">
        <v>21</v>
      </c>
      <c r="P978" s="6" t="s">
        <v>21</v>
      </c>
      <c r="Q978" s="6" t="s">
        <v>3332</v>
      </c>
      <c r="R978" s="8" t="s">
        <v>1808</v>
      </c>
      <c r="S978" s="6"/>
    </row>
    <row r="979" spans="1:19" ht="25.5" x14ac:dyDescent="0.25">
      <c r="A979" s="5" t="s">
        <v>3872</v>
      </c>
      <c r="B979" s="5">
        <v>978</v>
      </c>
      <c r="C979" s="6" t="s">
        <v>2776</v>
      </c>
      <c r="D979" s="6" t="s">
        <v>4142</v>
      </c>
      <c r="E979" s="6">
        <v>34</v>
      </c>
      <c r="F979" s="6" t="s">
        <v>1231</v>
      </c>
      <c r="G979" s="6">
        <v>1617</v>
      </c>
      <c r="H979" s="6" t="s">
        <v>509</v>
      </c>
      <c r="I979" s="6" t="s">
        <v>4580</v>
      </c>
      <c r="J979" s="6" t="s">
        <v>4581</v>
      </c>
      <c r="K979" s="6" t="s">
        <v>3331</v>
      </c>
      <c r="L979" s="6">
        <v>11442277</v>
      </c>
      <c r="M979" s="6" t="s">
        <v>1228</v>
      </c>
      <c r="N979" s="6" t="s">
        <v>1178</v>
      </c>
      <c r="O979" s="6" t="s">
        <v>21</v>
      </c>
      <c r="P979" s="6" t="s">
        <v>21</v>
      </c>
      <c r="Q979" s="6" t="s">
        <v>3332</v>
      </c>
      <c r="R979" s="8" t="s">
        <v>1808</v>
      </c>
      <c r="S979" s="6"/>
    </row>
    <row r="980" spans="1:19" ht="25.5" x14ac:dyDescent="0.25">
      <c r="A980" s="5" t="s">
        <v>3872</v>
      </c>
      <c r="B980" s="5">
        <v>979</v>
      </c>
      <c r="C980" s="6" t="s">
        <v>2777</v>
      </c>
      <c r="D980" s="6" t="s">
        <v>4142</v>
      </c>
      <c r="E980" s="6">
        <v>39</v>
      </c>
      <c r="F980" s="6" t="s">
        <v>1232</v>
      </c>
      <c r="G980" s="6">
        <v>1640</v>
      </c>
      <c r="H980" s="6" t="s">
        <v>522</v>
      </c>
      <c r="I980" s="6" t="s">
        <v>4582</v>
      </c>
      <c r="J980" s="6" t="s">
        <v>3516</v>
      </c>
      <c r="K980" s="6" t="s">
        <v>3331</v>
      </c>
      <c r="L980" s="6">
        <v>79378195</v>
      </c>
      <c r="M980" s="6" t="s">
        <v>1228</v>
      </c>
      <c r="N980" s="6" t="s">
        <v>1178</v>
      </c>
      <c r="O980" s="6" t="s">
        <v>21</v>
      </c>
      <c r="P980" s="6" t="s">
        <v>21</v>
      </c>
      <c r="Q980" s="6" t="s">
        <v>3332</v>
      </c>
      <c r="R980" s="8" t="s">
        <v>1808</v>
      </c>
      <c r="S980" s="6"/>
    </row>
    <row r="981" spans="1:19" ht="25.5" x14ac:dyDescent="0.25">
      <c r="A981" s="5" t="s">
        <v>3872</v>
      </c>
      <c r="B981" s="5">
        <v>980</v>
      </c>
      <c r="C981" s="6" t="s">
        <v>2778</v>
      </c>
      <c r="D981" s="6" t="s">
        <v>4142</v>
      </c>
      <c r="E981" s="6">
        <v>59</v>
      </c>
      <c r="F981" s="6" t="s">
        <v>1195</v>
      </c>
      <c r="G981" s="6">
        <v>1732</v>
      </c>
      <c r="H981" s="6" t="s">
        <v>1196</v>
      </c>
      <c r="I981" s="6" t="s">
        <v>4583</v>
      </c>
      <c r="J981" s="6" t="s">
        <v>4584</v>
      </c>
      <c r="K981" s="6" t="s">
        <v>3331</v>
      </c>
      <c r="L981" s="6">
        <v>79617997</v>
      </c>
      <c r="M981" s="6" t="s">
        <v>1228</v>
      </c>
      <c r="N981" s="6" t="s">
        <v>1178</v>
      </c>
      <c r="O981" s="6" t="s">
        <v>21</v>
      </c>
      <c r="P981" s="6" t="s">
        <v>21</v>
      </c>
      <c r="Q981" s="6" t="s">
        <v>3332</v>
      </c>
      <c r="R981" s="8" t="s">
        <v>1808</v>
      </c>
      <c r="S981" s="6"/>
    </row>
    <row r="982" spans="1:19" ht="25.5" x14ac:dyDescent="0.25">
      <c r="A982" s="5" t="s">
        <v>3872</v>
      </c>
      <c r="B982" s="5">
        <v>981</v>
      </c>
      <c r="C982" s="6" t="s">
        <v>2779</v>
      </c>
      <c r="D982" s="6" t="s">
        <v>4142</v>
      </c>
      <c r="E982" s="6">
        <v>38</v>
      </c>
      <c r="F982" s="6" t="s">
        <v>1233</v>
      </c>
      <c r="G982" s="6">
        <v>1940</v>
      </c>
      <c r="H982" s="6" t="s">
        <v>1234</v>
      </c>
      <c r="I982" s="6" t="s">
        <v>4585</v>
      </c>
      <c r="J982" s="6" t="s">
        <v>4586</v>
      </c>
      <c r="K982" s="6" t="s">
        <v>3331</v>
      </c>
      <c r="L982" s="6">
        <v>11348104</v>
      </c>
      <c r="M982" s="6" t="s">
        <v>1228</v>
      </c>
      <c r="N982" s="6" t="s">
        <v>1178</v>
      </c>
      <c r="O982" s="6" t="s">
        <v>21</v>
      </c>
      <c r="P982" s="6" t="s">
        <v>21</v>
      </c>
      <c r="Q982" s="6" t="s">
        <v>3332</v>
      </c>
      <c r="R982" s="8" t="s">
        <v>1808</v>
      </c>
      <c r="S982" s="6"/>
    </row>
    <row r="983" spans="1:19" ht="25.5" x14ac:dyDescent="0.25">
      <c r="A983" s="5" t="s">
        <v>3872</v>
      </c>
      <c r="B983" s="5">
        <v>982</v>
      </c>
      <c r="C983" s="6" t="s">
        <v>2780</v>
      </c>
      <c r="D983" s="6" t="s">
        <v>4142</v>
      </c>
      <c r="E983" s="6">
        <v>40</v>
      </c>
      <c r="F983" s="6" t="s">
        <v>1235</v>
      </c>
      <c r="G983" s="6">
        <v>634</v>
      </c>
      <c r="H983" s="6" t="s">
        <v>142</v>
      </c>
      <c r="I983" s="6" t="s">
        <v>4587</v>
      </c>
      <c r="J983" s="6" t="s">
        <v>3417</v>
      </c>
      <c r="K983" s="6" t="s">
        <v>3331</v>
      </c>
      <c r="L983" s="6">
        <v>51934340</v>
      </c>
      <c r="M983" s="6" t="s">
        <v>1228</v>
      </c>
      <c r="N983" s="6" t="s">
        <v>1178</v>
      </c>
      <c r="O983" s="6">
        <v>40</v>
      </c>
      <c r="P983" s="6" t="s">
        <v>1236</v>
      </c>
      <c r="Q983" s="6" t="s">
        <v>3332</v>
      </c>
      <c r="R983" s="8" t="s">
        <v>1808</v>
      </c>
      <c r="S983" s="6"/>
    </row>
    <row r="984" spans="1:19" ht="25.5" x14ac:dyDescent="0.25">
      <c r="A984" s="5" t="s">
        <v>3872</v>
      </c>
      <c r="B984" s="5">
        <v>983</v>
      </c>
      <c r="C984" s="6" t="s">
        <v>2781</v>
      </c>
      <c r="D984" s="6" t="s">
        <v>4142</v>
      </c>
      <c r="E984" s="6">
        <v>15</v>
      </c>
      <c r="F984" s="6" t="s">
        <v>1237</v>
      </c>
      <c r="G984" s="6">
        <v>199</v>
      </c>
      <c r="H984" s="6" t="s">
        <v>1238</v>
      </c>
      <c r="I984" s="6" t="s">
        <v>4588</v>
      </c>
      <c r="J984" s="6" t="s">
        <v>4478</v>
      </c>
      <c r="K984" s="6" t="s">
        <v>3331</v>
      </c>
      <c r="L984" s="6">
        <v>93367451</v>
      </c>
      <c r="M984" s="6" t="s">
        <v>1179</v>
      </c>
      <c r="N984" s="6" t="s">
        <v>1178</v>
      </c>
      <c r="O984" s="6">
        <v>101</v>
      </c>
      <c r="P984" s="6" t="s">
        <v>1239</v>
      </c>
      <c r="Q984" s="6" t="s">
        <v>3332</v>
      </c>
      <c r="R984" s="8" t="s">
        <v>1808</v>
      </c>
      <c r="S984" s="6"/>
    </row>
    <row r="985" spans="1:19" ht="25.5" x14ac:dyDescent="0.25">
      <c r="A985" s="5" t="s">
        <v>3872</v>
      </c>
      <c r="B985" s="5">
        <v>984</v>
      </c>
      <c r="C985" s="6" t="s">
        <v>2782</v>
      </c>
      <c r="D985" s="6" t="s">
        <v>4142</v>
      </c>
      <c r="E985" s="6">
        <v>101</v>
      </c>
      <c r="F985" s="6" t="s">
        <v>1201</v>
      </c>
      <c r="G985" s="6">
        <v>1407</v>
      </c>
      <c r="H985" s="6" t="s">
        <v>166</v>
      </c>
      <c r="I985" s="6" t="s">
        <v>4589</v>
      </c>
      <c r="J985" s="6" t="s">
        <v>4590</v>
      </c>
      <c r="K985" s="6" t="s">
        <v>3331</v>
      </c>
      <c r="L985" s="6">
        <v>12207976</v>
      </c>
      <c r="M985" s="6" t="s">
        <v>1228</v>
      </c>
      <c r="N985" s="6" t="s">
        <v>1178</v>
      </c>
      <c r="O985" s="6">
        <v>127</v>
      </c>
      <c r="P985" s="6" t="s">
        <v>1240</v>
      </c>
      <c r="Q985" s="6" t="s">
        <v>3332</v>
      </c>
      <c r="R985" s="8" t="s">
        <v>1808</v>
      </c>
      <c r="S985" s="6"/>
    </row>
    <row r="986" spans="1:19" ht="25.5" x14ac:dyDescent="0.25">
      <c r="A986" s="5" t="s">
        <v>3872</v>
      </c>
      <c r="B986" s="5">
        <v>985</v>
      </c>
      <c r="C986" s="6" t="s">
        <v>2783</v>
      </c>
      <c r="D986" s="6" t="s">
        <v>4142</v>
      </c>
      <c r="E986" s="6">
        <v>28</v>
      </c>
      <c r="F986" s="6" t="s">
        <v>1230</v>
      </c>
      <c r="G986" s="6">
        <v>1588</v>
      </c>
      <c r="H986" s="6" t="s">
        <v>857</v>
      </c>
      <c r="I986" s="6" t="s">
        <v>4591</v>
      </c>
      <c r="J986" s="6" t="s">
        <v>3488</v>
      </c>
      <c r="K986" s="6" t="s">
        <v>3331</v>
      </c>
      <c r="L986" s="6">
        <v>51742257</v>
      </c>
      <c r="M986" s="6" t="s">
        <v>1241</v>
      </c>
      <c r="N986" s="6" t="s">
        <v>1064</v>
      </c>
      <c r="O986" s="6" t="s">
        <v>21</v>
      </c>
      <c r="P986" s="6" t="s">
        <v>21</v>
      </c>
      <c r="Q986" s="6" t="s">
        <v>3332</v>
      </c>
      <c r="R986" s="8" t="s">
        <v>1808</v>
      </c>
      <c r="S986" s="6"/>
    </row>
    <row r="987" spans="1:19" ht="25.5" x14ac:dyDescent="0.25">
      <c r="A987" s="5" t="s">
        <v>3872</v>
      </c>
      <c r="B987" s="5">
        <v>986</v>
      </c>
      <c r="C987" s="6" t="s">
        <v>2784</v>
      </c>
      <c r="D987" s="6" t="s">
        <v>4142</v>
      </c>
      <c r="E987" s="6">
        <v>54</v>
      </c>
      <c r="F987" s="6" t="s">
        <v>1242</v>
      </c>
      <c r="G987" s="6">
        <v>1709</v>
      </c>
      <c r="H987" s="6" t="s">
        <v>1243</v>
      </c>
      <c r="I987" s="6" t="s">
        <v>4592</v>
      </c>
      <c r="J987" s="6" t="s">
        <v>4593</v>
      </c>
      <c r="K987" s="6" t="s">
        <v>3331</v>
      </c>
      <c r="L987" s="6">
        <v>79445227</v>
      </c>
      <c r="M987" s="6" t="s">
        <v>1241</v>
      </c>
      <c r="N987" s="6" t="s">
        <v>1064</v>
      </c>
      <c r="O987" s="6" t="s">
        <v>21</v>
      </c>
      <c r="P987" s="6" t="s">
        <v>21</v>
      </c>
      <c r="Q987" s="6" t="s">
        <v>3332</v>
      </c>
      <c r="R987" s="8" t="s">
        <v>1808</v>
      </c>
      <c r="S987" s="6"/>
    </row>
    <row r="988" spans="1:19" ht="25.5" x14ac:dyDescent="0.25">
      <c r="A988" s="5" t="s">
        <v>3872</v>
      </c>
      <c r="B988" s="5">
        <v>987</v>
      </c>
      <c r="C988" s="6" t="s">
        <v>2785</v>
      </c>
      <c r="D988" s="6" t="s">
        <v>4142</v>
      </c>
      <c r="E988" s="6">
        <v>26</v>
      </c>
      <c r="F988" s="6" t="s">
        <v>1188</v>
      </c>
      <c r="G988" s="6">
        <v>1881</v>
      </c>
      <c r="H988" s="6" t="s">
        <v>436</v>
      </c>
      <c r="I988" s="6" t="s">
        <v>4594</v>
      </c>
      <c r="J988" s="6" t="s">
        <v>4595</v>
      </c>
      <c r="K988" s="6" t="s">
        <v>3331</v>
      </c>
      <c r="L988" s="6">
        <v>79519159</v>
      </c>
      <c r="M988" s="6" t="s">
        <v>1241</v>
      </c>
      <c r="N988" s="6" t="s">
        <v>1064</v>
      </c>
      <c r="O988" s="6" t="s">
        <v>21</v>
      </c>
      <c r="P988" s="6" t="s">
        <v>21</v>
      </c>
      <c r="Q988" s="6" t="s">
        <v>3332</v>
      </c>
      <c r="R988" s="8" t="s">
        <v>1808</v>
      </c>
      <c r="S988" s="6"/>
    </row>
    <row r="989" spans="1:19" ht="25.5" x14ac:dyDescent="0.25">
      <c r="A989" s="5" t="s">
        <v>3872</v>
      </c>
      <c r="B989" s="5">
        <v>988</v>
      </c>
      <c r="C989" s="6" t="s">
        <v>2786</v>
      </c>
      <c r="D989" s="6" t="s">
        <v>4142</v>
      </c>
      <c r="E989" s="6">
        <v>56</v>
      </c>
      <c r="F989" s="6" t="s">
        <v>519</v>
      </c>
      <c r="G989" s="6">
        <v>2552</v>
      </c>
      <c r="H989" s="6" t="s">
        <v>520</v>
      </c>
      <c r="I989" s="6" t="s">
        <v>4596</v>
      </c>
      <c r="J989" s="6" t="s">
        <v>4597</v>
      </c>
      <c r="K989" s="6" t="s">
        <v>3331</v>
      </c>
      <c r="L989" s="6">
        <v>3102916</v>
      </c>
      <c r="M989" s="6" t="s">
        <v>358</v>
      </c>
      <c r="N989" s="6" t="s">
        <v>1163</v>
      </c>
      <c r="O989" s="6" t="s">
        <v>21</v>
      </c>
      <c r="P989" s="6" t="s">
        <v>118</v>
      </c>
      <c r="Q989" s="6" t="s">
        <v>3332</v>
      </c>
      <c r="R989" s="8" t="s">
        <v>1808</v>
      </c>
      <c r="S989" s="6"/>
    </row>
    <row r="990" spans="1:19" ht="25.5" x14ac:dyDescent="0.25">
      <c r="A990" s="5" t="s">
        <v>3872</v>
      </c>
      <c r="B990" s="5">
        <v>989</v>
      </c>
      <c r="C990" s="6" t="s">
        <v>2787</v>
      </c>
      <c r="D990" s="6" t="s">
        <v>4142</v>
      </c>
      <c r="E990" s="6">
        <v>123</v>
      </c>
      <c r="F990" s="6" t="s">
        <v>1244</v>
      </c>
      <c r="G990" s="6">
        <v>430</v>
      </c>
      <c r="H990" s="6" t="s">
        <v>1245</v>
      </c>
      <c r="I990" s="6" t="s">
        <v>4598</v>
      </c>
      <c r="J990" s="6" t="s">
        <v>4599</v>
      </c>
      <c r="K990" s="6" t="s">
        <v>3331</v>
      </c>
      <c r="L990" s="6">
        <v>35521139</v>
      </c>
      <c r="M990" s="6" t="s">
        <v>358</v>
      </c>
      <c r="N990" s="6" t="s">
        <v>1163</v>
      </c>
      <c r="O990" s="6">
        <v>10</v>
      </c>
      <c r="P990" s="6" t="s">
        <v>1246</v>
      </c>
      <c r="Q990" s="6" t="s">
        <v>3332</v>
      </c>
      <c r="R990" s="8" t="s">
        <v>1808</v>
      </c>
      <c r="S990" s="6"/>
    </row>
    <row r="991" spans="1:19" ht="25.5" x14ac:dyDescent="0.25">
      <c r="A991" s="5" t="s">
        <v>3872</v>
      </c>
      <c r="B991" s="5">
        <v>990</v>
      </c>
      <c r="C991" s="6" t="s">
        <v>2788</v>
      </c>
      <c r="D991" s="6" t="s">
        <v>4142</v>
      </c>
      <c r="E991" s="6">
        <v>12</v>
      </c>
      <c r="F991" s="6" t="s">
        <v>1186</v>
      </c>
      <c r="G991" s="6">
        <v>1826</v>
      </c>
      <c r="H991" s="6" t="s">
        <v>1187</v>
      </c>
      <c r="I991" s="6" t="s">
        <v>4600</v>
      </c>
      <c r="J991" s="6" t="s">
        <v>4601</v>
      </c>
      <c r="K991" s="6" t="s">
        <v>3331</v>
      </c>
      <c r="L991" s="6">
        <v>3103533</v>
      </c>
      <c r="M991" s="6" t="s">
        <v>358</v>
      </c>
      <c r="N991" s="6" t="s">
        <v>1163</v>
      </c>
      <c r="O991" s="6" t="s">
        <v>21</v>
      </c>
      <c r="P991" s="6" t="s">
        <v>21</v>
      </c>
      <c r="Q991" s="6" t="s">
        <v>3332</v>
      </c>
      <c r="R991" s="8" t="s">
        <v>1808</v>
      </c>
      <c r="S991" s="6"/>
    </row>
    <row r="992" spans="1:19" ht="25.5" x14ac:dyDescent="0.25">
      <c r="A992" s="5" t="s">
        <v>3872</v>
      </c>
      <c r="B992" s="5">
        <v>991</v>
      </c>
      <c r="C992" s="6" t="s">
        <v>2649</v>
      </c>
      <c r="D992" s="6" t="s">
        <v>4142</v>
      </c>
      <c r="E992" s="6">
        <v>21</v>
      </c>
      <c r="F992" s="6" t="s">
        <v>1123</v>
      </c>
      <c r="G992" s="6">
        <v>368</v>
      </c>
      <c r="H992" s="6" t="s">
        <v>255</v>
      </c>
      <c r="I992" s="6" t="s">
        <v>4602</v>
      </c>
      <c r="J992" s="6" t="s">
        <v>4603</v>
      </c>
      <c r="K992" s="6" t="s">
        <v>3331</v>
      </c>
      <c r="L992" s="6">
        <v>51819333</v>
      </c>
      <c r="M992" s="6" t="s">
        <v>178</v>
      </c>
      <c r="N992" s="6" t="s">
        <v>1117</v>
      </c>
      <c r="O992" s="6">
        <v>57</v>
      </c>
      <c r="P992" s="6" t="s">
        <v>848</v>
      </c>
      <c r="Q992" s="6" t="s">
        <v>3332</v>
      </c>
      <c r="R992" s="8" t="s">
        <v>1808</v>
      </c>
      <c r="S992" s="6"/>
    </row>
    <row r="993" spans="1:19" ht="25.5" x14ac:dyDescent="0.25">
      <c r="A993" s="5" t="s">
        <v>3872</v>
      </c>
      <c r="B993" s="5">
        <v>992</v>
      </c>
      <c r="C993" s="6" t="s">
        <v>2661</v>
      </c>
      <c r="D993" s="6" t="s">
        <v>4142</v>
      </c>
      <c r="E993" s="6">
        <v>70</v>
      </c>
      <c r="F993" s="6" t="s">
        <v>69</v>
      </c>
      <c r="G993" s="6">
        <v>186</v>
      </c>
      <c r="H993" s="6" t="s">
        <v>70</v>
      </c>
      <c r="I993" s="6" t="s">
        <v>4604</v>
      </c>
      <c r="J993" s="6" t="s">
        <v>3627</v>
      </c>
      <c r="K993" s="6" t="s">
        <v>3331</v>
      </c>
      <c r="L993" s="6">
        <v>25264805</v>
      </c>
      <c r="M993" s="6" t="s">
        <v>186</v>
      </c>
      <c r="N993" s="6" t="s">
        <v>1134</v>
      </c>
      <c r="O993" s="6" t="s">
        <v>21</v>
      </c>
      <c r="P993" s="6" t="s">
        <v>21</v>
      </c>
      <c r="Q993" s="6" t="s">
        <v>3332</v>
      </c>
      <c r="R993" s="8" t="s">
        <v>1808</v>
      </c>
      <c r="S993" s="6"/>
    </row>
    <row r="994" spans="1:19" ht="25.5" x14ac:dyDescent="0.25">
      <c r="A994" s="5" t="s">
        <v>3872</v>
      </c>
      <c r="B994" s="5">
        <v>993</v>
      </c>
      <c r="C994" s="6" t="s">
        <v>2662</v>
      </c>
      <c r="D994" s="6" t="s">
        <v>4142</v>
      </c>
      <c r="E994" s="6">
        <v>125</v>
      </c>
      <c r="F994" s="6" t="s">
        <v>672</v>
      </c>
      <c r="G994" s="6">
        <v>249</v>
      </c>
      <c r="H994" s="6" t="s">
        <v>73</v>
      </c>
      <c r="I994" s="6" t="s">
        <v>4605</v>
      </c>
      <c r="J994" s="6" t="s">
        <v>3882</v>
      </c>
      <c r="K994" s="6" t="s">
        <v>3331</v>
      </c>
      <c r="L994" s="6">
        <v>20188981</v>
      </c>
      <c r="M994" s="6" t="s">
        <v>186</v>
      </c>
      <c r="N994" s="6" t="s">
        <v>1101</v>
      </c>
      <c r="O994" s="6" t="s">
        <v>21</v>
      </c>
      <c r="P994" s="6" t="s">
        <v>21</v>
      </c>
      <c r="Q994" s="6" t="s">
        <v>3332</v>
      </c>
      <c r="R994" s="8" t="s">
        <v>1808</v>
      </c>
      <c r="S994" s="6"/>
    </row>
    <row r="995" spans="1:19" ht="25.5" x14ac:dyDescent="0.25">
      <c r="A995" s="5" t="s">
        <v>3872</v>
      </c>
      <c r="B995" s="5">
        <v>994</v>
      </c>
      <c r="C995" s="6" t="s">
        <v>2663</v>
      </c>
      <c r="D995" s="6" t="s">
        <v>4142</v>
      </c>
      <c r="E995" s="6">
        <v>35</v>
      </c>
      <c r="F995" s="6" t="s">
        <v>1079</v>
      </c>
      <c r="G995" s="6">
        <v>331</v>
      </c>
      <c r="H995" s="6" t="s">
        <v>84</v>
      </c>
      <c r="I995" s="6" t="s">
        <v>4606</v>
      </c>
      <c r="J995" s="6" t="s">
        <v>4607</v>
      </c>
      <c r="K995" s="6" t="s">
        <v>3331</v>
      </c>
      <c r="L995" s="6">
        <v>41672981</v>
      </c>
      <c r="M995" s="6" t="s">
        <v>186</v>
      </c>
      <c r="N995" s="6" t="s">
        <v>1135</v>
      </c>
      <c r="O995" s="6" t="s">
        <v>21</v>
      </c>
      <c r="P995" s="6" t="s">
        <v>21</v>
      </c>
      <c r="Q995" s="6" t="s">
        <v>3332</v>
      </c>
      <c r="R995" s="8" t="s">
        <v>1808</v>
      </c>
      <c r="S995" s="6"/>
    </row>
    <row r="996" spans="1:19" ht="25.5" x14ac:dyDescent="0.25">
      <c r="A996" s="5" t="s">
        <v>3872</v>
      </c>
      <c r="B996" s="5">
        <v>995</v>
      </c>
      <c r="C996" s="6" t="s">
        <v>2789</v>
      </c>
      <c r="D996" s="6" t="s">
        <v>4608</v>
      </c>
      <c r="E996" s="6">
        <v>1</v>
      </c>
      <c r="F996" s="6" t="s">
        <v>1248</v>
      </c>
      <c r="G996" s="6">
        <v>7</v>
      </c>
      <c r="H996" s="6" t="s">
        <v>33</v>
      </c>
      <c r="I996" s="6" t="s">
        <v>4609</v>
      </c>
      <c r="J996" s="6" t="s">
        <v>4610</v>
      </c>
      <c r="K996" s="6" t="s">
        <v>3331</v>
      </c>
      <c r="L996" s="6">
        <v>30724002</v>
      </c>
      <c r="M996" s="6" t="s">
        <v>1281</v>
      </c>
      <c r="N996" s="6" t="s">
        <v>1282</v>
      </c>
      <c r="O996" s="6" t="s">
        <v>21</v>
      </c>
      <c r="P996" s="6" t="s">
        <v>21</v>
      </c>
      <c r="Q996" s="6" t="s">
        <v>3332</v>
      </c>
      <c r="R996" s="8" t="s">
        <v>1808</v>
      </c>
      <c r="S996" s="6"/>
    </row>
    <row r="997" spans="1:19" ht="25.5" x14ac:dyDescent="0.25">
      <c r="A997" s="5" t="s">
        <v>3872</v>
      </c>
      <c r="B997" s="5">
        <v>996</v>
      </c>
      <c r="C997" s="6" t="s">
        <v>2790</v>
      </c>
      <c r="D997" s="6" t="s">
        <v>4608</v>
      </c>
      <c r="E997" s="6">
        <v>1</v>
      </c>
      <c r="F997" s="6" t="s">
        <v>1248</v>
      </c>
      <c r="G997" s="6">
        <v>7</v>
      </c>
      <c r="H997" s="6" t="s">
        <v>33</v>
      </c>
      <c r="I997" s="6" t="s">
        <v>4611</v>
      </c>
      <c r="J997" s="6" t="s">
        <v>4612</v>
      </c>
      <c r="K997" s="6" t="s">
        <v>3331</v>
      </c>
      <c r="L997" s="6">
        <v>12958452</v>
      </c>
      <c r="M997" s="6" t="s">
        <v>26</v>
      </c>
      <c r="N997" s="6" t="s">
        <v>1251</v>
      </c>
      <c r="O997" s="6" t="s">
        <v>21</v>
      </c>
      <c r="P997" s="6" t="s">
        <v>21</v>
      </c>
      <c r="Q997" s="6" t="s">
        <v>3332</v>
      </c>
      <c r="R997" s="8" t="s">
        <v>1808</v>
      </c>
      <c r="S997" s="6"/>
    </row>
    <row r="998" spans="1:19" ht="25.5" x14ac:dyDescent="0.25">
      <c r="A998" s="5" t="s">
        <v>3872</v>
      </c>
      <c r="B998" s="5">
        <v>997</v>
      </c>
      <c r="C998" s="6" t="s">
        <v>2792</v>
      </c>
      <c r="D998" s="6" t="s">
        <v>4608</v>
      </c>
      <c r="E998" s="6">
        <v>1</v>
      </c>
      <c r="F998" s="6" t="s">
        <v>1248</v>
      </c>
      <c r="G998" s="6">
        <v>7</v>
      </c>
      <c r="H998" s="6" t="s">
        <v>33</v>
      </c>
      <c r="I998" s="6" t="s">
        <v>4613</v>
      </c>
      <c r="J998" s="6" t="s">
        <v>3920</v>
      </c>
      <c r="K998" s="6" t="s">
        <v>3331</v>
      </c>
      <c r="L998" s="6">
        <v>30701028</v>
      </c>
      <c r="M998" s="6" t="s">
        <v>954</v>
      </c>
      <c r="N998" s="6" t="s">
        <v>1298</v>
      </c>
      <c r="O998" s="6" t="s">
        <v>21</v>
      </c>
      <c r="P998" s="6" t="s">
        <v>21</v>
      </c>
      <c r="Q998" s="6" t="s">
        <v>3332</v>
      </c>
      <c r="R998" s="8" t="s">
        <v>1808</v>
      </c>
      <c r="S998" s="6"/>
    </row>
    <row r="999" spans="1:19" ht="25.5" x14ac:dyDescent="0.25">
      <c r="A999" s="5" t="s">
        <v>3872</v>
      </c>
      <c r="B999" s="5">
        <v>998</v>
      </c>
      <c r="C999" s="6" t="s">
        <v>2793</v>
      </c>
      <c r="D999" s="6" t="s">
        <v>4608</v>
      </c>
      <c r="E999" s="6">
        <v>6</v>
      </c>
      <c r="F999" s="6" t="s">
        <v>1303</v>
      </c>
      <c r="G999" s="6">
        <v>575</v>
      </c>
      <c r="H999" s="6" t="s">
        <v>94</v>
      </c>
      <c r="I999" s="6" t="s">
        <v>4614</v>
      </c>
      <c r="J999" s="6" t="s">
        <v>3538</v>
      </c>
      <c r="K999" s="6" t="s">
        <v>3331</v>
      </c>
      <c r="L999" s="6">
        <v>12965110</v>
      </c>
      <c r="M999" s="6" t="s">
        <v>79</v>
      </c>
      <c r="N999" s="6" t="s">
        <v>1251</v>
      </c>
      <c r="O999" s="6" t="s">
        <v>21</v>
      </c>
      <c r="P999" s="6" t="s">
        <v>21</v>
      </c>
      <c r="Q999" s="6" t="s">
        <v>3332</v>
      </c>
      <c r="R999" s="8" t="s">
        <v>1808</v>
      </c>
      <c r="S999" s="6"/>
    </row>
    <row r="1000" spans="1:19" ht="25.5" x14ac:dyDescent="0.25">
      <c r="A1000" s="5" t="s">
        <v>3872</v>
      </c>
      <c r="B1000" s="5">
        <v>999</v>
      </c>
      <c r="C1000" s="6" t="s">
        <v>2794</v>
      </c>
      <c r="D1000" s="6" t="s">
        <v>4608</v>
      </c>
      <c r="E1000" s="6">
        <v>12</v>
      </c>
      <c r="F1000" s="6" t="s">
        <v>1304</v>
      </c>
      <c r="G1000" s="6">
        <v>610</v>
      </c>
      <c r="H1000" s="6" t="s">
        <v>880</v>
      </c>
      <c r="I1000" s="6" t="s">
        <v>4615</v>
      </c>
      <c r="J1000" s="6" t="s">
        <v>4616</v>
      </c>
      <c r="K1000" s="6" t="s">
        <v>3331</v>
      </c>
      <c r="L1000" s="6">
        <v>12958618</v>
      </c>
      <c r="M1000" s="6" t="s">
        <v>79</v>
      </c>
      <c r="N1000" s="6" t="s">
        <v>1251</v>
      </c>
      <c r="O1000" s="6" t="s">
        <v>21</v>
      </c>
      <c r="P1000" s="6" t="s">
        <v>21</v>
      </c>
      <c r="Q1000" s="6" t="s">
        <v>3332</v>
      </c>
      <c r="R1000" s="8" t="s">
        <v>1808</v>
      </c>
      <c r="S1000" s="6"/>
    </row>
    <row r="1001" spans="1:19" ht="25.5" x14ac:dyDescent="0.25">
      <c r="A1001" s="5" t="s">
        <v>3872</v>
      </c>
      <c r="B1001" s="5">
        <v>1000</v>
      </c>
      <c r="C1001" s="6" t="s">
        <v>2795</v>
      </c>
      <c r="D1001" s="6" t="s">
        <v>4608</v>
      </c>
      <c r="E1001" s="6">
        <v>23</v>
      </c>
      <c r="F1001" s="6" t="s">
        <v>1305</v>
      </c>
      <c r="G1001" s="6">
        <v>792</v>
      </c>
      <c r="H1001" s="6" t="s">
        <v>105</v>
      </c>
      <c r="I1001" s="6" t="s">
        <v>4617</v>
      </c>
      <c r="J1001" s="6" t="s">
        <v>4618</v>
      </c>
      <c r="K1001" s="6" t="s">
        <v>3331</v>
      </c>
      <c r="L1001" s="6">
        <v>79554147</v>
      </c>
      <c r="M1001" s="6" t="s">
        <v>79</v>
      </c>
      <c r="N1001" s="6" t="s">
        <v>1251</v>
      </c>
      <c r="O1001" s="6" t="s">
        <v>21</v>
      </c>
      <c r="P1001" s="6" t="s">
        <v>21</v>
      </c>
      <c r="Q1001" s="6" t="s">
        <v>3332</v>
      </c>
      <c r="R1001" s="8" t="s">
        <v>1808</v>
      </c>
      <c r="S1001" s="6"/>
    </row>
    <row r="1002" spans="1:19" ht="25.5" x14ac:dyDescent="0.25">
      <c r="A1002" s="5" t="s">
        <v>3872</v>
      </c>
      <c r="B1002" s="5">
        <v>1001</v>
      </c>
      <c r="C1002" s="6" t="s">
        <v>2796</v>
      </c>
      <c r="D1002" s="6" t="s">
        <v>4608</v>
      </c>
      <c r="E1002" s="6">
        <v>23</v>
      </c>
      <c r="F1002" s="6" t="s">
        <v>1305</v>
      </c>
      <c r="G1002" s="6">
        <v>792</v>
      </c>
      <c r="H1002" s="6" t="s">
        <v>105</v>
      </c>
      <c r="I1002" s="6" t="s">
        <v>4619</v>
      </c>
      <c r="J1002" s="6" t="s">
        <v>4620</v>
      </c>
      <c r="K1002" s="6" t="s">
        <v>3331</v>
      </c>
      <c r="L1002" s="6">
        <v>37008853</v>
      </c>
      <c r="M1002" s="6" t="s">
        <v>79</v>
      </c>
      <c r="N1002" s="6" t="s">
        <v>1251</v>
      </c>
      <c r="O1002" s="6" t="s">
        <v>21</v>
      </c>
      <c r="P1002" s="6" t="s">
        <v>21</v>
      </c>
      <c r="Q1002" s="6" t="s">
        <v>3332</v>
      </c>
      <c r="R1002" s="8" t="s">
        <v>1808</v>
      </c>
      <c r="S1002" s="6"/>
    </row>
    <row r="1003" spans="1:19" ht="25.5" x14ac:dyDescent="0.25">
      <c r="A1003" s="5" t="s">
        <v>3872</v>
      </c>
      <c r="B1003" s="5">
        <v>1002</v>
      </c>
      <c r="C1003" s="6" t="s">
        <v>2797</v>
      </c>
      <c r="D1003" s="6" t="s">
        <v>4608</v>
      </c>
      <c r="E1003" s="6">
        <v>4</v>
      </c>
      <c r="F1003" s="6" t="s">
        <v>1306</v>
      </c>
      <c r="G1003" s="6">
        <v>841</v>
      </c>
      <c r="H1003" s="6" t="s">
        <v>107</v>
      </c>
      <c r="I1003" s="6" t="s">
        <v>4621</v>
      </c>
      <c r="J1003" s="6" t="s">
        <v>4622</v>
      </c>
      <c r="K1003" s="6" t="s">
        <v>3331</v>
      </c>
      <c r="L1003" s="6">
        <v>59836049</v>
      </c>
      <c r="M1003" s="6" t="s">
        <v>79</v>
      </c>
      <c r="N1003" s="6" t="s">
        <v>1251</v>
      </c>
      <c r="O1003" s="6" t="s">
        <v>21</v>
      </c>
      <c r="P1003" s="6" t="s">
        <v>21</v>
      </c>
      <c r="Q1003" s="6" t="s">
        <v>3332</v>
      </c>
      <c r="R1003" s="8" t="s">
        <v>1808</v>
      </c>
      <c r="S1003" s="6"/>
    </row>
    <row r="1004" spans="1:19" ht="25.5" x14ac:dyDescent="0.25">
      <c r="A1004" s="5" t="s">
        <v>3872</v>
      </c>
      <c r="B1004" s="5">
        <v>1003</v>
      </c>
      <c r="C1004" s="6" t="s">
        <v>2798</v>
      </c>
      <c r="D1004" s="6" t="s">
        <v>4608</v>
      </c>
      <c r="E1004" s="6">
        <v>4</v>
      </c>
      <c r="F1004" s="6" t="s">
        <v>1306</v>
      </c>
      <c r="G1004" s="6">
        <v>841</v>
      </c>
      <c r="H1004" s="6" t="s">
        <v>107</v>
      </c>
      <c r="I1004" s="6" t="s">
        <v>4623</v>
      </c>
      <c r="J1004" s="6" t="s">
        <v>4597</v>
      </c>
      <c r="K1004" s="6" t="s">
        <v>3331</v>
      </c>
      <c r="L1004" s="6">
        <v>98384148</v>
      </c>
      <c r="M1004" s="6" t="s">
        <v>79</v>
      </c>
      <c r="N1004" s="6" t="s">
        <v>1251</v>
      </c>
      <c r="O1004" s="6" t="s">
        <v>21</v>
      </c>
      <c r="P1004" s="6" t="s">
        <v>21</v>
      </c>
      <c r="Q1004" s="6" t="s">
        <v>3332</v>
      </c>
      <c r="R1004" s="8" t="s">
        <v>1808</v>
      </c>
      <c r="S1004" s="6"/>
    </row>
    <row r="1005" spans="1:19" ht="25.5" x14ac:dyDescent="0.25">
      <c r="A1005" s="5" t="s">
        <v>3872</v>
      </c>
      <c r="B1005" s="5">
        <v>1004</v>
      </c>
      <c r="C1005" s="6" t="s">
        <v>2799</v>
      </c>
      <c r="D1005" s="6" t="s">
        <v>4608</v>
      </c>
      <c r="E1005" s="6">
        <v>4</v>
      </c>
      <c r="F1005" s="6" t="s">
        <v>1306</v>
      </c>
      <c r="G1005" s="6">
        <v>841</v>
      </c>
      <c r="H1005" s="6" t="s">
        <v>107</v>
      </c>
      <c r="I1005" s="6" t="s">
        <v>4624</v>
      </c>
      <c r="J1005" s="6" t="s">
        <v>4625</v>
      </c>
      <c r="K1005" s="6" t="s">
        <v>3331</v>
      </c>
      <c r="L1005" s="6">
        <v>59828511</v>
      </c>
      <c r="M1005" s="6" t="s">
        <v>79</v>
      </c>
      <c r="N1005" s="6" t="s">
        <v>1251</v>
      </c>
      <c r="O1005" s="6" t="s">
        <v>21</v>
      </c>
      <c r="P1005" s="6" t="s">
        <v>21</v>
      </c>
      <c r="Q1005" s="6" t="s">
        <v>3332</v>
      </c>
      <c r="R1005" s="8" t="s">
        <v>1808</v>
      </c>
      <c r="S1005" s="6"/>
    </row>
    <row r="1006" spans="1:19" ht="25.5" x14ac:dyDescent="0.25">
      <c r="A1006" s="5" t="s">
        <v>3872</v>
      </c>
      <c r="B1006" s="5">
        <v>1005</v>
      </c>
      <c r="C1006" s="6" t="s">
        <v>2800</v>
      </c>
      <c r="D1006" s="6" t="s">
        <v>4608</v>
      </c>
      <c r="E1006" s="6">
        <v>17</v>
      </c>
      <c r="F1006" s="6" t="s">
        <v>1307</v>
      </c>
      <c r="G1006" s="6">
        <v>1033</v>
      </c>
      <c r="H1006" s="6" t="s">
        <v>1090</v>
      </c>
      <c r="I1006" s="6" t="s">
        <v>4626</v>
      </c>
      <c r="J1006" s="6" t="s">
        <v>4627</v>
      </c>
      <c r="K1006" s="6" t="s">
        <v>3331</v>
      </c>
      <c r="L1006" s="6">
        <v>5348939</v>
      </c>
      <c r="M1006" s="6" t="s">
        <v>79</v>
      </c>
      <c r="N1006" s="6" t="s">
        <v>1251</v>
      </c>
      <c r="O1006" s="6" t="s">
        <v>21</v>
      </c>
      <c r="P1006" s="6" t="s">
        <v>21</v>
      </c>
      <c r="Q1006" s="6" t="s">
        <v>3332</v>
      </c>
      <c r="R1006" s="8" t="s">
        <v>1808</v>
      </c>
      <c r="S1006" s="6"/>
    </row>
    <row r="1007" spans="1:19" ht="25.5" x14ac:dyDescent="0.25">
      <c r="A1007" s="5" t="s">
        <v>3872</v>
      </c>
      <c r="B1007" s="5">
        <v>1006</v>
      </c>
      <c r="C1007" s="6" t="s">
        <v>2801</v>
      </c>
      <c r="D1007" s="6" t="s">
        <v>4608</v>
      </c>
      <c r="E1007" s="6">
        <v>14</v>
      </c>
      <c r="F1007" s="6" t="s">
        <v>1308</v>
      </c>
      <c r="G1007" s="6">
        <v>1330</v>
      </c>
      <c r="H1007" s="6" t="s">
        <v>622</v>
      </c>
      <c r="I1007" s="6" t="s">
        <v>4628</v>
      </c>
      <c r="J1007" s="6" t="s">
        <v>4629</v>
      </c>
      <c r="K1007" s="6" t="s">
        <v>3331</v>
      </c>
      <c r="L1007" s="6">
        <v>98382552</v>
      </c>
      <c r="M1007" s="6" t="s">
        <v>79</v>
      </c>
      <c r="N1007" s="6" t="s">
        <v>1251</v>
      </c>
      <c r="O1007" s="6" t="s">
        <v>21</v>
      </c>
      <c r="P1007" s="6" t="s">
        <v>21</v>
      </c>
      <c r="Q1007" s="6" t="s">
        <v>3332</v>
      </c>
      <c r="R1007" s="8" t="s">
        <v>1808</v>
      </c>
      <c r="S1007" s="6"/>
    </row>
    <row r="1008" spans="1:19" ht="25.5" x14ac:dyDescent="0.25">
      <c r="A1008" s="5" t="s">
        <v>3872</v>
      </c>
      <c r="B1008" s="5">
        <v>1007</v>
      </c>
      <c r="C1008" s="6" t="s">
        <v>2802</v>
      </c>
      <c r="D1008" s="6" t="s">
        <v>4608</v>
      </c>
      <c r="E1008" s="6">
        <v>14</v>
      </c>
      <c r="F1008" s="6" t="s">
        <v>1308</v>
      </c>
      <c r="G1008" s="6">
        <v>1330</v>
      </c>
      <c r="H1008" s="6" t="s">
        <v>622</v>
      </c>
      <c r="I1008" s="6" t="s">
        <v>4630</v>
      </c>
      <c r="J1008" s="6" t="s">
        <v>4209</v>
      </c>
      <c r="K1008" s="6" t="s">
        <v>3331</v>
      </c>
      <c r="L1008" s="6">
        <v>98348392</v>
      </c>
      <c r="M1008" s="6" t="s">
        <v>79</v>
      </c>
      <c r="N1008" s="6" t="s">
        <v>1251</v>
      </c>
      <c r="O1008" s="6" t="s">
        <v>21</v>
      </c>
      <c r="P1008" s="6" t="s">
        <v>21</v>
      </c>
      <c r="Q1008" s="6" t="s">
        <v>3332</v>
      </c>
      <c r="R1008" s="8" t="s">
        <v>1808</v>
      </c>
      <c r="S1008" s="6"/>
    </row>
    <row r="1009" spans="1:19" ht="25.5" x14ac:dyDescent="0.25">
      <c r="A1009" s="5" t="s">
        <v>3872</v>
      </c>
      <c r="B1009" s="5">
        <v>1008</v>
      </c>
      <c r="C1009" s="6" t="s">
        <v>2804</v>
      </c>
      <c r="D1009" s="6" t="s">
        <v>4608</v>
      </c>
      <c r="E1009" s="6">
        <v>5</v>
      </c>
      <c r="F1009" s="6" t="s">
        <v>1324</v>
      </c>
      <c r="G1009" s="6">
        <v>1198</v>
      </c>
      <c r="H1009" s="6" t="s">
        <v>1093</v>
      </c>
      <c r="I1009" s="6" t="s">
        <v>4631</v>
      </c>
      <c r="J1009" s="6" t="s">
        <v>4632</v>
      </c>
      <c r="K1009" s="6" t="s">
        <v>3331</v>
      </c>
      <c r="L1009" s="6">
        <v>59826015</v>
      </c>
      <c r="M1009" s="6" t="s">
        <v>50</v>
      </c>
      <c r="N1009" s="6" t="s">
        <v>1251</v>
      </c>
      <c r="O1009" s="6" t="s">
        <v>21</v>
      </c>
      <c r="P1009" s="6" t="s">
        <v>21</v>
      </c>
      <c r="Q1009" s="6" t="s">
        <v>3332</v>
      </c>
      <c r="R1009" s="8" t="s">
        <v>1808</v>
      </c>
      <c r="S1009" s="6"/>
    </row>
    <row r="1010" spans="1:19" ht="25.5" x14ac:dyDescent="0.25">
      <c r="A1010" s="5" t="s">
        <v>3872</v>
      </c>
      <c r="B1010" s="5">
        <v>1009</v>
      </c>
      <c r="C1010" s="6" t="s">
        <v>2805</v>
      </c>
      <c r="D1010" s="6" t="s">
        <v>4608</v>
      </c>
      <c r="E1010" s="6">
        <v>5</v>
      </c>
      <c r="F1010" s="6" t="s">
        <v>1324</v>
      </c>
      <c r="G1010" s="6">
        <v>1198</v>
      </c>
      <c r="H1010" s="6" t="s">
        <v>1093</v>
      </c>
      <c r="I1010" s="6" t="s">
        <v>4633</v>
      </c>
      <c r="J1010" s="6" t="s">
        <v>4634</v>
      </c>
      <c r="K1010" s="6" t="s">
        <v>3331</v>
      </c>
      <c r="L1010" s="6">
        <v>36932178</v>
      </c>
      <c r="M1010" s="6" t="s">
        <v>50</v>
      </c>
      <c r="N1010" s="6" t="s">
        <v>1251</v>
      </c>
      <c r="O1010" s="6" t="s">
        <v>21</v>
      </c>
      <c r="P1010" s="6" t="s">
        <v>21</v>
      </c>
      <c r="Q1010" s="6" t="s">
        <v>3332</v>
      </c>
      <c r="R1010" s="8" t="s">
        <v>1808</v>
      </c>
      <c r="S1010" s="6"/>
    </row>
    <row r="1011" spans="1:19" ht="25.5" x14ac:dyDescent="0.25">
      <c r="A1011" s="5" t="s">
        <v>3872</v>
      </c>
      <c r="B1011" s="5">
        <v>1010</v>
      </c>
      <c r="C1011" s="6" t="s">
        <v>2806</v>
      </c>
      <c r="D1011" s="6" t="s">
        <v>4608</v>
      </c>
      <c r="E1011" s="6">
        <v>5</v>
      </c>
      <c r="F1011" s="6" t="s">
        <v>1324</v>
      </c>
      <c r="G1011" s="6">
        <v>1198</v>
      </c>
      <c r="H1011" s="6" t="s">
        <v>1093</v>
      </c>
      <c r="I1011" s="6" t="s">
        <v>4635</v>
      </c>
      <c r="J1011" s="6" t="s">
        <v>4636</v>
      </c>
      <c r="K1011" s="6" t="s">
        <v>3331</v>
      </c>
      <c r="L1011" s="6">
        <v>36932070</v>
      </c>
      <c r="M1011" s="6" t="s">
        <v>50</v>
      </c>
      <c r="N1011" s="6" t="s">
        <v>1251</v>
      </c>
      <c r="O1011" s="6" t="s">
        <v>21</v>
      </c>
      <c r="P1011" s="6" t="s">
        <v>21</v>
      </c>
      <c r="Q1011" s="6" t="s">
        <v>3332</v>
      </c>
      <c r="R1011" s="8" t="s">
        <v>1808</v>
      </c>
      <c r="S1011" s="6"/>
    </row>
    <row r="1012" spans="1:19" ht="25.5" x14ac:dyDescent="0.25">
      <c r="A1012" s="5" t="s">
        <v>3872</v>
      </c>
      <c r="B1012" s="5">
        <v>1011</v>
      </c>
      <c r="C1012" s="6" t="s">
        <v>2807</v>
      </c>
      <c r="D1012" s="6" t="s">
        <v>4608</v>
      </c>
      <c r="E1012" s="6">
        <v>14</v>
      </c>
      <c r="F1012" s="6" t="s">
        <v>1308</v>
      </c>
      <c r="G1012" s="6">
        <v>1330</v>
      </c>
      <c r="H1012" s="6" t="s">
        <v>622</v>
      </c>
      <c r="I1012" s="6" t="s">
        <v>4637</v>
      </c>
      <c r="J1012" s="6" t="s">
        <v>4638</v>
      </c>
      <c r="K1012" s="6" t="s">
        <v>3331</v>
      </c>
      <c r="L1012" s="6">
        <v>27451054</v>
      </c>
      <c r="M1012" s="6" t="s">
        <v>50</v>
      </c>
      <c r="N1012" s="6" t="s">
        <v>1251</v>
      </c>
      <c r="O1012" s="6" t="s">
        <v>21</v>
      </c>
      <c r="P1012" s="6" t="s">
        <v>21</v>
      </c>
      <c r="Q1012" s="6" t="s">
        <v>3332</v>
      </c>
      <c r="R1012" s="8" t="s">
        <v>1808</v>
      </c>
      <c r="S1012" s="6"/>
    </row>
    <row r="1013" spans="1:19" ht="25.5" x14ac:dyDescent="0.25">
      <c r="A1013" s="5" t="s">
        <v>3872</v>
      </c>
      <c r="B1013" s="5">
        <v>1012</v>
      </c>
      <c r="C1013" s="6" t="s">
        <v>2808</v>
      </c>
      <c r="D1013" s="6" t="s">
        <v>4608</v>
      </c>
      <c r="E1013" s="6">
        <v>20</v>
      </c>
      <c r="F1013" s="6" t="s">
        <v>1325</v>
      </c>
      <c r="G1013" s="6">
        <v>1417</v>
      </c>
      <c r="H1013" s="6" t="s">
        <v>125</v>
      </c>
      <c r="I1013" s="6" t="s">
        <v>4639</v>
      </c>
      <c r="J1013" s="6" t="s">
        <v>4640</v>
      </c>
      <c r="K1013" s="6" t="s">
        <v>3331</v>
      </c>
      <c r="L1013" s="6">
        <v>12974269</v>
      </c>
      <c r="M1013" s="6" t="s">
        <v>50</v>
      </c>
      <c r="N1013" s="6" t="s">
        <v>1251</v>
      </c>
      <c r="O1013" s="6" t="s">
        <v>21</v>
      </c>
      <c r="P1013" s="6" t="s">
        <v>21</v>
      </c>
      <c r="Q1013" s="6" t="s">
        <v>3332</v>
      </c>
      <c r="R1013" s="8" t="s">
        <v>1808</v>
      </c>
      <c r="S1013" s="6"/>
    </row>
    <row r="1014" spans="1:19" ht="25.5" x14ac:dyDescent="0.25">
      <c r="A1014" s="5" t="s">
        <v>3872</v>
      </c>
      <c r="B1014" s="5">
        <v>1013</v>
      </c>
      <c r="C1014" s="6" t="s">
        <v>2818</v>
      </c>
      <c r="D1014" s="6" t="s">
        <v>4608</v>
      </c>
      <c r="E1014" s="6">
        <v>4</v>
      </c>
      <c r="F1014" s="6" t="s">
        <v>1303</v>
      </c>
      <c r="G1014" s="6">
        <v>575</v>
      </c>
      <c r="H1014" s="6" t="s">
        <v>94</v>
      </c>
      <c r="I1014" s="6" t="s">
        <v>4641</v>
      </c>
      <c r="J1014" s="6" t="s">
        <v>4642</v>
      </c>
      <c r="K1014" s="6" t="s">
        <v>3331</v>
      </c>
      <c r="L1014" s="6">
        <v>18125468</v>
      </c>
      <c r="M1014" s="6" t="s">
        <v>377</v>
      </c>
      <c r="N1014" s="6" t="s">
        <v>1251</v>
      </c>
      <c r="O1014" s="6" t="s">
        <v>21</v>
      </c>
      <c r="P1014" s="6" t="s">
        <v>21</v>
      </c>
      <c r="Q1014" s="6" t="s">
        <v>3332</v>
      </c>
      <c r="R1014" s="8" t="s">
        <v>1808</v>
      </c>
      <c r="S1014" s="6"/>
    </row>
    <row r="1015" spans="1:19" ht="25.5" x14ac:dyDescent="0.25">
      <c r="A1015" s="5" t="s">
        <v>3872</v>
      </c>
      <c r="B1015" s="5">
        <v>1014</v>
      </c>
      <c r="C1015" s="6" t="s">
        <v>2819</v>
      </c>
      <c r="D1015" s="6" t="s">
        <v>4608</v>
      </c>
      <c r="E1015" s="6">
        <v>11</v>
      </c>
      <c r="F1015" s="6" t="s">
        <v>1369</v>
      </c>
      <c r="G1015" s="6">
        <v>1294</v>
      </c>
      <c r="H1015" s="6" t="s">
        <v>367</v>
      </c>
      <c r="I1015" s="6" t="s">
        <v>4643</v>
      </c>
      <c r="J1015" s="6" t="s">
        <v>4644</v>
      </c>
      <c r="K1015" s="6" t="s">
        <v>3331</v>
      </c>
      <c r="L1015" s="6">
        <v>5217461</v>
      </c>
      <c r="M1015" s="6" t="s">
        <v>502</v>
      </c>
      <c r="N1015" s="6" t="s">
        <v>1251</v>
      </c>
      <c r="O1015" s="6" t="s">
        <v>21</v>
      </c>
      <c r="P1015" s="6" t="s">
        <v>21</v>
      </c>
      <c r="Q1015" s="6" t="s">
        <v>3332</v>
      </c>
      <c r="R1015" s="8" t="s">
        <v>1808</v>
      </c>
      <c r="S1015" s="6"/>
    </row>
    <row r="1016" spans="1:19" ht="25.5" x14ac:dyDescent="0.25">
      <c r="A1016" s="5" t="s">
        <v>3872</v>
      </c>
      <c r="B1016" s="5">
        <v>1015</v>
      </c>
      <c r="C1016" s="6" t="s">
        <v>2820</v>
      </c>
      <c r="D1016" s="6" t="s">
        <v>4608</v>
      </c>
      <c r="E1016" s="6">
        <v>11</v>
      </c>
      <c r="F1016" s="6" t="s">
        <v>1369</v>
      </c>
      <c r="G1016" s="6">
        <v>1294</v>
      </c>
      <c r="H1016" s="6" t="s">
        <v>367</v>
      </c>
      <c r="I1016" s="6" t="s">
        <v>4645</v>
      </c>
      <c r="J1016" s="6" t="s">
        <v>4646</v>
      </c>
      <c r="K1016" s="6" t="s">
        <v>3331</v>
      </c>
      <c r="L1016" s="6">
        <v>98381493</v>
      </c>
      <c r="M1016" s="6" t="s">
        <v>502</v>
      </c>
      <c r="N1016" s="6" t="s">
        <v>1251</v>
      </c>
      <c r="O1016" s="6" t="s">
        <v>21</v>
      </c>
      <c r="P1016" s="6" t="s">
        <v>21</v>
      </c>
      <c r="Q1016" s="6" t="s">
        <v>3332</v>
      </c>
      <c r="R1016" s="8" t="s">
        <v>1808</v>
      </c>
      <c r="S1016" s="6"/>
    </row>
    <row r="1017" spans="1:19" ht="25.5" x14ac:dyDescent="0.25">
      <c r="A1017" s="5" t="s">
        <v>3872</v>
      </c>
      <c r="B1017" s="5">
        <v>1016</v>
      </c>
      <c r="C1017" s="6" t="s">
        <v>2822</v>
      </c>
      <c r="D1017" s="6" t="s">
        <v>4608</v>
      </c>
      <c r="E1017" s="6">
        <v>19</v>
      </c>
      <c r="F1017" s="6" t="s">
        <v>1371</v>
      </c>
      <c r="G1017" s="6">
        <v>1641</v>
      </c>
      <c r="H1017" s="6" t="s">
        <v>522</v>
      </c>
      <c r="I1017" s="6" t="s">
        <v>4647</v>
      </c>
      <c r="J1017" s="6" t="s">
        <v>4648</v>
      </c>
      <c r="K1017" s="6" t="s">
        <v>3331</v>
      </c>
      <c r="L1017" s="6">
        <v>5348871</v>
      </c>
      <c r="M1017" s="6" t="s">
        <v>401</v>
      </c>
      <c r="N1017" s="6" t="s">
        <v>1251</v>
      </c>
      <c r="O1017" s="6" t="s">
        <v>21</v>
      </c>
      <c r="P1017" s="6" t="s">
        <v>21</v>
      </c>
      <c r="Q1017" s="6" t="s">
        <v>3332</v>
      </c>
      <c r="R1017" s="8" t="s">
        <v>1808</v>
      </c>
      <c r="S1017" s="6"/>
    </row>
    <row r="1018" spans="1:19" ht="25.5" x14ac:dyDescent="0.25">
      <c r="A1018" s="5" t="s">
        <v>3872</v>
      </c>
      <c r="B1018" s="5">
        <v>1017</v>
      </c>
      <c r="C1018" s="6" t="s">
        <v>2823</v>
      </c>
      <c r="D1018" s="6" t="s">
        <v>4608</v>
      </c>
      <c r="E1018" s="6">
        <v>19</v>
      </c>
      <c r="F1018" s="6" t="s">
        <v>1371</v>
      </c>
      <c r="G1018" s="6">
        <v>1641</v>
      </c>
      <c r="H1018" s="6" t="s">
        <v>522</v>
      </c>
      <c r="I1018" s="6" t="s">
        <v>4649</v>
      </c>
      <c r="J1018" s="6" t="s">
        <v>4650</v>
      </c>
      <c r="K1018" s="6" t="s">
        <v>3331</v>
      </c>
      <c r="L1018" s="6">
        <v>59834780</v>
      </c>
      <c r="M1018" s="6" t="s">
        <v>401</v>
      </c>
      <c r="N1018" s="6" t="s">
        <v>1251</v>
      </c>
      <c r="O1018" s="6" t="s">
        <v>21</v>
      </c>
      <c r="P1018" s="6" t="s">
        <v>21</v>
      </c>
      <c r="Q1018" s="6" t="s">
        <v>3332</v>
      </c>
      <c r="R1018" s="8" t="s">
        <v>1808</v>
      </c>
      <c r="S1018" s="6"/>
    </row>
    <row r="1019" spans="1:19" ht="25.5" x14ac:dyDescent="0.25">
      <c r="A1019" s="5" t="s">
        <v>3872</v>
      </c>
      <c r="B1019" s="5">
        <v>1018</v>
      </c>
      <c r="C1019" s="6" t="s">
        <v>2825</v>
      </c>
      <c r="D1019" s="6" t="s">
        <v>4608</v>
      </c>
      <c r="E1019" s="6">
        <v>5</v>
      </c>
      <c r="F1019" s="6" t="s">
        <v>1372</v>
      </c>
      <c r="G1019" s="6">
        <v>2034</v>
      </c>
      <c r="H1019" s="6" t="s">
        <v>533</v>
      </c>
      <c r="I1019" s="6" t="s">
        <v>4651</v>
      </c>
      <c r="J1019" s="6" t="s">
        <v>4652</v>
      </c>
      <c r="K1019" s="6" t="s">
        <v>3331</v>
      </c>
      <c r="L1019" s="6">
        <v>36752547</v>
      </c>
      <c r="M1019" s="6" t="s">
        <v>401</v>
      </c>
      <c r="N1019" s="6" t="s">
        <v>1251</v>
      </c>
      <c r="O1019" s="6" t="s">
        <v>21</v>
      </c>
      <c r="P1019" s="6" t="s">
        <v>21</v>
      </c>
      <c r="Q1019" s="6" t="s">
        <v>3332</v>
      </c>
      <c r="R1019" s="8" t="s">
        <v>1808</v>
      </c>
      <c r="S1019" s="6"/>
    </row>
    <row r="1020" spans="1:19" ht="25.5" x14ac:dyDescent="0.25">
      <c r="A1020" s="5" t="s">
        <v>3872</v>
      </c>
      <c r="B1020" s="5">
        <v>1019</v>
      </c>
      <c r="C1020" s="6" t="s">
        <v>2826</v>
      </c>
      <c r="D1020" s="6" t="s">
        <v>4608</v>
      </c>
      <c r="E1020" s="6">
        <v>7</v>
      </c>
      <c r="F1020" s="6" t="s">
        <v>1373</v>
      </c>
      <c r="G1020" s="6">
        <v>2109</v>
      </c>
      <c r="H1020" s="6" t="s">
        <v>1190</v>
      </c>
      <c r="I1020" s="6" t="s">
        <v>4653</v>
      </c>
      <c r="J1020" s="6" t="s">
        <v>4654</v>
      </c>
      <c r="K1020" s="6" t="s">
        <v>3331</v>
      </c>
      <c r="L1020" s="6">
        <v>98388226</v>
      </c>
      <c r="M1020" s="6" t="s">
        <v>401</v>
      </c>
      <c r="N1020" s="6" t="s">
        <v>1251</v>
      </c>
      <c r="O1020" s="6" t="s">
        <v>21</v>
      </c>
      <c r="P1020" s="6" t="s">
        <v>21</v>
      </c>
      <c r="Q1020" s="6" t="s">
        <v>3332</v>
      </c>
      <c r="R1020" s="8" t="s">
        <v>1808</v>
      </c>
      <c r="S1020" s="6"/>
    </row>
    <row r="1021" spans="1:19" ht="25.5" x14ac:dyDescent="0.25">
      <c r="A1021" s="5" t="s">
        <v>3872</v>
      </c>
      <c r="B1021" s="5">
        <v>1020</v>
      </c>
      <c r="C1021" s="6" t="s">
        <v>2827</v>
      </c>
      <c r="D1021" s="6" t="s">
        <v>4608</v>
      </c>
      <c r="E1021" s="6">
        <v>7</v>
      </c>
      <c r="F1021" s="6" t="s">
        <v>1373</v>
      </c>
      <c r="G1021" s="6">
        <v>2109</v>
      </c>
      <c r="H1021" s="6" t="s">
        <v>1190</v>
      </c>
      <c r="I1021" s="6" t="s">
        <v>4655</v>
      </c>
      <c r="J1021" s="6" t="s">
        <v>4656</v>
      </c>
      <c r="K1021" s="6" t="s">
        <v>3331</v>
      </c>
      <c r="L1021" s="6">
        <v>98384984</v>
      </c>
      <c r="M1021" s="6" t="s">
        <v>401</v>
      </c>
      <c r="N1021" s="6" t="s">
        <v>1251</v>
      </c>
      <c r="O1021" s="6" t="s">
        <v>21</v>
      </c>
      <c r="P1021" s="6" t="s">
        <v>21</v>
      </c>
      <c r="Q1021" s="6" t="s">
        <v>3332</v>
      </c>
      <c r="R1021" s="8" t="s">
        <v>1808</v>
      </c>
      <c r="S1021" s="6"/>
    </row>
    <row r="1022" spans="1:19" ht="25.5" x14ac:dyDescent="0.25">
      <c r="A1022" s="5" t="s">
        <v>3872</v>
      </c>
      <c r="B1022" s="5">
        <v>1021</v>
      </c>
      <c r="C1022" s="6" t="s">
        <v>2828</v>
      </c>
      <c r="D1022" s="6" t="s">
        <v>4608</v>
      </c>
      <c r="E1022" s="6">
        <v>2</v>
      </c>
      <c r="F1022" s="6" t="s">
        <v>1374</v>
      </c>
      <c r="G1022" s="6">
        <v>2263</v>
      </c>
      <c r="H1022" s="6" t="s">
        <v>476</v>
      </c>
      <c r="I1022" s="6" t="s">
        <v>4657</v>
      </c>
      <c r="J1022" s="6" t="s">
        <v>4658</v>
      </c>
      <c r="K1022" s="6" t="s">
        <v>3331</v>
      </c>
      <c r="L1022" s="6">
        <v>87551234</v>
      </c>
      <c r="M1022" s="6" t="s">
        <v>401</v>
      </c>
      <c r="N1022" s="6" t="s">
        <v>1251</v>
      </c>
      <c r="O1022" s="6" t="s">
        <v>21</v>
      </c>
      <c r="P1022" s="6" t="s">
        <v>1375</v>
      </c>
      <c r="Q1022" s="6" t="s">
        <v>3332</v>
      </c>
      <c r="R1022" s="8" t="s">
        <v>1808</v>
      </c>
      <c r="S1022" s="6"/>
    </row>
    <row r="1023" spans="1:19" ht="25.5" x14ac:dyDescent="0.25">
      <c r="A1023" s="5" t="s">
        <v>3872</v>
      </c>
      <c r="B1023" s="5">
        <v>1022</v>
      </c>
      <c r="C1023" s="6" t="s">
        <v>2829</v>
      </c>
      <c r="D1023" s="6" t="s">
        <v>4608</v>
      </c>
      <c r="E1023" s="6">
        <v>6</v>
      </c>
      <c r="F1023" s="6" t="s">
        <v>1376</v>
      </c>
      <c r="G1023" s="6">
        <v>2460</v>
      </c>
      <c r="H1023" s="6" t="s">
        <v>419</v>
      </c>
      <c r="I1023" s="6" t="s">
        <v>4659</v>
      </c>
      <c r="J1023" s="6" t="s">
        <v>4660</v>
      </c>
      <c r="K1023" s="6" t="s">
        <v>3331</v>
      </c>
      <c r="L1023" s="6">
        <v>27249565</v>
      </c>
      <c r="M1023" s="6" t="s">
        <v>401</v>
      </c>
      <c r="N1023" s="6" t="s">
        <v>1251</v>
      </c>
      <c r="O1023" s="6" t="s">
        <v>21</v>
      </c>
      <c r="P1023" s="6" t="s">
        <v>1377</v>
      </c>
      <c r="Q1023" s="6" t="s">
        <v>3332</v>
      </c>
      <c r="R1023" s="8" t="s">
        <v>1808</v>
      </c>
      <c r="S1023" s="6"/>
    </row>
    <row r="1024" spans="1:19" ht="25.5" x14ac:dyDescent="0.25">
      <c r="A1024" s="5" t="s">
        <v>3872</v>
      </c>
      <c r="B1024" s="5">
        <v>1023</v>
      </c>
      <c r="C1024" s="6" t="s">
        <v>2830</v>
      </c>
      <c r="D1024" s="6" t="s">
        <v>4608</v>
      </c>
      <c r="E1024" s="6">
        <v>10</v>
      </c>
      <c r="F1024" s="6" t="s">
        <v>1378</v>
      </c>
      <c r="G1024" s="6">
        <v>2596</v>
      </c>
      <c r="H1024" s="6" t="s">
        <v>1379</v>
      </c>
      <c r="I1024" s="6" t="s">
        <v>4661</v>
      </c>
      <c r="J1024" s="6" t="s">
        <v>4662</v>
      </c>
      <c r="K1024" s="6" t="s">
        <v>3331</v>
      </c>
      <c r="L1024" s="6">
        <v>18127078</v>
      </c>
      <c r="M1024" s="6" t="s">
        <v>401</v>
      </c>
      <c r="N1024" s="6" t="s">
        <v>1251</v>
      </c>
      <c r="O1024" s="6" t="s">
        <v>21</v>
      </c>
      <c r="P1024" s="6" t="s">
        <v>1380</v>
      </c>
      <c r="Q1024" s="6" t="s">
        <v>3332</v>
      </c>
      <c r="R1024" s="8" t="s">
        <v>1808</v>
      </c>
      <c r="S1024" s="6"/>
    </row>
    <row r="1025" spans="1:19" ht="25.5" x14ac:dyDescent="0.25">
      <c r="A1025" s="5" t="s">
        <v>3872</v>
      </c>
      <c r="B1025" s="5">
        <v>1024</v>
      </c>
      <c r="C1025" s="6" t="s">
        <v>2831</v>
      </c>
      <c r="D1025" s="6" t="s">
        <v>4608</v>
      </c>
      <c r="E1025" s="6">
        <v>12</v>
      </c>
      <c r="F1025" s="6" t="s">
        <v>1381</v>
      </c>
      <c r="G1025" s="6">
        <v>3154</v>
      </c>
      <c r="H1025" s="6" t="s">
        <v>965</v>
      </c>
      <c r="I1025" s="6" t="s">
        <v>4663</v>
      </c>
      <c r="J1025" s="6" t="s">
        <v>4664</v>
      </c>
      <c r="K1025" s="6" t="s">
        <v>3331</v>
      </c>
      <c r="L1025" s="6">
        <v>87471941</v>
      </c>
      <c r="M1025" s="6" t="s">
        <v>401</v>
      </c>
      <c r="N1025" s="6" t="s">
        <v>1251</v>
      </c>
      <c r="O1025" s="6" t="s">
        <v>21</v>
      </c>
      <c r="P1025" s="6" t="s">
        <v>1382</v>
      </c>
      <c r="Q1025" s="6" t="s">
        <v>3332</v>
      </c>
      <c r="R1025" s="8" t="s">
        <v>1808</v>
      </c>
      <c r="S1025" s="6"/>
    </row>
    <row r="1026" spans="1:19" ht="25.5" x14ac:dyDescent="0.25">
      <c r="A1026" s="5" t="s">
        <v>3872</v>
      </c>
      <c r="B1026" s="5">
        <v>1025</v>
      </c>
      <c r="C1026" s="6" t="s">
        <v>2821</v>
      </c>
      <c r="D1026" s="6" t="s">
        <v>4608</v>
      </c>
      <c r="E1026" s="6">
        <v>15</v>
      </c>
      <c r="F1026" s="6" t="s">
        <v>1370</v>
      </c>
      <c r="G1026" s="6">
        <v>1589</v>
      </c>
      <c r="H1026" s="6" t="s">
        <v>857</v>
      </c>
      <c r="I1026" s="6" t="s">
        <v>4665</v>
      </c>
      <c r="J1026" s="6" t="s">
        <v>4666</v>
      </c>
      <c r="K1026" s="6" t="s">
        <v>3331</v>
      </c>
      <c r="L1026" s="6">
        <v>12970892</v>
      </c>
      <c r="M1026" s="6" t="s">
        <v>401</v>
      </c>
      <c r="N1026" s="6" t="s">
        <v>1251</v>
      </c>
      <c r="O1026" s="6" t="s">
        <v>21</v>
      </c>
      <c r="P1026" s="6" t="s">
        <v>21</v>
      </c>
      <c r="Q1026" s="6" t="s">
        <v>3332</v>
      </c>
      <c r="R1026" s="8" t="s">
        <v>1808</v>
      </c>
      <c r="S1026" s="6"/>
    </row>
    <row r="1027" spans="1:19" ht="25.5" x14ac:dyDescent="0.25">
      <c r="A1027" s="5" t="s">
        <v>3872</v>
      </c>
      <c r="B1027" s="5">
        <v>1026</v>
      </c>
      <c r="C1027" s="6" t="s">
        <v>2824</v>
      </c>
      <c r="D1027" s="6" t="s">
        <v>4608</v>
      </c>
      <c r="E1027" s="6">
        <v>19</v>
      </c>
      <c r="F1027" s="6" t="s">
        <v>1371</v>
      </c>
      <c r="G1027" s="6">
        <v>1641</v>
      </c>
      <c r="H1027" s="6" t="s">
        <v>522</v>
      </c>
      <c r="I1027" s="6" t="s">
        <v>4667</v>
      </c>
      <c r="J1027" s="6" t="s">
        <v>4668</v>
      </c>
      <c r="K1027" s="6" t="s">
        <v>3331</v>
      </c>
      <c r="L1027" s="6">
        <v>30724334</v>
      </c>
      <c r="M1027" s="6" t="s">
        <v>401</v>
      </c>
      <c r="N1027" s="6" t="s">
        <v>1251</v>
      </c>
      <c r="O1027" s="6" t="s">
        <v>21</v>
      </c>
      <c r="P1027" s="6" t="s">
        <v>21</v>
      </c>
      <c r="Q1027" s="6" t="s">
        <v>3332</v>
      </c>
      <c r="R1027" s="8" t="s">
        <v>1808</v>
      </c>
      <c r="S1027" s="6"/>
    </row>
    <row r="1028" spans="1:19" ht="25.5" x14ac:dyDescent="0.25">
      <c r="A1028" s="5" t="s">
        <v>3872</v>
      </c>
      <c r="B1028" s="5">
        <v>1027</v>
      </c>
      <c r="C1028" s="6" t="s">
        <v>2833</v>
      </c>
      <c r="D1028" s="6" t="s">
        <v>4669</v>
      </c>
      <c r="E1028" s="6">
        <v>122</v>
      </c>
      <c r="F1028" s="6" t="s">
        <v>1445</v>
      </c>
      <c r="G1028" s="6">
        <v>378</v>
      </c>
      <c r="H1028" s="6" t="s">
        <v>76</v>
      </c>
      <c r="I1028" s="6" t="s">
        <v>4670</v>
      </c>
      <c r="J1028" s="6" t="s">
        <v>4671</v>
      </c>
      <c r="K1028" s="6" t="s">
        <v>3331</v>
      </c>
      <c r="L1028" s="6">
        <v>37234904</v>
      </c>
      <c r="M1028" s="6" t="s">
        <v>26</v>
      </c>
      <c r="N1028" s="6" t="s">
        <v>1446</v>
      </c>
      <c r="O1028" s="6" t="s">
        <v>21</v>
      </c>
      <c r="P1028" s="6" t="s">
        <v>21</v>
      </c>
      <c r="Q1028" s="6" t="s">
        <v>3332</v>
      </c>
      <c r="R1028" s="8" t="s">
        <v>1808</v>
      </c>
      <c r="S1028" s="6"/>
    </row>
    <row r="1029" spans="1:19" ht="25.5" x14ac:dyDescent="0.25">
      <c r="A1029" s="5" t="s">
        <v>3872</v>
      </c>
      <c r="B1029" s="5">
        <v>1028</v>
      </c>
      <c r="C1029" s="6" t="s">
        <v>2834</v>
      </c>
      <c r="D1029" s="6" t="s">
        <v>4669</v>
      </c>
      <c r="E1029" s="6">
        <v>17</v>
      </c>
      <c r="F1029" s="6" t="s">
        <v>1447</v>
      </c>
      <c r="G1029" s="6">
        <v>3</v>
      </c>
      <c r="H1029" s="6" t="s">
        <v>1068</v>
      </c>
      <c r="I1029" s="6" t="s">
        <v>4672</v>
      </c>
      <c r="J1029" s="6" t="s">
        <v>4673</v>
      </c>
      <c r="K1029" s="6" t="s">
        <v>3331</v>
      </c>
      <c r="L1029" s="6">
        <v>37253295</v>
      </c>
      <c r="M1029" s="6" t="s">
        <v>79</v>
      </c>
      <c r="N1029" s="6" t="s">
        <v>1446</v>
      </c>
      <c r="O1029" s="6" t="s">
        <v>21</v>
      </c>
      <c r="P1029" s="6" t="s">
        <v>21</v>
      </c>
      <c r="Q1029" s="6" t="s">
        <v>3332</v>
      </c>
      <c r="R1029" s="8" t="s">
        <v>1808</v>
      </c>
      <c r="S1029" s="6"/>
    </row>
    <row r="1030" spans="1:19" ht="25.5" x14ac:dyDescent="0.25">
      <c r="A1030" s="5" t="s">
        <v>3872</v>
      </c>
      <c r="B1030" s="5">
        <v>1029</v>
      </c>
      <c r="C1030" s="6" t="s">
        <v>2835</v>
      </c>
      <c r="D1030" s="6" t="s">
        <v>4669</v>
      </c>
      <c r="E1030" s="6">
        <v>17</v>
      </c>
      <c r="F1030" s="6" t="s">
        <v>1447</v>
      </c>
      <c r="G1030" s="6">
        <v>3</v>
      </c>
      <c r="H1030" s="6" t="s">
        <v>1068</v>
      </c>
      <c r="I1030" s="6" t="s">
        <v>4674</v>
      </c>
      <c r="J1030" s="6" t="s">
        <v>4675</v>
      </c>
      <c r="K1030" s="6" t="s">
        <v>3331</v>
      </c>
      <c r="L1030" s="6">
        <v>60297685</v>
      </c>
      <c r="M1030" s="6" t="s">
        <v>79</v>
      </c>
      <c r="N1030" s="6" t="s">
        <v>1446</v>
      </c>
      <c r="O1030" s="6" t="s">
        <v>21</v>
      </c>
      <c r="P1030" s="6" t="s">
        <v>21</v>
      </c>
      <c r="Q1030" s="6" t="s">
        <v>3332</v>
      </c>
      <c r="R1030" s="8" t="s">
        <v>1808</v>
      </c>
      <c r="S1030" s="6"/>
    </row>
    <row r="1031" spans="1:19" ht="25.5" x14ac:dyDescent="0.25">
      <c r="A1031" s="5" t="s">
        <v>3872</v>
      </c>
      <c r="B1031" s="5">
        <v>1030</v>
      </c>
      <c r="C1031" s="6" t="s">
        <v>2836</v>
      </c>
      <c r="D1031" s="6" t="s">
        <v>4669</v>
      </c>
      <c r="E1031" s="6">
        <v>54</v>
      </c>
      <c r="F1031" s="6" t="s">
        <v>43</v>
      </c>
      <c r="G1031" s="6">
        <v>34</v>
      </c>
      <c r="H1031" s="6" t="s">
        <v>42</v>
      </c>
      <c r="I1031" s="6" t="s">
        <v>4676</v>
      </c>
      <c r="J1031" s="6" t="s">
        <v>4677</v>
      </c>
      <c r="K1031" s="6" t="s">
        <v>3331</v>
      </c>
      <c r="L1031" s="6">
        <v>60317469</v>
      </c>
      <c r="M1031" s="6" t="s">
        <v>79</v>
      </c>
      <c r="N1031" s="6" t="s">
        <v>1446</v>
      </c>
      <c r="O1031" s="6" t="s">
        <v>21</v>
      </c>
      <c r="P1031" s="6" t="s">
        <v>21</v>
      </c>
      <c r="Q1031" s="6" t="s">
        <v>3332</v>
      </c>
      <c r="R1031" s="8" t="s">
        <v>1808</v>
      </c>
      <c r="S1031" s="6"/>
    </row>
    <row r="1032" spans="1:19" ht="25.5" x14ac:dyDescent="0.25">
      <c r="A1032" s="5" t="s">
        <v>3872</v>
      </c>
      <c r="B1032" s="5">
        <v>1031</v>
      </c>
      <c r="C1032" s="6" t="s">
        <v>2837</v>
      </c>
      <c r="D1032" s="6" t="s">
        <v>4669</v>
      </c>
      <c r="E1032" s="6">
        <v>65</v>
      </c>
      <c r="F1032" s="6" t="s">
        <v>1112</v>
      </c>
      <c r="G1032" s="6">
        <v>48</v>
      </c>
      <c r="H1032" s="6" t="s">
        <v>646</v>
      </c>
      <c r="I1032" s="6" t="s">
        <v>4678</v>
      </c>
      <c r="J1032" s="6" t="s">
        <v>4679</v>
      </c>
      <c r="K1032" s="6" t="s">
        <v>3331</v>
      </c>
      <c r="L1032" s="6">
        <v>60326807</v>
      </c>
      <c r="M1032" s="6" t="s">
        <v>79</v>
      </c>
      <c r="N1032" s="6" t="s">
        <v>1446</v>
      </c>
      <c r="O1032" s="6" t="s">
        <v>21</v>
      </c>
      <c r="P1032" s="6" t="s">
        <v>21</v>
      </c>
      <c r="Q1032" s="6" t="s">
        <v>3332</v>
      </c>
      <c r="R1032" s="8" t="s">
        <v>1808</v>
      </c>
      <c r="S1032" s="6"/>
    </row>
    <row r="1033" spans="1:19" ht="25.5" x14ac:dyDescent="0.25">
      <c r="A1033" s="5" t="s">
        <v>3872</v>
      </c>
      <c r="B1033" s="5">
        <v>1032</v>
      </c>
      <c r="C1033" s="6" t="s">
        <v>2838</v>
      </c>
      <c r="D1033" s="6" t="s">
        <v>4669</v>
      </c>
      <c r="E1033" s="6">
        <v>69</v>
      </c>
      <c r="F1033" s="6" t="s">
        <v>1448</v>
      </c>
      <c r="G1033" s="6">
        <v>40</v>
      </c>
      <c r="H1033" s="6" t="s">
        <v>57</v>
      </c>
      <c r="I1033" s="6" t="s">
        <v>4680</v>
      </c>
      <c r="J1033" s="6" t="s">
        <v>3893</v>
      </c>
      <c r="K1033" s="6" t="s">
        <v>3331</v>
      </c>
      <c r="L1033" s="6">
        <v>13450499</v>
      </c>
      <c r="M1033" s="6" t="s">
        <v>79</v>
      </c>
      <c r="N1033" s="6" t="s">
        <v>1446</v>
      </c>
      <c r="O1033" s="6" t="s">
        <v>21</v>
      </c>
      <c r="P1033" s="6" t="s">
        <v>21</v>
      </c>
      <c r="Q1033" s="6" t="s">
        <v>3332</v>
      </c>
      <c r="R1033" s="8" t="s">
        <v>1808</v>
      </c>
      <c r="S1033" s="6"/>
    </row>
    <row r="1034" spans="1:19" ht="25.5" x14ac:dyDescent="0.25">
      <c r="A1034" s="5" t="s">
        <v>3872</v>
      </c>
      <c r="B1034" s="5">
        <v>1033</v>
      </c>
      <c r="C1034" s="6" t="s">
        <v>2839</v>
      </c>
      <c r="D1034" s="6" t="s">
        <v>4669</v>
      </c>
      <c r="E1034" s="6">
        <v>69</v>
      </c>
      <c r="F1034" s="6" t="s">
        <v>1448</v>
      </c>
      <c r="G1034" s="6">
        <v>40</v>
      </c>
      <c r="H1034" s="6" t="s">
        <v>57</v>
      </c>
      <c r="I1034" s="6" t="s">
        <v>4681</v>
      </c>
      <c r="J1034" s="6" t="s">
        <v>3465</v>
      </c>
      <c r="K1034" s="6" t="s">
        <v>3331</v>
      </c>
      <c r="L1034" s="6">
        <v>37259101</v>
      </c>
      <c r="M1034" s="6" t="s">
        <v>79</v>
      </c>
      <c r="N1034" s="6" t="s">
        <v>1446</v>
      </c>
      <c r="O1034" s="6" t="s">
        <v>21</v>
      </c>
      <c r="P1034" s="6" t="s">
        <v>21</v>
      </c>
      <c r="Q1034" s="6" t="s">
        <v>3332</v>
      </c>
      <c r="R1034" s="8" t="s">
        <v>1808</v>
      </c>
      <c r="S1034" s="6"/>
    </row>
    <row r="1035" spans="1:19" ht="25.5" x14ac:dyDescent="0.25">
      <c r="A1035" s="5" t="s">
        <v>3872</v>
      </c>
      <c r="B1035" s="5">
        <v>1034</v>
      </c>
      <c r="C1035" s="6" t="s">
        <v>2840</v>
      </c>
      <c r="D1035" s="6" t="s">
        <v>4669</v>
      </c>
      <c r="E1035" s="6">
        <v>69</v>
      </c>
      <c r="F1035" s="6" t="s">
        <v>1448</v>
      </c>
      <c r="G1035" s="6">
        <v>40</v>
      </c>
      <c r="H1035" s="6" t="s">
        <v>57</v>
      </c>
      <c r="I1035" s="6" t="s">
        <v>4682</v>
      </c>
      <c r="J1035" s="6" t="s">
        <v>4683</v>
      </c>
      <c r="K1035" s="6" t="s">
        <v>3331</v>
      </c>
      <c r="L1035" s="6">
        <v>60401625</v>
      </c>
      <c r="M1035" s="6" t="s">
        <v>79</v>
      </c>
      <c r="N1035" s="6" t="s">
        <v>1446</v>
      </c>
      <c r="O1035" s="6" t="s">
        <v>21</v>
      </c>
      <c r="P1035" s="6" t="s">
        <v>21</v>
      </c>
      <c r="Q1035" s="6" t="s">
        <v>3332</v>
      </c>
      <c r="R1035" s="8" t="s">
        <v>1808</v>
      </c>
      <c r="S1035" s="6"/>
    </row>
    <row r="1036" spans="1:19" ht="25.5" x14ac:dyDescent="0.25">
      <c r="A1036" s="5" t="s">
        <v>3872</v>
      </c>
      <c r="B1036" s="5">
        <v>1035</v>
      </c>
      <c r="C1036" s="6" t="s">
        <v>2841</v>
      </c>
      <c r="D1036" s="6" t="s">
        <v>4669</v>
      </c>
      <c r="E1036" s="6">
        <v>81</v>
      </c>
      <c r="F1036" s="6" t="s">
        <v>1312</v>
      </c>
      <c r="G1036" s="6">
        <v>94</v>
      </c>
      <c r="H1036" s="6" t="s">
        <v>64</v>
      </c>
      <c r="I1036" s="6" t="s">
        <v>4684</v>
      </c>
      <c r="J1036" s="6" t="s">
        <v>4685</v>
      </c>
      <c r="K1036" s="6" t="s">
        <v>3331</v>
      </c>
      <c r="L1036" s="6">
        <v>13460127</v>
      </c>
      <c r="M1036" s="6" t="s">
        <v>79</v>
      </c>
      <c r="N1036" s="6" t="s">
        <v>1446</v>
      </c>
      <c r="O1036" s="6" t="s">
        <v>21</v>
      </c>
      <c r="P1036" s="6" t="s">
        <v>21</v>
      </c>
      <c r="Q1036" s="6" t="s">
        <v>3332</v>
      </c>
      <c r="R1036" s="8" t="s">
        <v>1808</v>
      </c>
      <c r="S1036" s="6"/>
    </row>
    <row r="1037" spans="1:19" ht="25.5" x14ac:dyDescent="0.25">
      <c r="A1037" s="5" t="s">
        <v>3872</v>
      </c>
      <c r="B1037" s="5">
        <v>1036</v>
      </c>
      <c r="C1037" s="6" t="s">
        <v>2842</v>
      </c>
      <c r="D1037" s="6" t="s">
        <v>4669</v>
      </c>
      <c r="E1037" s="6">
        <v>90</v>
      </c>
      <c r="F1037" s="6" t="s">
        <v>1114</v>
      </c>
      <c r="G1037" s="6">
        <v>163</v>
      </c>
      <c r="H1037" s="6" t="s">
        <v>1115</v>
      </c>
      <c r="I1037" s="6" t="s">
        <v>4686</v>
      </c>
      <c r="J1037" s="6" t="s">
        <v>3488</v>
      </c>
      <c r="K1037" s="6" t="s">
        <v>3331</v>
      </c>
      <c r="L1037" s="6">
        <v>60332064</v>
      </c>
      <c r="M1037" s="6" t="s">
        <v>79</v>
      </c>
      <c r="N1037" s="6" t="s">
        <v>1446</v>
      </c>
      <c r="O1037" s="6" t="s">
        <v>21</v>
      </c>
      <c r="P1037" s="6" t="s">
        <v>21</v>
      </c>
      <c r="Q1037" s="6" t="s">
        <v>3332</v>
      </c>
      <c r="R1037" s="8" t="s">
        <v>1808</v>
      </c>
      <c r="S1037" s="6"/>
    </row>
    <row r="1038" spans="1:19" ht="25.5" x14ac:dyDescent="0.25">
      <c r="A1038" s="5" t="s">
        <v>3872</v>
      </c>
      <c r="B1038" s="5">
        <v>1037</v>
      </c>
      <c r="C1038" s="6" t="s">
        <v>2843</v>
      </c>
      <c r="D1038" s="6" t="s">
        <v>4669</v>
      </c>
      <c r="E1038" s="6">
        <v>90</v>
      </c>
      <c r="F1038" s="6" t="s">
        <v>1114</v>
      </c>
      <c r="G1038" s="6">
        <v>163</v>
      </c>
      <c r="H1038" s="6" t="s">
        <v>1115</v>
      </c>
      <c r="I1038" s="6" t="s">
        <v>4687</v>
      </c>
      <c r="J1038" s="6" t="s">
        <v>4688</v>
      </c>
      <c r="K1038" s="6" t="s">
        <v>3331</v>
      </c>
      <c r="L1038" s="6">
        <v>37244720</v>
      </c>
      <c r="M1038" s="6" t="s">
        <v>79</v>
      </c>
      <c r="N1038" s="6" t="s">
        <v>1446</v>
      </c>
      <c r="O1038" s="6" t="s">
        <v>21</v>
      </c>
      <c r="P1038" s="6" t="s">
        <v>21</v>
      </c>
      <c r="Q1038" s="6" t="s">
        <v>3332</v>
      </c>
      <c r="R1038" s="8" t="s">
        <v>1808</v>
      </c>
      <c r="S1038" s="6"/>
    </row>
    <row r="1039" spans="1:19" ht="25.5" x14ac:dyDescent="0.25">
      <c r="A1039" s="5" t="s">
        <v>3872</v>
      </c>
      <c r="B1039" s="5">
        <v>1038</v>
      </c>
      <c r="C1039" s="6" t="s">
        <v>2844</v>
      </c>
      <c r="D1039" s="6" t="s">
        <v>4669</v>
      </c>
      <c r="E1039" s="6">
        <v>90</v>
      </c>
      <c r="F1039" s="6" t="s">
        <v>1114</v>
      </c>
      <c r="G1039" s="6">
        <v>163</v>
      </c>
      <c r="H1039" s="6" t="s">
        <v>1115</v>
      </c>
      <c r="I1039" s="6" t="s">
        <v>4689</v>
      </c>
      <c r="J1039" s="6" t="s">
        <v>4266</v>
      </c>
      <c r="K1039" s="6" t="s">
        <v>3331</v>
      </c>
      <c r="L1039" s="6">
        <v>13452284</v>
      </c>
      <c r="M1039" s="6" t="s">
        <v>79</v>
      </c>
      <c r="N1039" s="6" t="s">
        <v>1446</v>
      </c>
      <c r="O1039" s="6" t="s">
        <v>21</v>
      </c>
      <c r="P1039" s="6" t="s">
        <v>21</v>
      </c>
      <c r="Q1039" s="6" t="s">
        <v>3332</v>
      </c>
      <c r="R1039" s="8" t="s">
        <v>1808</v>
      </c>
      <c r="S1039" s="6"/>
    </row>
    <row r="1040" spans="1:19" ht="25.5" x14ac:dyDescent="0.25">
      <c r="A1040" s="5" t="s">
        <v>3872</v>
      </c>
      <c r="B1040" s="5">
        <v>1039</v>
      </c>
      <c r="C1040" s="6" t="s">
        <v>2845</v>
      </c>
      <c r="D1040" s="6" t="s">
        <v>4669</v>
      </c>
      <c r="E1040" s="6">
        <v>90</v>
      </c>
      <c r="F1040" s="6" t="s">
        <v>1114</v>
      </c>
      <c r="G1040" s="6">
        <v>163</v>
      </c>
      <c r="H1040" s="6" t="s">
        <v>1115</v>
      </c>
      <c r="I1040" s="6" t="s">
        <v>4690</v>
      </c>
      <c r="J1040" s="6" t="s">
        <v>3545</v>
      </c>
      <c r="K1040" s="6" t="s">
        <v>3331</v>
      </c>
      <c r="L1040" s="6">
        <v>37246835</v>
      </c>
      <c r="M1040" s="6" t="s">
        <v>79</v>
      </c>
      <c r="N1040" s="6" t="s">
        <v>1446</v>
      </c>
      <c r="O1040" s="6" t="s">
        <v>21</v>
      </c>
      <c r="P1040" s="6" t="s">
        <v>21</v>
      </c>
      <c r="Q1040" s="6" t="s">
        <v>3332</v>
      </c>
      <c r="R1040" s="8" t="s">
        <v>1808</v>
      </c>
      <c r="S1040" s="6"/>
    </row>
    <row r="1041" spans="1:19" ht="25.5" x14ac:dyDescent="0.25">
      <c r="A1041" s="5" t="s">
        <v>3872</v>
      </c>
      <c r="B1041" s="5">
        <v>1040</v>
      </c>
      <c r="C1041" s="6" t="s">
        <v>2846</v>
      </c>
      <c r="D1041" s="6" t="s">
        <v>4669</v>
      </c>
      <c r="E1041" s="6">
        <v>90</v>
      </c>
      <c r="F1041" s="6" t="s">
        <v>1114</v>
      </c>
      <c r="G1041" s="6">
        <v>163</v>
      </c>
      <c r="H1041" s="6" t="s">
        <v>1115</v>
      </c>
      <c r="I1041" s="6" t="s">
        <v>4691</v>
      </c>
      <c r="J1041" s="6" t="s">
        <v>4692</v>
      </c>
      <c r="K1041" s="6" t="s">
        <v>3331</v>
      </c>
      <c r="L1041" s="6">
        <v>37244100</v>
      </c>
      <c r="M1041" s="6" t="s">
        <v>79</v>
      </c>
      <c r="N1041" s="6" t="s">
        <v>1446</v>
      </c>
      <c r="O1041" s="6" t="s">
        <v>21</v>
      </c>
      <c r="P1041" s="6" t="s">
        <v>21</v>
      </c>
      <c r="Q1041" s="6" t="s">
        <v>3332</v>
      </c>
      <c r="R1041" s="8" t="s">
        <v>1808</v>
      </c>
      <c r="S1041" s="6"/>
    </row>
    <row r="1042" spans="1:19" ht="25.5" x14ac:dyDescent="0.25">
      <c r="A1042" s="5" t="s">
        <v>3872</v>
      </c>
      <c r="B1042" s="5">
        <v>1041</v>
      </c>
      <c r="C1042" s="6" t="s">
        <v>2847</v>
      </c>
      <c r="D1042" s="6" t="s">
        <v>4669</v>
      </c>
      <c r="E1042" s="6">
        <v>90</v>
      </c>
      <c r="F1042" s="6" t="s">
        <v>1114</v>
      </c>
      <c r="G1042" s="6">
        <v>163</v>
      </c>
      <c r="H1042" s="6" t="s">
        <v>1115</v>
      </c>
      <c r="I1042" s="6" t="s">
        <v>4693</v>
      </c>
      <c r="J1042" s="6" t="s">
        <v>4694</v>
      </c>
      <c r="K1042" s="6" t="s">
        <v>3331</v>
      </c>
      <c r="L1042" s="6">
        <v>13495943</v>
      </c>
      <c r="M1042" s="6" t="s">
        <v>79</v>
      </c>
      <c r="N1042" s="6" t="s">
        <v>1446</v>
      </c>
      <c r="O1042" s="6" t="s">
        <v>21</v>
      </c>
      <c r="P1042" s="6" t="s">
        <v>21</v>
      </c>
      <c r="Q1042" s="6" t="s">
        <v>3332</v>
      </c>
      <c r="R1042" s="8" t="s">
        <v>1808</v>
      </c>
      <c r="S1042" s="6"/>
    </row>
    <row r="1043" spans="1:19" ht="25.5" x14ac:dyDescent="0.25">
      <c r="A1043" s="5" t="s">
        <v>3872</v>
      </c>
      <c r="B1043" s="5">
        <v>1042</v>
      </c>
      <c r="C1043" s="6" t="s">
        <v>2848</v>
      </c>
      <c r="D1043" s="6" t="s">
        <v>4669</v>
      </c>
      <c r="E1043" s="6">
        <v>90</v>
      </c>
      <c r="F1043" s="6" t="s">
        <v>1114</v>
      </c>
      <c r="G1043" s="6">
        <v>163</v>
      </c>
      <c r="H1043" s="6" t="s">
        <v>1115</v>
      </c>
      <c r="I1043" s="6" t="s">
        <v>4695</v>
      </c>
      <c r="J1043" s="6" t="s">
        <v>4696</v>
      </c>
      <c r="K1043" s="6" t="s">
        <v>3331</v>
      </c>
      <c r="L1043" s="6">
        <v>60320778</v>
      </c>
      <c r="M1043" s="6" t="s">
        <v>79</v>
      </c>
      <c r="N1043" s="6" t="s">
        <v>1446</v>
      </c>
      <c r="O1043" s="6" t="s">
        <v>21</v>
      </c>
      <c r="P1043" s="6" t="s">
        <v>21</v>
      </c>
      <c r="Q1043" s="6" t="s">
        <v>3332</v>
      </c>
      <c r="R1043" s="8" t="s">
        <v>1808</v>
      </c>
      <c r="S1043" s="6"/>
    </row>
    <row r="1044" spans="1:19" ht="25.5" x14ac:dyDescent="0.25">
      <c r="A1044" s="5" t="s">
        <v>3872</v>
      </c>
      <c r="B1044" s="5">
        <v>1043</v>
      </c>
      <c r="C1044" s="6" t="s">
        <v>2849</v>
      </c>
      <c r="D1044" s="6" t="s">
        <v>4669</v>
      </c>
      <c r="E1044" s="6">
        <v>90</v>
      </c>
      <c r="F1044" s="6" t="s">
        <v>1114</v>
      </c>
      <c r="G1044" s="6">
        <v>163</v>
      </c>
      <c r="H1044" s="6" t="s">
        <v>1115</v>
      </c>
      <c r="I1044" s="6" t="s">
        <v>4697</v>
      </c>
      <c r="J1044" s="6" t="s">
        <v>4698</v>
      </c>
      <c r="K1044" s="6" t="s">
        <v>3331</v>
      </c>
      <c r="L1044" s="6">
        <v>13444090</v>
      </c>
      <c r="M1044" s="6" t="s">
        <v>79</v>
      </c>
      <c r="N1044" s="6" t="s">
        <v>1446</v>
      </c>
      <c r="O1044" s="6" t="s">
        <v>21</v>
      </c>
      <c r="P1044" s="6" t="s">
        <v>21</v>
      </c>
      <c r="Q1044" s="6" t="s">
        <v>3332</v>
      </c>
      <c r="R1044" s="8" t="s">
        <v>1808</v>
      </c>
      <c r="S1044" s="6"/>
    </row>
    <row r="1045" spans="1:19" ht="25.5" x14ac:dyDescent="0.25">
      <c r="A1045" s="5" t="s">
        <v>3872</v>
      </c>
      <c r="B1045" s="5">
        <v>1044</v>
      </c>
      <c r="C1045" s="6" t="s">
        <v>2850</v>
      </c>
      <c r="D1045" s="6" t="s">
        <v>4669</v>
      </c>
      <c r="E1045" s="6">
        <v>90</v>
      </c>
      <c r="F1045" s="6" t="s">
        <v>1114</v>
      </c>
      <c r="G1045" s="6">
        <v>163</v>
      </c>
      <c r="H1045" s="6" t="s">
        <v>1115</v>
      </c>
      <c r="I1045" s="6" t="s">
        <v>4699</v>
      </c>
      <c r="J1045" s="6" t="s">
        <v>4700</v>
      </c>
      <c r="K1045" s="6" t="s">
        <v>3331</v>
      </c>
      <c r="L1045" s="6">
        <v>13467061</v>
      </c>
      <c r="M1045" s="6" t="s">
        <v>79</v>
      </c>
      <c r="N1045" s="6" t="s">
        <v>1446</v>
      </c>
      <c r="O1045" s="6" t="s">
        <v>21</v>
      </c>
      <c r="P1045" s="6" t="s">
        <v>21</v>
      </c>
      <c r="Q1045" s="6" t="s">
        <v>3332</v>
      </c>
      <c r="R1045" s="8" t="s">
        <v>1808</v>
      </c>
      <c r="S1045" s="6"/>
    </row>
    <row r="1046" spans="1:19" ht="25.5" x14ac:dyDescent="0.25">
      <c r="A1046" s="5" t="s">
        <v>3872</v>
      </c>
      <c r="B1046" s="5">
        <v>1045</v>
      </c>
      <c r="C1046" s="6" t="s">
        <v>2851</v>
      </c>
      <c r="D1046" s="6" t="s">
        <v>4669</v>
      </c>
      <c r="E1046" s="6">
        <v>95</v>
      </c>
      <c r="F1046" s="6" t="s">
        <v>1114</v>
      </c>
      <c r="G1046" s="6">
        <v>163</v>
      </c>
      <c r="H1046" s="6" t="s">
        <v>1115</v>
      </c>
      <c r="I1046" s="6" t="s">
        <v>4701</v>
      </c>
      <c r="J1046" s="6" t="s">
        <v>4702</v>
      </c>
      <c r="K1046" s="6" t="s">
        <v>3331</v>
      </c>
      <c r="L1046" s="6">
        <v>37249793</v>
      </c>
      <c r="M1046" s="6" t="s">
        <v>79</v>
      </c>
      <c r="N1046" s="6" t="s">
        <v>1446</v>
      </c>
      <c r="O1046" s="6" t="s">
        <v>21</v>
      </c>
      <c r="P1046" s="6" t="s">
        <v>21</v>
      </c>
      <c r="Q1046" s="6" t="s">
        <v>3332</v>
      </c>
      <c r="R1046" s="8" t="s">
        <v>1808</v>
      </c>
      <c r="S1046" s="6"/>
    </row>
    <row r="1047" spans="1:19" ht="25.5" x14ac:dyDescent="0.25">
      <c r="A1047" s="5" t="s">
        <v>3872</v>
      </c>
      <c r="B1047" s="5">
        <v>1046</v>
      </c>
      <c r="C1047" s="6" t="s">
        <v>2852</v>
      </c>
      <c r="D1047" s="6" t="s">
        <v>4669</v>
      </c>
      <c r="E1047" s="6">
        <v>95</v>
      </c>
      <c r="F1047" s="6" t="s">
        <v>1114</v>
      </c>
      <c r="G1047" s="6">
        <v>163</v>
      </c>
      <c r="H1047" s="6" t="s">
        <v>1115</v>
      </c>
      <c r="I1047" s="6" t="s">
        <v>4703</v>
      </c>
      <c r="J1047" s="6" t="s">
        <v>4704</v>
      </c>
      <c r="K1047" s="6" t="s">
        <v>3331</v>
      </c>
      <c r="L1047" s="6">
        <v>37250461</v>
      </c>
      <c r="M1047" s="6" t="s">
        <v>79</v>
      </c>
      <c r="N1047" s="6" t="s">
        <v>1446</v>
      </c>
      <c r="O1047" s="6" t="s">
        <v>21</v>
      </c>
      <c r="P1047" s="6" t="s">
        <v>21</v>
      </c>
      <c r="Q1047" s="6" t="s">
        <v>3332</v>
      </c>
      <c r="R1047" s="8" t="s">
        <v>1808</v>
      </c>
      <c r="S1047" s="6"/>
    </row>
    <row r="1048" spans="1:19" ht="25.5" x14ac:dyDescent="0.25">
      <c r="A1048" s="5" t="s">
        <v>3872</v>
      </c>
      <c r="B1048" s="5">
        <v>1047</v>
      </c>
      <c r="C1048" s="6" t="s">
        <v>2853</v>
      </c>
      <c r="D1048" s="6" t="s">
        <v>4669</v>
      </c>
      <c r="E1048" s="6">
        <v>95</v>
      </c>
      <c r="F1048" s="6" t="s">
        <v>1114</v>
      </c>
      <c r="G1048" s="6">
        <v>163</v>
      </c>
      <c r="H1048" s="6" t="s">
        <v>1115</v>
      </c>
      <c r="I1048" s="6" t="s">
        <v>4705</v>
      </c>
      <c r="J1048" s="6" t="s">
        <v>4706</v>
      </c>
      <c r="K1048" s="6" t="s">
        <v>3331</v>
      </c>
      <c r="L1048" s="6">
        <v>13244047</v>
      </c>
      <c r="M1048" s="6" t="s">
        <v>79</v>
      </c>
      <c r="N1048" s="6" t="s">
        <v>1446</v>
      </c>
      <c r="O1048" s="6" t="s">
        <v>21</v>
      </c>
      <c r="P1048" s="6" t="s">
        <v>21</v>
      </c>
      <c r="Q1048" s="6" t="s">
        <v>3332</v>
      </c>
      <c r="R1048" s="8" t="s">
        <v>1808</v>
      </c>
      <c r="S1048" s="6"/>
    </row>
    <row r="1049" spans="1:19" ht="25.5" x14ac:dyDescent="0.25">
      <c r="A1049" s="5" t="s">
        <v>3872</v>
      </c>
      <c r="B1049" s="5">
        <v>1048</v>
      </c>
      <c r="C1049" s="6" t="s">
        <v>2854</v>
      </c>
      <c r="D1049" s="6" t="s">
        <v>4669</v>
      </c>
      <c r="E1049" s="6">
        <v>95</v>
      </c>
      <c r="F1049" s="6" t="s">
        <v>1114</v>
      </c>
      <c r="G1049" s="6">
        <v>163</v>
      </c>
      <c r="H1049" s="6" t="s">
        <v>1115</v>
      </c>
      <c r="I1049" s="6" t="s">
        <v>4707</v>
      </c>
      <c r="J1049" s="6" t="s">
        <v>4708</v>
      </c>
      <c r="K1049" s="6" t="s">
        <v>3331</v>
      </c>
      <c r="L1049" s="6">
        <v>60341288</v>
      </c>
      <c r="M1049" s="6" t="s">
        <v>79</v>
      </c>
      <c r="N1049" s="6" t="s">
        <v>1446</v>
      </c>
      <c r="O1049" s="6" t="s">
        <v>21</v>
      </c>
      <c r="P1049" s="6" t="s">
        <v>21</v>
      </c>
      <c r="Q1049" s="6" t="s">
        <v>3332</v>
      </c>
      <c r="R1049" s="8" t="s">
        <v>1808</v>
      </c>
      <c r="S1049" s="6"/>
    </row>
    <row r="1050" spans="1:19" ht="25.5" x14ac:dyDescent="0.25">
      <c r="A1050" s="5" t="s">
        <v>3872</v>
      </c>
      <c r="B1050" s="5">
        <v>1049</v>
      </c>
      <c r="C1050" s="6" t="s">
        <v>2855</v>
      </c>
      <c r="D1050" s="6" t="s">
        <v>4669</v>
      </c>
      <c r="E1050" s="6">
        <v>95</v>
      </c>
      <c r="F1050" s="6" t="s">
        <v>1114</v>
      </c>
      <c r="G1050" s="6">
        <v>163</v>
      </c>
      <c r="H1050" s="6" t="s">
        <v>1115</v>
      </c>
      <c r="I1050" s="6" t="s">
        <v>4709</v>
      </c>
      <c r="J1050" s="6" t="s">
        <v>4223</v>
      </c>
      <c r="K1050" s="6" t="s">
        <v>3331</v>
      </c>
      <c r="L1050" s="6">
        <v>13439315</v>
      </c>
      <c r="M1050" s="6" t="s">
        <v>79</v>
      </c>
      <c r="N1050" s="6" t="s">
        <v>1446</v>
      </c>
      <c r="O1050" s="6" t="s">
        <v>21</v>
      </c>
      <c r="P1050" s="6" t="s">
        <v>21</v>
      </c>
      <c r="Q1050" s="6" t="s">
        <v>3332</v>
      </c>
      <c r="R1050" s="8" t="s">
        <v>1808</v>
      </c>
      <c r="S1050" s="6"/>
    </row>
    <row r="1051" spans="1:19" ht="25.5" x14ac:dyDescent="0.25">
      <c r="A1051" s="5" t="s">
        <v>3872</v>
      </c>
      <c r="B1051" s="5">
        <v>1050</v>
      </c>
      <c r="C1051" s="6" t="s">
        <v>2856</v>
      </c>
      <c r="D1051" s="6" t="s">
        <v>4669</v>
      </c>
      <c r="E1051" s="6">
        <v>95</v>
      </c>
      <c r="F1051" s="6" t="s">
        <v>1114</v>
      </c>
      <c r="G1051" s="6">
        <v>163</v>
      </c>
      <c r="H1051" s="6" t="s">
        <v>1115</v>
      </c>
      <c r="I1051" s="6" t="s">
        <v>4710</v>
      </c>
      <c r="J1051" s="6" t="s">
        <v>4711</v>
      </c>
      <c r="K1051" s="6" t="s">
        <v>3331</v>
      </c>
      <c r="L1051" s="6">
        <v>5455069</v>
      </c>
      <c r="M1051" s="6" t="s">
        <v>79</v>
      </c>
      <c r="N1051" s="6" t="s">
        <v>1446</v>
      </c>
      <c r="O1051" s="6" t="s">
        <v>21</v>
      </c>
      <c r="P1051" s="6" t="s">
        <v>21</v>
      </c>
      <c r="Q1051" s="6" t="s">
        <v>3332</v>
      </c>
      <c r="R1051" s="8" t="s">
        <v>1808</v>
      </c>
      <c r="S1051" s="6"/>
    </row>
    <row r="1052" spans="1:19" ht="25.5" x14ac:dyDescent="0.25">
      <c r="A1052" s="5" t="s">
        <v>3872</v>
      </c>
      <c r="B1052" s="5">
        <v>1051</v>
      </c>
      <c r="C1052" s="6" t="s">
        <v>2857</v>
      </c>
      <c r="D1052" s="6" t="s">
        <v>4669</v>
      </c>
      <c r="E1052" s="6">
        <v>95</v>
      </c>
      <c r="F1052" s="6" t="s">
        <v>1114</v>
      </c>
      <c r="G1052" s="6">
        <v>163</v>
      </c>
      <c r="H1052" s="6" t="s">
        <v>1115</v>
      </c>
      <c r="I1052" s="6" t="s">
        <v>4712</v>
      </c>
      <c r="J1052" s="6" t="s">
        <v>4713</v>
      </c>
      <c r="K1052" s="6" t="s">
        <v>3331</v>
      </c>
      <c r="L1052" s="6">
        <v>13241371</v>
      </c>
      <c r="M1052" s="6" t="s">
        <v>79</v>
      </c>
      <c r="N1052" s="6" t="s">
        <v>1446</v>
      </c>
      <c r="O1052" s="6" t="s">
        <v>21</v>
      </c>
      <c r="P1052" s="6" t="s">
        <v>21</v>
      </c>
      <c r="Q1052" s="6" t="s">
        <v>3332</v>
      </c>
      <c r="R1052" s="8" t="s">
        <v>1808</v>
      </c>
      <c r="S1052" s="6"/>
    </row>
    <row r="1053" spans="1:19" ht="25.5" x14ac:dyDescent="0.25">
      <c r="A1053" s="5" t="s">
        <v>3872</v>
      </c>
      <c r="B1053" s="5">
        <v>1052</v>
      </c>
      <c r="C1053" s="6" t="s">
        <v>2858</v>
      </c>
      <c r="D1053" s="6" t="s">
        <v>4669</v>
      </c>
      <c r="E1053" s="6">
        <v>92</v>
      </c>
      <c r="F1053" s="6" t="s">
        <v>1449</v>
      </c>
      <c r="G1053" s="6">
        <v>189</v>
      </c>
      <c r="H1053" s="6" t="s">
        <v>70</v>
      </c>
      <c r="I1053" s="6" t="s">
        <v>4714</v>
      </c>
      <c r="J1053" s="6" t="s">
        <v>3393</v>
      </c>
      <c r="K1053" s="6" t="s">
        <v>3331</v>
      </c>
      <c r="L1053" s="6">
        <v>60316873</v>
      </c>
      <c r="M1053" s="6" t="s">
        <v>79</v>
      </c>
      <c r="N1053" s="6" t="s">
        <v>1446</v>
      </c>
      <c r="O1053" s="6" t="s">
        <v>21</v>
      </c>
      <c r="P1053" s="6" t="s">
        <v>21</v>
      </c>
      <c r="Q1053" s="6" t="s">
        <v>3332</v>
      </c>
      <c r="R1053" s="8" t="s">
        <v>1808</v>
      </c>
      <c r="S1053" s="6"/>
    </row>
    <row r="1054" spans="1:19" ht="25.5" x14ac:dyDescent="0.25">
      <c r="A1054" s="5" t="s">
        <v>3872</v>
      </c>
      <c r="B1054" s="5">
        <v>1053</v>
      </c>
      <c r="C1054" s="6" t="s">
        <v>2859</v>
      </c>
      <c r="D1054" s="6" t="s">
        <v>4669</v>
      </c>
      <c r="E1054" s="6">
        <v>92</v>
      </c>
      <c r="F1054" s="6" t="s">
        <v>1449</v>
      </c>
      <c r="G1054" s="6">
        <v>189</v>
      </c>
      <c r="H1054" s="6" t="s">
        <v>70</v>
      </c>
      <c r="I1054" s="6" t="s">
        <v>4715</v>
      </c>
      <c r="J1054" s="6" t="s">
        <v>3470</v>
      </c>
      <c r="K1054" s="6" t="s">
        <v>3331</v>
      </c>
      <c r="L1054" s="6">
        <v>13455259</v>
      </c>
      <c r="M1054" s="6" t="s">
        <v>79</v>
      </c>
      <c r="N1054" s="6" t="s">
        <v>1446</v>
      </c>
      <c r="O1054" s="6" t="s">
        <v>21</v>
      </c>
      <c r="P1054" s="6" t="s">
        <v>21</v>
      </c>
      <c r="Q1054" s="6" t="s">
        <v>3332</v>
      </c>
      <c r="R1054" s="8" t="s">
        <v>1808</v>
      </c>
      <c r="S1054" s="6"/>
    </row>
    <row r="1055" spans="1:19" ht="25.5" x14ac:dyDescent="0.25">
      <c r="A1055" s="5" t="s">
        <v>3872</v>
      </c>
      <c r="B1055" s="5">
        <v>1054</v>
      </c>
      <c r="C1055" s="6" t="s">
        <v>2860</v>
      </c>
      <c r="D1055" s="6" t="s">
        <v>4669</v>
      </c>
      <c r="E1055" s="6">
        <v>92</v>
      </c>
      <c r="F1055" s="6" t="s">
        <v>1449</v>
      </c>
      <c r="G1055" s="6">
        <v>189</v>
      </c>
      <c r="H1055" s="6" t="s">
        <v>70</v>
      </c>
      <c r="I1055" s="6" t="s">
        <v>4716</v>
      </c>
      <c r="J1055" s="6" t="s">
        <v>4717</v>
      </c>
      <c r="K1055" s="6" t="s">
        <v>3331</v>
      </c>
      <c r="L1055" s="6">
        <v>37314503</v>
      </c>
      <c r="M1055" s="6" t="s">
        <v>79</v>
      </c>
      <c r="N1055" s="6" t="s">
        <v>1446</v>
      </c>
      <c r="O1055" s="6" t="s">
        <v>21</v>
      </c>
      <c r="P1055" s="6" t="s">
        <v>21</v>
      </c>
      <c r="Q1055" s="6" t="s">
        <v>3332</v>
      </c>
      <c r="R1055" s="8" t="s">
        <v>1808</v>
      </c>
      <c r="S1055" s="6"/>
    </row>
    <row r="1056" spans="1:19" ht="25.5" x14ac:dyDescent="0.25">
      <c r="A1056" s="5" t="s">
        <v>3872</v>
      </c>
      <c r="B1056" s="5">
        <v>1055</v>
      </c>
      <c r="C1056" s="6" t="s">
        <v>2861</v>
      </c>
      <c r="D1056" s="6" t="s">
        <v>4669</v>
      </c>
      <c r="E1056" s="6">
        <v>105</v>
      </c>
      <c r="F1056" s="6" t="s">
        <v>672</v>
      </c>
      <c r="G1056" s="6">
        <v>251</v>
      </c>
      <c r="H1056" s="6" t="s">
        <v>73</v>
      </c>
      <c r="I1056" s="6" t="s">
        <v>4718</v>
      </c>
      <c r="J1056" s="6" t="s">
        <v>3461</v>
      </c>
      <c r="K1056" s="6" t="s">
        <v>3331</v>
      </c>
      <c r="L1056" s="6">
        <v>13508334</v>
      </c>
      <c r="M1056" s="6" t="s">
        <v>79</v>
      </c>
      <c r="N1056" s="6" t="s">
        <v>1446</v>
      </c>
      <c r="O1056" s="6" t="s">
        <v>21</v>
      </c>
      <c r="P1056" s="6" t="s">
        <v>21</v>
      </c>
      <c r="Q1056" s="6" t="s">
        <v>3332</v>
      </c>
      <c r="R1056" s="8" t="s">
        <v>1808</v>
      </c>
      <c r="S1056" s="6"/>
    </row>
    <row r="1057" spans="1:19" ht="25.5" x14ac:dyDescent="0.25">
      <c r="A1057" s="5" t="s">
        <v>3872</v>
      </c>
      <c r="B1057" s="5">
        <v>1056</v>
      </c>
      <c r="C1057" s="6" t="s">
        <v>2862</v>
      </c>
      <c r="D1057" s="6" t="s">
        <v>4669</v>
      </c>
      <c r="E1057" s="6">
        <v>105</v>
      </c>
      <c r="F1057" s="6" t="s">
        <v>672</v>
      </c>
      <c r="G1057" s="6">
        <v>251</v>
      </c>
      <c r="H1057" s="6" t="s">
        <v>73</v>
      </c>
      <c r="I1057" s="6" t="s">
        <v>4719</v>
      </c>
      <c r="J1057" s="6" t="s">
        <v>4720</v>
      </c>
      <c r="K1057" s="6" t="s">
        <v>3331</v>
      </c>
      <c r="L1057" s="6">
        <v>9286306</v>
      </c>
      <c r="M1057" s="6" t="s">
        <v>79</v>
      </c>
      <c r="N1057" s="6" t="s">
        <v>1446</v>
      </c>
      <c r="O1057" s="6" t="s">
        <v>21</v>
      </c>
      <c r="P1057" s="6" t="s">
        <v>21</v>
      </c>
      <c r="Q1057" s="6" t="s">
        <v>3332</v>
      </c>
      <c r="R1057" s="8" t="s">
        <v>1808</v>
      </c>
      <c r="S1057" s="6"/>
    </row>
    <row r="1058" spans="1:19" ht="25.5" x14ac:dyDescent="0.25">
      <c r="A1058" s="5" t="s">
        <v>3872</v>
      </c>
      <c r="B1058" s="5">
        <v>1057</v>
      </c>
      <c r="C1058" s="6" t="s">
        <v>2863</v>
      </c>
      <c r="D1058" s="6" t="s">
        <v>4669</v>
      </c>
      <c r="E1058" s="6">
        <v>105</v>
      </c>
      <c r="F1058" s="6" t="s">
        <v>672</v>
      </c>
      <c r="G1058" s="6">
        <v>251</v>
      </c>
      <c r="H1058" s="6" t="s">
        <v>73</v>
      </c>
      <c r="I1058" s="6" t="s">
        <v>4721</v>
      </c>
      <c r="J1058" s="6" t="s">
        <v>4722</v>
      </c>
      <c r="K1058" s="6" t="s">
        <v>3331</v>
      </c>
      <c r="L1058" s="6">
        <v>60323174</v>
      </c>
      <c r="M1058" s="6" t="s">
        <v>79</v>
      </c>
      <c r="N1058" s="6" t="s">
        <v>1446</v>
      </c>
      <c r="O1058" s="6" t="s">
        <v>21</v>
      </c>
      <c r="P1058" s="6" t="s">
        <v>21</v>
      </c>
      <c r="Q1058" s="6" t="s">
        <v>3332</v>
      </c>
      <c r="R1058" s="8" t="s">
        <v>1808</v>
      </c>
      <c r="S1058" s="6"/>
    </row>
    <row r="1059" spans="1:19" ht="25.5" x14ac:dyDescent="0.25">
      <c r="A1059" s="5" t="s">
        <v>3872</v>
      </c>
      <c r="B1059" s="5">
        <v>1058</v>
      </c>
      <c r="C1059" s="6" t="s">
        <v>2864</v>
      </c>
      <c r="D1059" s="6" t="s">
        <v>4669</v>
      </c>
      <c r="E1059" s="6">
        <v>105</v>
      </c>
      <c r="F1059" s="6" t="s">
        <v>672</v>
      </c>
      <c r="G1059" s="6">
        <v>251</v>
      </c>
      <c r="H1059" s="6" t="s">
        <v>73</v>
      </c>
      <c r="I1059" s="6" t="s">
        <v>4723</v>
      </c>
      <c r="J1059" s="6" t="s">
        <v>4724</v>
      </c>
      <c r="K1059" s="6" t="s">
        <v>3331</v>
      </c>
      <c r="L1059" s="6">
        <v>13452770</v>
      </c>
      <c r="M1059" s="6" t="s">
        <v>79</v>
      </c>
      <c r="N1059" s="6" t="s">
        <v>1446</v>
      </c>
      <c r="O1059" s="6" t="s">
        <v>21</v>
      </c>
      <c r="P1059" s="6" t="s">
        <v>21</v>
      </c>
      <c r="Q1059" s="6" t="s">
        <v>3332</v>
      </c>
      <c r="R1059" s="8" t="s">
        <v>1808</v>
      </c>
      <c r="S1059" s="6"/>
    </row>
    <row r="1060" spans="1:19" ht="25.5" x14ac:dyDescent="0.25">
      <c r="A1060" s="5" t="s">
        <v>3872</v>
      </c>
      <c r="B1060" s="5">
        <v>1059</v>
      </c>
      <c r="C1060" s="6" t="s">
        <v>2865</v>
      </c>
      <c r="D1060" s="6" t="s">
        <v>4669</v>
      </c>
      <c r="E1060" s="6">
        <v>105</v>
      </c>
      <c r="F1060" s="6" t="s">
        <v>672</v>
      </c>
      <c r="G1060" s="6">
        <v>251</v>
      </c>
      <c r="H1060" s="6" t="s">
        <v>73</v>
      </c>
      <c r="I1060" s="6" t="s">
        <v>4725</v>
      </c>
      <c r="J1060" s="6" t="s">
        <v>4012</v>
      </c>
      <c r="K1060" s="6" t="s">
        <v>3331</v>
      </c>
      <c r="L1060" s="6">
        <v>60349346</v>
      </c>
      <c r="M1060" s="6" t="s">
        <v>79</v>
      </c>
      <c r="N1060" s="6" t="s">
        <v>1446</v>
      </c>
      <c r="O1060" s="6" t="s">
        <v>21</v>
      </c>
      <c r="P1060" s="6" t="s">
        <v>21</v>
      </c>
      <c r="Q1060" s="6" t="s">
        <v>3332</v>
      </c>
      <c r="R1060" s="8" t="s">
        <v>1808</v>
      </c>
      <c r="S1060" s="6"/>
    </row>
    <row r="1061" spans="1:19" ht="25.5" x14ac:dyDescent="0.25">
      <c r="A1061" s="5" t="s">
        <v>3872</v>
      </c>
      <c r="B1061" s="5">
        <v>1060</v>
      </c>
      <c r="C1061" s="6" t="s">
        <v>2866</v>
      </c>
      <c r="D1061" s="6" t="s">
        <v>4669</v>
      </c>
      <c r="E1061" s="6">
        <v>105</v>
      </c>
      <c r="F1061" s="6" t="s">
        <v>672</v>
      </c>
      <c r="G1061" s="6">
        <v>251</v>
      </c>
      <c r="H1061" s="6" t="s">
        <v>73</v>
      </c>
      <c r="I1061" s="6" t="s">
        <v>4726</v>
      </c>
      <c r="J1061" s="6" t="s">
        <v>3444</v>
      </c>
      <c r="K1061" s="6" t="s">
        <v>3331</v>
      </c>
      <c r="L1061" s="6">
        <v>60276490</v>
      </c>
      <c r="M1061" s="6" t="s">
        <v>79</v>
      </c>
      <c r="N1061" s="6" t="s">
        <v>1446</v>
      </c>
      <c r="O1061" s="6" t="s">
        <v>21</v>
      </c>
      <c r="P1061" s="6" t="s">
        <v>21</v>
      </c>
      <c r="Q1061" s="6" t="s">
        <v>3332</v>
      </c>
      <c r="R1061" s="8" t="s">
        <v>1808</v>
      </c>
      <c r="S1061" s="6"/>
    </row>
    <row r="1062" spans="1:19" ht="25.5" x14ac:dyDescent="0.25">
      <c r="A1062" s="5" t="s">
        <v>3872</v>
      </c>
      <c r="B1062" s="5">
        <v>1061</v>
      </c>
      <c r="C1062" s="6" t="s">
        <v>2867</v>
      </c>
      <c r="D1062" s="6" t="s">
        <v>4669</v>
      </c>
      <c r="E1062" s="6">
        <v>105</v>
      </c>
      <c r="F1062" s="6" t="s">
        <v>672</v>
      </c>
      <c r="G1062" s="6">
        <v>251</v>
      </c>
      <c r="H1062" s="6" t="s">
        <v>73</v>
      </c>
      <c r="I1062" s="6" t="s">
        <v>4727</v>
      </c>
      <c r="J1062" s="6" t="s">
        <v>4728</v>
      </c>
      <c r="K1062" s="6" t="s">
        <v>3331</v>
      </c>
      <c r="L1062" s="6">
        <v>60320806</v>
      </c>
      <c r="M1062" s="6" t="s">
        <v>79</v>
      </c>
      <c r="N1062" s="6" t="s">
        <v>1446</v>
      </c>
      <c r="O1062" s="6" t="s">
        <v>21</v>
      </c>
      <c r="P1062" s="6" t="s">
        <v>21</v>
      </c>
      <c r="Q1062" s="6" t="s">
        <v>3332</v>
      </c>
      <c r="R1062" s="8" t="s">
        <v>1808</v>
      </c>
      <c r="S1062" s="6"/>
    </row>
    <row r="1063" spans="1:19" ht="25.5" x14ac:dyDescent="0.25">
      <c r="A1063" s="5" t="s">
        <v>3872</v>
      </c>
      <c r="B1063" s="5">
        <v>1062</v>
      </c>
      <c r="C1063" s="6" t="s">
        <v>2868</v>
      </c>
      <c r="D1063" s="6" t="s">
        <v>4669</v>
      </c>
      <c r="E1063" s="6">
        <v>126</v>
      </c>
      <c r="F1063" s="6" t="s">
        <v>1445</v>
      </c>
      <c r="G1063" s="6">
        <v>378</v>
      </c>
      <c r="H1063" s="6" t="s">
        <v>76</v>
      </c>
      <c r="I1063" s="6" t="s">
        <v>4729</v>
      </c>
      <c r="J1063" s="6" t="s">
        <v>4730</v>
      </c>
      <c r="K1063" s="6" t="s">
        <v>3331</v>
      </c>
      <c r="L1063" s="6">
        <v>60347654</v>
      </c>
      <c r="M1063" s="6" t="s">
        <v>79</v>
      </c>
      <c r="N1063" s="6" t="s">
        <v>1446</v>
      </c>
      <c r="O1063" s="6" t="s">
        <v>21</v>
      </c>
      <c r="P1063" s="6" t="s">
        <v>21</v>
      </c>
      <c r="Q1063" s="6" t="s">
        <v>3332</v>
      </c>
      <c r="R1063" s="8" t="s">
        <v>1808</v>
      </c>
      <c r="S1063" s="6"/>
    </row>
    <row r="1064" spans="1:19" ht="25.5" x14ac:dyDescent="0.25">
      <c r="A1064" s="5" t="s">
        <v>3872</v>
      </c>
      <c r="B1064" s="5">
        <v>1063</v>
      </c>
      <c r="C1064" s="6" t="s">
        <v>2869</v>
      </c>
      <c r="D1064" s="6" t="s">
        <v>4669</v>
      </c>
      <c r="E1064" s="6">
        <v>126</v>
      </c>
      <c r="F1064" s="6" t="s">
        <v>1445</v>
      </c>
      <c r="G1064" s="6">
        <v>378</v>
      </c>
      <c r="H1064" s="6" t="s">
        <v>76</v>
      </c>
      <c r="I1064" s="6" t="s">
        <v>4731</v>
      </c>
      <c r="J1064" s="6" t="s">
        <v>4732</v>
      </c>
      <c r="K1064" s="6" t="s">
        <v>3331</v>
      </c>
      <c r="L1064" s="6">
        <v>13469133</v>
      </c>
      <c r="M1064" s="6" t="s">
        <v>79</v>
      </c>
      <c r="N1064" s="6" t="s">
        <v>1446</v>
      </c>
      <c r="O1064" s="6" t="s">
        <v>21</v>
      </c>
      <c r="P1064" s="6" t="s">
        <v>21</v>
      </c>
      <c r="Q1064" s="6" t="s">
        <v>3332</v>
      </c>
      <c r="R1064" s="8" t="s">
        <v>1808</v>
      </c>
      <c r="S1064" s="6"/>
    </row>
    <row r="1065" spans="1:19" ht="25.5" x14ac:dyDescent="0.25">
      <c r="A1065" s="5" t="s">
        <v>3872</v>
      </c>
      <c r="B1065" s="5">
        <v>1064</v>
      </c>
      <c r="C1065" s="6" t="s">
        <v>2870</v>
      </c>
      <c r="D1065" s="6" t="s">
        <v>4669</v>
      </c>
      <c r="E1065" s="6">
        <v>126</v>
      </c>
      <c r="F1065" s="6" t="s">
        <v>1445</v>
      </c>
      <c r="G1065" s="6">
        <v>378</v>
      </c>
      <c r="H1065" s="6" t="s">
        <v>76</v>
      </c>
      <c r="I1065" s="6" t="s">
        <v>4733</v>
      </c>
      <c r="J1065" s="6" t="s">
        <v>4400</v>
      </c>
      <c r="K1065" s="6" t="s">
        <v>3331</v>
      </c>
      <c r="L1065" s="6">
        <v>60330384</v>
      </c>
      <c r="M1065" s="6" t="s">
        <v>79</v>
      </c>
      <c r="N1065" s="6" t="s">
        <v>1446</v>
      </c>
      <c r="O1065" s="6" t="s">
        <v>21</v>
      </c>
      <c r="P1065" s="6" t="s">
        <v>21</v>
      </c>
      <c r="Q1065" s="6" t="s">
        <v>3332</v>
      </c>
      <c r="R1065" s="8" t="s">
        <v>1808</v>
      </c>
      <c r="S1065" s="6"/>
    </row>
    <row r="1066" spans="1:19" ht="25.5" x14ac:dyDescent="0.25">
      <c r="A1066" s="5" t="s">
        <v>3872</v>
      </c>
      <c r="B1066" s="5">
        <v>1065</v>
      </c>
      <c r="C1066" s="6" t="s">
        <v>2871</v>
      </c>
      <c r="D1066" s="6" t="s">
        <v>4669</v>
      </c>
      <c r="E1066" s="6">
        <v>126</v>
      </c>
      <c r="F1066" s="6" t="s">
        <v>1445</v>
      </c>
      <c r="G1066" s="6">
        <v>378</v>
      </c>
      <c r="H1066" s="6" t="s">
        <v>76</v>
      </c>
      <c r="I1066" s="6" t="s">
        <v>4734</v>
      </c>
      <c r="J1066" s="6" t="s">
        <v>4735</v>
      </c>
      <c r="K1066" s="6" t="s">
        <v>3331</v>
      </c>
      <c r="L1066" s="6">
        <v>60342932</v>
      </c>
      <c r="M1066" s="6" t="s">
        <v>79</v>
      </c>
      <c r="N1066" s="6" t="s">
        <v>1446</v>
      </c>
      <c r="O1066" s="6" t="s">
        <v>21</v>
      </c>
      <c r="P1066" s="6" t="s">
        <v>21</v>
      </c>
      <c r="Q1066" s="6" t="s">
        <v>3332</v>
      </c>
      <c r="R1066" s="8" t="s">
        <v>1808</v>
      </c>
      <c r="S1066" s="6"/>
    </row>
    <row r="1067" spans="1:19" ht="25.5" x14ac:dyDescent="0.25">
      <c r="A1067" s="5" t="s">
        <v>3872</v>
      </c>
      <c r="B1067" s="5">
        <v>1066</v>
      </c>
      <c r="C1067" s="6" t="s">
        <v>2872</v>
      </c>
      <c r="D1067" s="6" t="s">
        <v>4669</v>
      </c>
      <c r="E1067" s="6">
        <v>126</v>
      </c>
      <c r="F1067" s="6" t="s">
        <v>1445</v>
      </c>
      <c r="G1067" s="6">
        <v>378</v>
      </c>
      <c r="H1067" s="6" t="s">
        <v>76</v>
      </c>
      <c r="I1067" s="6" t="s">
        <v>4736</v>
      </c>
      <c r="J1067" s="6" t="s">
        <v>4485</v>
      </c>
      <c r="K1067" s="6" t="s">
        <v>3331</v>
      </c>
      <c r="L1067" s="6">
        <v>13256448</v>
      </c>
      <c r="M1067" s="6" t="s">
        <v>79</v>
      </c>
      <c r="N1067" s="6" t="s">
        <v>1446</v>
      </c>
      <c r="O1067" s="6" t="s">
        <v>21</v>
      </c>
      <c r="P1067" s="6" t="s">
        <v>21</v>
      </c>
      <c r="Q1067" s="6" t="s">
        <v>3332</v>
      </c>
      <c r="R1067" s="8" t="s">
        <v>1808</v>
      </c>
      <c r="S1067" s="6"/>
    </row>
    <row r="1068" spans="1:19" ht="25.5" x14ac:dyDescent="0.25">
      <c r="A1068" s="5" t="s">
        <v>3872</v>
      </c>
      <c r="B1068" s="5">
        <v>1067</v>
      </c>
      <c r="C1068" s="6" t="s">
        <v>2873</v>
      </c>
      <c r="D1068" s="6" t="s">
        <v>4669</v>
      </c>
      <c r="E1068" s="6">
        <v>122</v>
      </c>
      <c r="F1068" s="6" t="s">
        <v>1445</v>
      </c>
      <c r="G1068" s="6">
        <v>378</v>
      </c>
      <c r="H1068" s="6" t="s">
        <v>76</v>
      </c>
      <c r="I1068" s="6" t="s">
        <v>4737</v>
      </c>
      <c r="J1068" s="6" t="s">
        <v>4738</v>
      </c>
      <c r="K1068" s="6" t="s">
        <v>3331</v>
      </c>
      <c r="L1068" s="6">
        <v>13489241</v>
      </c>
      <c r="M1068" s="6" t="s">
        <v>79</v>
      </c>
      <c r="N1068" s="6" t="s">
        <v>1446</v>
      </c>
      <c r="O1068" s="6" t="s">
        <v>21</v>
      </c>
      <c r="P1068" s="6" t="s">
        <v>21</v>
      </c>
      <c r="Q1068" s="6" t="s">
        <v>3332</v>
      </c>
      <c r="R1068" s="8" t="s">
        <v>1808</v>
      </c>
      <c r="S1068" s="6"/>
    </row>
    <row r="1069" spans="1:19" ht="25.5" x14ac:dyDescent="0.25">
      <c r="A1069" s="5" t="s">
        <v>3872</v>
      </c>
      <c r="B1069" s="5">
        <v>1068</v>
      </c>
      <c r="C1069" s="6" t="s">
        <v>2874</v>
      </c>
      <c r="D1069" s="6" t="s">
        <v>4669</v>
      </c>
      <c r="E1069" s="6">
        <v>122</v>
      </c>
      <c r="F1069" s="6" t="s">
        <v>1445</v>
      </c>
      <c r="G1069" s="6">
        <v>378</v>
      </c>
      <c r="H1069" s="6" t="s">
        <v>76</v>
      </c>
      <c r="I1069" s="6" t="s">
        <v>4739</v>
      </c>
      <c r="J1069" s="6" t="s">
        <v>4740</v>
      </c>
      <c r="K1069" s="6" t="s">
        <v>3331</v>
      </c>
      <c r="L1069" s="6">
        <v>13504272</v>
      </c>
      <c r="M1069" s="6" t="s">
        <v>79</v>
      </c>
      <c r="N1069" s="6" t="s">
        <v>1446</v>
      </c>
      <c r="O1069" s="6" t="s">
        <v>21</v>
      </c>
      <c r="P1069" s="6" t="s">
        <v>21</v>
      </c>
      <c r="Q1069" s="6" t="s">
        <v>3332</v>
      </c>
      <c r="R1069" s="8" t="s">
        <v>1808</v>
      </c>
      <c r="S1069" s="6"/>
    </row>
    <row r="1070" spans="1:19" ht="25.5" x14ac:dyDescent="0.25">
      <c r="A1070" s="5" t="s">
        <v>3872</v>
      </c>
      <c r="B1070" s="5">
        <v>1069</v>
      </c>
      <c r="C1070" s="6" t="s">
        <v>2875</v>
      </c>
      <c r="D1070" s="6" t="s">
        <v>4669</v>
      </c>
      <c r="E1070" s="6">
        <v>131</v>
      </c>
      <c r="F1070" s="6" t="s">
        <v>1450</v>
      </c>
      <c r="G1070" s="6">
        <v>378</v>
      </c>
      <c r="H1070" s="6" t="s">
        <v>76</v>
      </c>
      <c r="I1070" s="6" t="s">
        <v>4741</v>
      </c>
      <c r="J1070" s="6" t="s">
        <v>3847</v>
      </c>
      <c r="K1070" s="6" t="s">
        <v>3331</v>
      </c>
      <c r="L1070" s="6">
        <v>13460806</v>
      </c>
      <c r="M1070" s="6" t="s">
        <v>79</v>
      </c>
      <c r="N1070" s="6" t="s">
        <v>1446</v>
      </c>
      <c r="O1070" s="12" t="s">
        <v>21</v>
      </c>
      <c r="P1070" s="6" t="s">
        <v>21</v>
      </c>
      <c r="Q1070" s="6" t="s">
        <v>3332</v>
      </c>
      <c r="R1070" s="8" t="s">
        <v>1808</v>
      </c>
      <c r="S1070" s="6"/>
    </row>
    <row r="1071" spans="1:19" ht="25.5" x14ac:dyDescent="0.25">
      <c r="A1071" s="5" t="s">
        <v>3872</v>
      </c>
      <c r="B1071" s="5">
        <v>1070</v>
      </c>
      <c r="C1071" s="6" t="s">
        <v>2876</v>
      </c>
      <c r="D1071" s="6" t="s">
        <v>4669</v>
      </c>
      <c r="E1071" s="6">
        <v>131</v>
      </c>
      <c r="F1071" s="6" t="s">
        <v>1450</v>
      </c>
      <c r="G1071" s="6">
        <v>378</v>
      </c>
      <c r="H1071" s="6" t="s">
        <v>76</v>
      </c>
      <c r="I1071" s="6" t="s">
        <v>4742</v>
      </c>
      <c r="J1071" s="6" t="s">
        <v>4743</v>
      </c>
      <c r="K1071" s="6" t="s">
        <v>3331</v>
      </c>
      <c r="L1071" s="6">
        <v>60298542</v>
      </c>
      <c r="M1071" s="6" t="s">
        <v>79</v>
      </c>
      <c r="N1071" s="6" t="s">
        <v>1446</v>
      </c>
      <c r="O1071" s="6" t="s">
        <v>21</v>
      </c>
      <c r="P1071" s="6" t="s">
        <v>21</v>
      </c>
      <c r="Q1071" s="6" t="s">
        <v>3332</v>
      </c>
      <c r="R1071" s="8" t="s">
        <v>1808</v>
      </c>
      <c r="S1071" s="6"/>
    </row>
    <row r="1072" spans="1:19" ht="25.5" x14ac:dyDescent="0.25">
      <c r="A1072" s="5" t="s">
        <v>3872</v>
      </c>
      <c r="B1072" s="5">
        <v>1071</v>
      </c>
      <c r="C1072" s="6" t="s">
        <v>2877</v>
      </c>
      <c r="D1072" s="6" t="s">
        <v>4669</v>
      </c>
      <c r="E1072" s="6">
        <v>144</v>
      </c>
      <c r="F1072" s="6" t="s">
        <v>1451</v>
      </c>
      <c r="G1072" s="6">
        <v>539</v>
      </c>
      <c r="H1072" s="6" t="s">
        <v>89</v>
      </c>
      <c r="I1072" s="6" t="s">
        <v>4744</v>
      </c>
      <c r="J1072" s="6" t="s">
        <v>4745</v>
      </c>
      <c r="K1072" s="6" t="s">
        <v>3331</v>
      </c>
      <c r="L1072" s="6">
        <v>60359953</v>
      </c>
      <c r="M1072" s="6" t="s">
        <v>79</v>
      </c>
      <c r="N1072" s="6" t="s">
        <v>1446</v>
      </c>
      <c r="O1072" s="6" t="s">
        <v>21</v>
      </c>
      <c r="P1072" s="6" t="s">
        <v>21</v>
      </c>
      <c r="Q1072" s="6" t="s">
        <v>3332</v>
      </c>
      <c r="R1072" s="8" t="s">
        <v>1808</v>
      </c>
      <c r="S1072" s="6"/>
    </row>
    <row r="1073" spans="1:19" ht="25.5" x14ac:dyDescent="0.25">
      <c r="A1073" s="5" t="s">
        <v>3872</v>
      </c>
      <c r="B1073" s="5">
        <v>1072</v>
      </c>
      <c r="C1073" s="6" t="s">
        <v>2878</v>
      </c>
      <c r="D1073" s="6" t="s">
        <v>4669</v>
      </c>
      <c r="E1073" s="6">
        <v>144</v>
      </c>
      <c r="F1073" s="6" t="s">
        <v>1451</v>
      </c>
      <c r="G1073" s="6">
        <v>539</v>
      </c>
      <c r="H1073" s="6" t="s">
        <v>89</v>
      </c>
      <c r="I1073" s="6" t="s">
        <v>4746</v>
      </c>
      <c r="J1073" s="6" t="s">
        <v>4747</v>
      </c>
      <c r="K1073" s="6" t="s">
        <v>3331</v>
      </c>
      <c r="L1073" s="6">
        <v>60287236</v>
      </c>
      <c r="M1073" s="6" t="s">
        <v>79</v>
      </c>
      <c r="N1073" s="6" t="s">
        <v>1446</v>
      </c>
      <c r="O1073" s="12" t="s">
        <v>21</v>
      </c>
      <c r="P1073" s="6" t="s">
        <v>21</v>
      </c>
      <c r="Q1073" s="6" t="s">
        <v>3332</v>
      </c>
      <c r="R1073" s="8" t="s">
        <v>1808</v>
      </c>
      <c r="S1073" s="6"/>
    </row>
    <row r="1074" spans="1:19" ht="25.5" x14ac:dyDescent="0.25">
      <c r="A1074" s="5" t="s">
        <v>3872</v>
      </c>
      <c r="B1074" s="5">
        <v>1073</v>
      </c>
      <c r="C1074" s="6" t="s">
        <v>2879</v>
      </c>
      <c r="D1074" s="6" t="s">
        <v>4669</v>
      </c>
      <c r="E1074" s="6">
        <v>144</v>
      </c>
      <c r="F1074" s="6" t="s">
        <v>1451</v>
      </c>
      <c r="G1074" s="6">
        <v>539</v>
      </c>
      <c r="H1074" s="6" t="s">
        <v>89</v>
      </c>
      <c r="I1074" s="6" t="s">
        <v>4748</v>
      </c>
      <c r="J1074" s="6" t="s">
        <v>4749</v>
      </c>
      <c r="K1074" s="6" t="s">
        <v>3331</v>
      </c>
      <c r="L1074" s="6">
        <v>13457537</v>
      </c>
      <c r="M1074" s="6" t="s">
        <v>79</v>
      </c>
      <c r="N1074" s="6" t="s">
        <v>1446</v>
      </c>
      <c r="O1074" s="6" t="s">
        <v>21</v>
      </c>
      <c r="P1074" s="6" t="s">
        <v>21</v>
      </c>
      <c r="Q1074" s="6" t="s">
        <v>3332</v>
      </c>
      <c r="R1074" s="8" t="s">
        <v>1808</v>
      </c>
      <c r="S1074" s="6"/>
    </row>
    <row r="1075" spans="1:19" ht="25.5" x14ac:dyDescent="0.25">
      <c r="A1075" s="5" t="s">
        <v>3872</v>
      </c>
      <c r="B1075" s="5">
        <v>1074</v>
      </c>
      <c r="C1075" s="6" t="s">
        <v>2880</v>
      </c>
      <c r="D1075" s="6" t="s">
        <v>4669</v>
      </c>
      <c r="E1075" s="6">
        <v>144</v>
      </c>
      <c r="F1075" s="6" t="s">
        <v>1451</v>
      </c>
      <c r="G1075" s="6">
        <v>539</v>
      </c>
      <c r="H1075" s="6" t="s">
        <v>89</v>
      </c>
      <c r="I1075" s="6" t="s">
        <v>4750</v>
      </c>
      <c r="J1075" s="6" t="s">
        <v>4751</v>
      </c>
      <c r="K1075" s="6" t="s">
        <v>3331</v>
      </c>
      <c r="L1075" s="6">
        <v>60322475</v>
      </c>
      <c r="M1075" s="6" t="s">
        <v>79</v>
      </c>
      <c r="N1075" s="6" t="s">
        <v>1446</v>
      </c>
      <c r="O1075" s="6" t="s">
        <v>21</v>
      </c>
      <c r="P1075" s="6" t="s">
        <v>21</v>
      </c>
      <c r="Q1075" s="6" t="s">
        <v>3332</v>
      </c>
      <c r="R1075" s="8" t="s">
        <v>1808</v>
      </c>
      <c r="S1075" s="6"/>
    </row>
    <row r="1076" spans="1:19" ht="25.5" x14ac:dyDescent="0.25">
      <c r="A1076" s="5" t="s">
        <v>3872</v>
      </c>
      <c r="B1076" s="5">
        <v>1075</v>
      </c>
      <c r="C1076" s="6" t="s">
        <v>2881</v>
      </c>
      <c r="D1076" s="6" t="s">
        <v>4669</v>
      </c>
      <c r="E1076" s="6">
        <v>17</v>
      </c>
      <c r="F1076" s="6" t="s">
        <v>487</v>
      </c>
      <c r="G1076" s="6">
        <v>247</v>
      </c>
      <c r="H1076" s="6" t="s">
        <v>488</v>
      </c>
      <c r="I1076" s="6" t="s">
        <v>4752</v>
      </c>
      <c r="J1076" s="6" t="s">
        <v>4753</v>
      </c>
      <c r="K1076" s="6" t="s">
        <v>3331</v>
      </c>
      <c r="L1076" s="6">
        <v>60309399</v>
      </c>
      <c r="M1076" s="6" t="s">
        <v>79</v>
      </c>
      <c r="N1076" s="6" t="s">
        <v>1446</v>
      </c>
      <c r="O1076" s="12">
        <v>2731</v>
      </c>
      <c r="P1076" s="6" t="s">
        <v>848</v>
      </c>
      <c r="Q1076" s="6" t="s">
        <v>3332</v>
      </c>
      <c r="R1076" s="8" t="s">
        <v>1808</v>
      </c>
      <c r="S1076" s="6"/>
    </row>
    <row r="1077" spans="1:19" ht="25.5" x14ac:dyDescent="0.25">
      <c r="A1077" s="5" t="s">
        <v>3872</v>
      </c>
      <c r="B1077" s="5">
        <v>1076</v>
      </c>
      <c r="C1077" s="6" t="s">
        <v>2882</v>
      </c>
      <c r="D1077" s="6" t="s">
        <v>4669</v>
      </c>
      <c r="E1077" s="6">
        <v>155</v>
      </c>
      <c r="F1077" s="6" t="s">
        <v>1452</v>
      </c>
      <c r="G1077" s="6">
        <v>642</v>
      </c>
      <c r="H1077" s="6" t="s">
        <v>333</v>
      </c>
      <c r="I1077" s="6" t="s">
        <v>4754</v>
      </c>
      <c r="J1077" s="6" t="s">
        <v>4755</v>
      </c>
      <c r="K1077" s="6" t="s">
        <v>3331</v>
      </c>
      <c r="L1077" s="6">
        <v>37251399</v>
      </c>
      <c r="M1077" s="6" t="s">
        <v>79</v>
      </c>
      <c r="N1077" s="6" t="s">
        <v>1446</v>
      </c>
      <c r="O1077" s="6" t="s">
        <v>21</v>
      </c>
      <c r="P1077" s="6" t="s">
        <v>21</v>
      </c>
      <c r="Q1077" s="6" t="s">
        <v>3332</v>
      </c>
      <c r="R1077" s="8" t="s">
        <v>1808</v>
      </c>
      <c r="S1077" s="6"/>
    </row>
    <row r="1078" spans="1:19" ht="25.5" x14ac:dyDescent="0.25">
      <c r="A1078" s="5" t="s">
        <v>3872</v>
      </c>
      <c r="B1078" s="5">
        <v>1077</v>
      </c>
      <c r="C1078" s="6" t="s">
        <v>2883</v>
      </c>
      <c r="D1078" s="6" t="s">
        <v>4669</v>
      </c>
      <c r="E1078" s="6">
        <v>2</v>
      </c>
      <c r="F1078" s="6" t="s">
        <v>1453</v>
      </c>
      <c r="G1078" s="6">
        <v>843</v>
      </c>
      <c r="H1078" s="6" t="s">
        <v>107</v>
      </c>
      <c r="I1078" s="6" t="s">
        <v>4756</v>
      </c>
      <c r="J1078" s="6" t="s">
        <v>4757</v>
      </c>
      <c r="K1078" s="6" t="s">
        <v>3331</v>
      </c>
      <c r="L1078" s="6">
        <v>13496427</v>
      </c>
      <c r="M1078" s="6" t="s">
        <v>79</v>
      </c>
      <c r="N1078" s="6" t="s">
        <v>1446</v>
      </c>
      <c r="O1078" s="6" t="s">
        <v>21</v>
      </c>
      <c r="P1078" s="6" t="s">
        <v>21</v>
      </c>
      <c r="Q1078" s="6" t="s">
        <v>3332</v>
      </c>
      <c r="R1078" s="8" t="s">
        <v>1808</v>
      </c>
      <c r="S1078" s="6"/>
    </row>
    <row r="1079" spans="1:19" ht="25.5" x14ac:dyDescent="0.25">
      <c r="A1079" s="5" t="s">
        <v>3872</v>
      </c>
      <c r="B1079" s="5">
        <v>1078</v>
      </c>
      <c r="C1079" s="6" t="s">
        <v>2884</v>
      </c>
      <c r="D1079" s="6" t="s">
        <v>4669</v>
      </c>
      <c r="E1079" s="6">
        <v>8</v>
      </c>
      <c r="F1079" s="6" t="s">
        <v>1454</v>
      </c>
      <c r="G1079" s="6">
        <v>895</v>
      </c>
      <c r="H1079" s="6" t="s">
        <v>787</v>
      </c>
      <c r="I1079" s="6" t="s">
        <v>4758</v>
      </c>
      <c r="J1079" s="6" t="s">
        <v>4759</v>
      </c>
      <c r="K1079" s="6" t="s">
        <v>3331</v>
      </c>
      <c r="L1079" s="6">
        <v>13474683</v>
      </c>
      <c r="M1079" s="6" t="s">
        <v>79</v>
      </c>
      <c r="N1079" s="6" t="s">
        <v>1446</v>
      </c>
      <c r="O1079" s="6" t="s">
        <v>21</v>
      </c>
      <c r="P1079" s="6" t="s">
        <v>21</v>
      </c>
      <c r="Q1079" s="6" t="s">
        <v>3332</v>
      </c>
      <c r="R1079" s="8" t="s">
        <v>1808</v>
      </c>
      <c r="S1079" s="6"/>
    </row>
    <row r="1080" spans="1:19" ht="25.5" x14ac:dyDescent="0.25">
      <c r="A1080" s="5" t="s">
        <v>3872</v>
      </c>
      <c r="B1080" s="5">
        <v>1079</v>
      </c>
      <c r="C1080" s="6" t="s">
        <v>2885</v>
      </c>
      <c r="D1080" s="6" t="s">
        <v>4669</v>
      </c>
      <c r="E1080" s="6">
        <v>17</v>
      </c>
      <c r="F1080" s="6" t="s">
        <v>1455</v>
      </c>
      <c r="G1080" s="6">
        <v>952</v>
      </c>
      <c r="H1080" s="6" t="s">
        <v>111</v>
      </c>
      <c r="I1080" s="6" t="s">
        <v>4760</v>
      </c>
      <c r="J1080" s="6" t="s">
        <v>4761</v>
      </c>
      <c r="K1080" s="6" t="s">
        <v>3331</v>
      </c>
      <c r="L1080" s="6">
        <v>13458126</v>
      </c>
      <c r="M1080" s="6" t="s">
        <v>79</v>
      </c>
      <c r="N1080" s="6" t="s">
        <v>1446</v>
      </c>
      <c r="O1080" s="6" t="s">
        <v>21</v>
      </c>
      <c r="P1080" s="6" t="s">
        <v>21</v>
      </c>
      <c r="Q1080" s="6" t="s">
        <v>3332</v>
      </c>
      <c r="R1080" s="8" t="s">
        <v>1808</v>
      </c>
      <c r="S1080" s="6"/>
    </row>
    <row r="1081" spans="1:19" ht="25.5" x14ac:dyDescent="0.25">
      <c r="A1081" s="5" t="s">
        <v>3872</v>
      </c>
      <c r="B1081" s="5">
        <v>1080</v>
      </c>
      <c r="C1081" s="6" t="s">
        <v>2886</v>
      </c>
      <c r="D1081" s="6" t="s">
        <v>4669</v>
      </c>
      <c r="E1081" s="6">
        <v>6</v>
      </c>
      <c r="F1081" s="6" t="s">
        <v>1456</v>
      </c>
      <c r="G1081" s="6">
        <v>85</v>
      </c>
      <c r="H1081" s="6" t="s">
        <v>376</v>
      </c>
      <c r="I1081" s="6" t="s">
        <v>4762</v>
      </c>
      <c r="J1081" s="6" t="s">
        <v>4763</v>
      </c>
      <c r="K1081" s="6" t="s">
        <v>3331</v>
      </c>
      <c r="L1081" s="6">
        <v>27789370</v>
      </c>
      <c r="M1081" s="6" t="s">
        <v>79</v>
      </c>
      <c r="N1081" s="6" t="s">
        <v>1446</v>
      </c>
      <c r="O1081" s="6">
        <v>1336</v>
      </c>
      <c r="P1081" s="6" t="s">
        <v>1457</v>
      </c>
      <c r="Q1081" s="6" t="s">
        <v>3332</v>
      </c>
      <c r="R1081" s="8" t="s">
        <v>1808</v>
      </c>
      <c r="S1081" s="6"/>
    </row>
    <row r="1082" spans="1:19" ht="25.5" x14ac:dyDescent="0.25">
      <c r="A1082" s="5" t="s">
        <v>3872</v>
      </c>
      <c r="B1082" s="5">
        <v>1081</v>
      </c>
      <c r="C1082" s="6" t="s">
        <v>2887</v>
      </c>
      <c r="D1082" s="6" t="s">
        <v>4669</v>
      </c>
      <c r="E1082" s="6">
        <v>34</v>
      </c>
      <c r="F1082" s="6" t="s">
        <v>1091</v>
      </c>
      <c r="G1082" s="6">
        <v>1099</v>
      </c>
      <c r="H1082" s="6" t="s">
        <v>119</v>
      </c>
      <c r="I1082" s="6" t="s">
        <v>4680</v>
      </c>
      <c r="J1082" s="6" t="s">
        <v>4764</v>
      </c>
      <c r="K1082" s="6" t="s">
        <v>3331</v>
      </c>
      <c r="L1082" s="6">
        <v>60306335</v>
      </c>
      <c r="M1082" s="6" t="s">
        <v>79</v>
      </c>
      <c r="N1082" s="6" t="s">
        <v>1446</v>
      </c>
      <c r="O1082" s="6" t="s">
        <v>21</v>
      </c>
      <c r="P1082" s="6" t="s">
        <v>21</v>
      </c>
      <c r="Q1082" s="6" t="s">
        <v>3332</v>
      </c>
      <c r="R1082" s="8" t="s">
        <v>1808</v>
      </c>
      <c r="S1082" s="6"/>
    </row>
    <row r="1083" spans="1:19" ht="25.5" x14ac:dyDescent="0.25">
      <c r="A1083" s="5" t="s">
        <v>3872</v>
      </c>
      <c r="B1083" s="5">
        <v>1082</v>
      </c>
      <c r="C1083" s="6" t="s">
        <v>2888</v>
      </c>
      <c r="D1083" s="6" t="s">
        <v>4669</v>
      </c>
      <c r="E1083" s="6">
        <v>11</v>
      </c>
      <c r="F1083" s="6" t="s">
        <v>1093</v>
      </c>
      <c r="G1083" s="6">
        <v>1227</v>
      </c>
      <c r="H1083" s="6" t="s">
        <v>349</v>
      </c>
      <c r="I1083" s="6" t="s">
        <v>4765</v>
      </c>
      <c r="J1083" s="6" t="s">
        <v>4766</v>
      </c>
      <c r="K1083" s="6" t="s">
        <v>3331</v>
      </c>
      <c r="L1083" s="6">
        <v>60367259</v>
      </c>
      <c r="M1083" s="6" t="s">
        <v>79</v>
      </c>
      <c r="N1083" s="6" t="s">
        <v>1446</v>
      </c>
      <c r="O1083" s="6" t="s">
        <v>21</v>
      </c>
      <c r="P1083" s="6" t="s">
        <v>21</v>
      </c>
      <c r="Q1083" s="6" t="s">
        <v>3332</v>
      </c>
      <c r="R1083" s="8" t="s">
        <v>1808</v>
      </c>
      <c r="S1083" s="6"/>
    </row>
    <row r="1084" spans="1:19" ht="25.5" x14ac:dyDescent="0.25">
      <c r="A1084" s="5" t="s">
        <v>3872</v>
      </c>
      <c r="B1084" s="5">
        <v>1083</v>
      </c>
      <c r="C1084" s="6" t="s">
        <v>2889</v>
      </c>
      <c r="D1084" s="6" t="s">
        <v>4669</v>
      </c>
      <c r="E1084" s="6">
        <v>11</v>
      </c>
      <c r="F1084" s="6" t="s">
        <v>1093</v>
      </c>
      <c r="G1084" s="6">
        <v>1227</v>
      </c>
      <c r="H1084" s="6" t="s">
        <v>349</v>
      </c>
      <c r="I1084" s="6" t="s">
        <v>4767</v>
      </c>
      <c r="J1084" s="6" t="s">
        <v>4768</v>
      </c>
      <c r="K1084" s="6" t="s">
        <v>3331</v>
      </c>
      <c r="L1084" s="6">
        <v>60325971</v>
      </c>
      <c r="M1084" s="6" t="s">
        <v>79</v>
      </c>
      <c r="N1084" s="6" t="s">
        <v>1446</v>
      </c>
      <c r="O1084" s="6" t="s">
        <v>21</v>
      </c>
      <c r="P1084" s="6" t="s">
        <v>21</v>
      </c>
      <c r="Q1084" s="6" t="s">
        <v>3332</v>
      </c>
      <c r="R1084" s="8" t="s">
        <v>1808</v>
      </c>
      <c r="S1084" s="6"/>
    </row>
    <row r="1085" spans="1:19" ht="25.5" x14ac:dyDescent="0.25">
      <c r="A1085" s="5" t="s">
        <v>3872</v>
      </c>
      <c r="B1085" s="5">
        <v>1084</v>
      </c>
      <c r="C1085" s="6" t="s">
        <v>2890</v>
      </c>
      <c r="D1085" s="6" t="s">
        <v>4669</v>
      </c>
      <c r="E1085" s="6">
        <v>26</v>
      </c>
      <c r="F1085" s="6" t="s">
        <v>1458</v>
      </c>
      <c r="G1085" s="6">
        <v>347</v>
      </c>
      <c r="H1085" s="6" t="s">
        <v>818</v>
      </c>
      <c r="I1085" s="6" t="s">
        <v>4769</v>
      </c>
      <c r="J1085" s="6" t="s">
        <v>3655</v>
      </c>
      <c r="K1085" s="6" t="s">
        <v>3331</v>
      </c>
      <c r="L1085" s="6">
        <v>60277381</v>
      </c>
      <c r="M1085" s="6" t="s">
        <v>79</v>
      </c>
      <c r="N1085" s="6" t="s">
        <v>1446</v>
      </c>
      <c r="O1085" s="6">
        <v>1628</v>
      </c>
      <c r="P1085" s="6" t="s">
        <v>1459</v>
      </c>
      <c r="Q1085" s="6" t="s">
        <v>3332</v>
      </c>
      <c r="R1085" s="8" t="s">
        <v>1808</v>
      </c>
      <c r="S1085" s="6"/>
    </row>
    <row r="1086" spans="1:19" ht="25.5" x14ac:dyDescent="0.25">
      <c r="A1086" s="5" t="s">
        <v>3872</v>
      </c>
      <c r="B1086" s="5">
        <v>1085</v>
      </c>
      <c r="C1086" s="6" t="s">
        <v>2894</v>
      </c>
      <c r="D1086" s="6" t="s">
        <v>4669</v>
      </c>
      <c r="E1086" s="6">
        <v>90</v>
      </c>
      <c r="F1086" s="6" t="s">
        <v>1114</v>
      </c>
      <c r="G1086" s="6">
        <v>163</v>
      </c>
      <c r="H1086" s="6" t="s">
        <v>1115</v>
      </c>
      <c r="I1086" s="6" t="s">
        <v>4770</v>
      </c>
      <c r="J1086" s="6" t="s">
        <v>4771</v>
      </c>
      <c r="K1086" s="6" t="s">
        <v>3331</v>
      </c>
      <c r="L1086" s="6">
        <v>37227184</v>
      </c>
      <c r="M1086" s="6" t="s">
        <v>185</v>
      </c>
      <c r="N1086" s="6" t="s">
        <v>1446</v>
      </c>
      <c r="O1086" s="6" t="s">
        <v>21</v>
      </c>
      <c r="P1086" s="6" t="s">
        <v>21</v>
      </c>
      <c r="Q1086" s="6" t="s">
        <v>3332</v>
      </c>
      <c r="R1086" s="8" t="s">
        <v>1808</v>
      </c>
      <c r="S1086" s="6"/>
    </row>
    <row r="1087" spans="1:19" ht="25.5" x14ac:dyDescent="0.25">
      <c r="A1087" s="5" t="s">
        <v>3872</v>
      </c>
      <c r="B1087" s="5">
        <v>1086</v>
      </c>
      <c r="C1087" s="6" t="s">
        <v>2895</v>
      </c>
      <c r="D1087" s="6" t="s">
        <v>4669</v>
      </c>
      <c r="E1087" s="6">
        <v>156</v>
      </c>
      <c r="F1087" s="6" t="s">
        <v>1465</v>
      </c>
      <c r="G1087" s="6">
        <v>706</v>
      </c>
      <c r="H1087" s="6" t="s">
        <v>1139</v>
      </c>
      <c r="I1087" s="6" t="s">
        <v>4772</v>
      </c>
      <c r="J1087" s="6" t="s">
        <v>4773</v>
      </c>
      <c r="K1087" s="6" t="s">
        <v>3331</v>
      </c>
      <c r="L1087" s="6">
        <v>13499269</v>
      </c>
      <c r="M1087" s="6" t="s">
        <v>50</v>
      </c>
      <c r="N1087" s="6" t="s">
        <v>1446</v>
      </c>
      <c r="O1087" s="6" t="s">
        <v>21</v>
      </c>
      <c r="P1087" s="6" t="s">
        <v>21</v>
      </c>
      <c r="Q1087" s="6" t="s">
        <v>3332</v>
      </c>
      <c r="R1087" s="8" t="s">
        <v>1808</v>
      </c>
      <c r="S1087" s="6"/>
    </row>
    <row r="1088" spans="1:19" ht="25.5" x14ac:dyDescent="0.25">
      <c r="A1088" s="5" t="s">
        <v>3872</v>
      </c>
      <c r="B1088" s="5">
        <v>1087</v>
      </c>
      <c r="C1088" s="6" t="s">
        <v>2896</v>
      </c>
      <c r="D1088" s="6" t="s">
        <v>4669</v>
      </c>
      <c r="E1088" s="6">
        <v>23</v>
      </c>
      <c r="F1088" s="6" t="s">
        <v>1466</v>
      </c>
      <c r="G1088" s="6">
        <v>1064</v>
      </c>
      <c r="H1088" s="6" t="s">
        <v>362</v>
      </c>
      <c r="I1088" s="6" t="s">
        <v>4774</v>
      </c>
      <c r="J1088" s="6" t="s">
        <v>4775</v>
      </c>
      <c r="K1088" s="6" t="s">
        <v>3331</v>
      </c>
      <c r="L1088" s="6">
        <v>13504635</v>
      </c>
      <c r="M1088" s="6" t="s">
        <v>50</v>
      </c>
      <c r="N1088" s="6" t="s">
        <v>1446</v>
      </c>
      <c r="O1088" s="6" t="s">
        <v>21</v>
      </c>
      <c r="P1088" s="6" t="s">
        <v>21</v>
      </c>
      <c r="Q1088" s="6" t="s">
        <v>3332</v>
      </c>
      <c r="R1088" s="8" t="s">
        <v>1808</v>
      </c>
      <c r="S1088" s="6"/>
    </row>
    <row r="1089" spans="1:19" ht="25.5" x14ac:dyDescent="0.25">
      <c r="A1089" s="5" t="s">
        <v>3872</v>
      </c>
      <c r="B1089" s="5">
        <v>1088</v>
      </c>
      <c r="C1089" s="6" t="s">
        <v>2897</v>
      </c>
      <c r="D1089" s="6" t="s">
        <v>4669</v>
      </c>
      <c r="E1089" s="6">
        <v>3</v>
      </c>
      <c r="F1089" s="6" t="s">
        <v>1467</v>
      </c>
      <c r="G1089" s="6">
        <v>1178</v>
      </c>
      <c r="H1089" s="6" t="s">
        <v>1147</v>
      </c>
      <c r="I1089" s="6" t="s">
        <v>4776</v>
      </c>
      <c r="J1089" s="6" t="s">
        <v>4777</v>
      </c>
      <c r="K1089" s="6" t="s">
        <v>3331</v>
      </c>
      <c r="L1089" s="6">
        <v>88197886</v>
      </c>
      <c r="M1089" s="6" t="s">
        <v>50</v>
      </c>
      <c r="N1089" s="6" t="s">
        <v>1446</v>
      </c>
      <c r="O1089" s="6" t="s">
        <v>21</v>
      </c>
      <c r="P1089" s="6" t="s">
        <v>21</v>
      </c>
      <c r="Q1089" s="6" t="s">
        <v>3332</v>
      </c>
      <c r="R1089" s="8" t="s">
        <v>1808</v>
      </c>
      <c r="S1089" s="6"/>
    </row>
    <row r="1090" spans="1:19" ht="25.5" x14ac:dyDescent="0.25">
      <c r="A1090" s="5" t="s">
        <v>3872</v>
      </c>
      <c r="B1090" s="5">
        <v>1089</v>
      </c>
      <c r="C1090" s="6" t="s">
        <v>2898</v>
      </c>
      <c r="D1090" s="6" t="s">
        <v>4669</v>
      </c>
      <c r="E1090" s="6">
        <v>3</v>
      </c>
      <c r="F1090" s="6" t="s">
        <v>1467</v>
      </c>
      <c r="G1090" s="6">
        <v>1178</v>
      </c>
      <c r="H1090" s="6" t="s">
        <v>1147</v>
      </c>
      <c r="I1090" s="6" t="s">
        <v>4778</v>
      </c>
      <c r="J1090" s="6" t="s">
        <v>4779</v>
      </c>
      <c r="K1090" s="6" t="s">
        <v>3331</v>
      </c>
      <c r="L1090" s="6">
        <v>17588002</v>
      </c>
      <c r="M1090" s="6" t="s">
        <v>50</v>
      </c>
      <c r="N1090" s="6" t="s">
        <v>1446</v>
      </c>
      <c r="O1090" s="6" t="s">
        <v>21</v>
      </c>
      <c r="P1090" s="6" t="s">
        <v>21</v>
      </c>
      <c r="Q1090" s="6" t="s">
        <v>3332</v>
      </c>
      <c r="R1090" s="8" t="s">
        <v>1808</v>
      </c>
      <c r="S1090" s="6"/>
    </row>
    <row r="1091" spans="1:19" ht="25.5" x14ac:dyDescent="0.25">
      <c r="A1091" s="5" t="s">
        <v>3872</v>
      </c>
      <c r="B1091" s="5">
        <v>1090</v>
      </c>
      <c r="C1091" s="6" t="s">
        <v>2899</v>
      </c>
      <c r="D1091" s="6" t="s">
        <v>4669</v>
      </c>
      <c r="E1091" s="6">
        <v>33</v>
      </c>
      <c r="F1091" s="6" t="s">
        <v>1468</v>
      </c>
      <c r="G1091" s="6">
        <v>1482</v>
      </c>
      <c r="H1091" s="6" t="s">
        <v>1469</v>
      </c>
      <c r="I1091" s="6" t="s">
        <v>4780</v>
      </c>
      <c r="J1091" s="6" t="s">
        <v>4781</v>
      </c>
      <c r="K1091" s="6" t="s">
        <v>3331</v>
      </c>
      <c r="L1091" s="6">
        <v>60352824</v>
      </c>
      <c r="M1091" s="6" t="s">
        <v>50</v>
      </c>
      <c r="N1091" s="6" t="s">
        <v>1446</v>
      </c>
      <c r="O1091" s="6" t="s">
        <v>21</v>
      </c>
      <c r="P1091" s="6" t="s">
        <v>21</v>
      </c>
      <c r="Q1091" s="6" t="s">
        <v>3332</v>
      </c>
      <c r="R1091" s="8" t="s">
        <v>1808</v>
      </c>
      <c r="S1091" s="6"/>
    </row>
    <row r="1092" spans="1:19" ht="25.5" x14ac:dyDescent="0.25">
      <c r="A1092" s="5" t="s">
        <v>3872</v>
      </c>
      <c r="B1092" s="5">
        <v>1091</v>
      </c>
      <c r="C1092" s="6" t="s">
        <v>2900</v>
      </c>
      <c r="D1092" s="6" t="s">
        <v>4669</v>
      </c>
      <c r="E1092" s="6">
        <v>33</v>
      </c>
      <c r="F1092" s="6" t="s">
        <v>1468</v>
      </c>
      <c r="G1092" s="6">
        <v>1482</v>
      </c>
      <c r="H1092" s="6" t="s">
        <v>1469</v>
      </c>
      <c r="I1092" s="6" t="s">
        <v>4782</v>
      </c>
      <c r="J1092" s="6" t="s">
        <v>4783</v>
      </c>
      <c r="K1092" s="6" t="s">
        <v>3331</v>
      </c>
      <c r="L1092" s="6">
        <v>60364266</v>
      </c>
      <c r="M1092" s="6" t="s">
        <v>50</v>
      </c>
      <c r="N1092" s="6" t="s">
        <v>1446</v>
      </c>
      <c r="O1092" s="6" t="s">
        <v>21</v>
      </c>
      <c r="P1092" s="6" t="s">
        <v>21</v>
      </c>
      <c r="Q1092" s="6" t="s">
        <v>3332</v>
      </c>
      <c r="R1092" s="8" t="s">
        <v>1808</v>
      </c>
      <c r="S1092" s="6"/>
    </row>
    <row r="1093" spans="1:19" ht="25.5" x14ac:dyDescent="0.25">
      <c r="A1093" s="5" t="s">
        <v>3872</v>
      </c>
      <c r="B1093" s="5">
        <v>1092</v>
      </c>
      <c r="C1093" s="6" t="s">
        <v>2901</v>
      </c>
      <c r="D1093" s="6" t="s">
        <v>4669</v>
      </c>
      <c r="E1093" s="6">
        <v>25</v>
      </c>
      <c r="F1093" s="6" t="s">
        <v>1470</v>
      </c>
      <c r="G1093" s="6">
        <v>873</v>
      </c>
      <c r="H1093" s="6" t="s">
        <v>555</v>
      </c>
      <c r="I1093" s="6" t="s">
        <v>4784</v>
      </c>
      <c r="J1093" s="6" t="s">
        <v>4785</v>
      </c>
      <c r="K1093" s="6" t="s">
        <v>3331</v>
      </c>
      <c r="L1093" s="6">
        <v>88157283</v>
      </c>
      <c r="M1093" s="6" t="s">
        <v>50</v>
      </c>
      <c r="N1093" s="6" t="s">
        <v>1446</v>
      </c>
      <c r="O1093" s="6">
        <v>13780</v>
      </c>
      <c r="P1093" s="6" t="s">
        <v>1444</v>
      </c>
      <c r="Q1093" s="6" t="s">
        <v>3332</v>
      </c>
      <c r="R1093" s="8" t="s">
        <v>1808</v>
      </c>
      <c r="S1093" s="6"/>
    </row>
    <row r="1094" spans="1:19" ht="25.5" x14ac:dyDescent="0.25">
      <c r="A1094" s="5" t="s">
        <v>3872</v>
      </c>
      <c r="B1094" s="5">
        <v>1093</v>
      </c>
      <c r="C1094" s="6" t="s">
        <v>2902</v>
      </c>
      <c r="D1094" s="6" t="s">
        <v>4669</v>
      </c>
      <c r="E1094" s="6">
        <v>15</v>
      </c>
      <c r="F1094" s="6" t="s">
        <v>1471</v>
      </c>
      <c r="G1094" s="6">
        <v>514</v>
      </c>
      <c r="H1094" s="6" t="s">
        <v>907</v>
      </c>
      <c r="I1094" s="6" t="s">
        <v>4786</v>
      </c>
      <c r="J1094" s="6" t="s">
        <v>4787</v>
      </c>
      <c r="K1094" s="6" t="s">
        <v>3331</v>
      </c>
      <c r="L1094" s="6">
        <v>88198971</v>
      </c>
      <c r="M1094" s="6" t="s">
        <v>50</v>
      </c>
      <c r="N1094" s="6" t="s">
        <v>1446</v>
      </c>
      <c r="O1094" s="6">
        <v>17839</v>
      </c>
      <c r="P1094" s="6" t="s">
        <v>176</v>
      </c>
      <c r="Q1094" s="6" t="s">
        <v>3332</v>
      </c>
      <c r="R1094" s="8" t="s">
        <v>1808</v>
      </c>
      <c r="S1094" s="6"/>
    </row>
    <row r="1095" spans="1:19" ht="25.5" x14ac:dyDescent="0.25">
      <c r="A1095" s="5" t="s">
        <v>3872</v>
      </c>
      <c r="B1095" s="5">
        <v>1094</v>
      </c>
      <c r="C1095" s="6" t="s">
        <v>2903</v>
      </c>
      <c r="D1095" s="6" t="s">
        <v>4669</v>
      </c>
      <c r="E1095" s="6">
        <v>13</v>
      </c>
      <c r="F1095" s="6" t="s">
        <v>238</v>
      </c>
      <c r="G1095" s="6">
        <v>365</v>
      </c>
      <c r="H1095" s="6" t="s">
        <v>1010</v>
      </c>
      <c r="I1095" s="6" t="s">
        <v>4788</v>
      </c>
      <c r="J1095" s="6" t="s">
        <v>4789</v>
      </c>
      <c r="K1095" s="6" t="s">
        <v>3331</v>
      </c>
      <c r="L1095" s="6">
        <v>60368171</v>
      </c>
      <c r="M1095" s="6" t="s">
        <v>50</v>
      </c>
      <c r="N1095" s="6" t="s">
        <v>1446</v>
      </c>
      <c r="O1095" s="6">
        <v>10394</v>
      </c>
      <c r="P1095" s="6" t="s">
        <v>1369</v>
      </c>
      <c r="Q1095" s="6" t="s">
        <v>3332</v>
      </c>
      <c r="R1095" s="8" t="s">
        <v>1808</v>
      </c>
      <c r="S1095" s="6"/>
    </row>
    <row r="1096" spans="1:19" ht="25.5" x14ac:dyDescent="0.25">
      <c r="A1096" s="5" t="s">
        <v>3872</v>
      </c>
      <c r="B1096" s="5">
        <v>1095</v>
      </c>
      <c r="C1096" s="6" t="s">
        <v>2904</v>
      </c>
      <c r="D1096" s="6" t="s">
        <v>4669</v>
      </c>
      <c r="E1096" s="6">
        <v>38</v>
      </c>
      <c r="F1096" s="6" t="s">
        <v>1472</v>
      </c>
      <c r="G1096" s="6">
        <v>1139</v>
      </c>
      <c r="H1096" s="6" t="s">
        <v>1473</v>
      </c>
      <c r="I1096" s="6" t="s">
        <v>4790</v>
      </c>
      <c r="J1096" s="6" t="s">
        <v>4791</v>
      </c>
      <c r="K1096" s="6" t="s">
        <v>3331</v>
      </c>
      <c r="L1096" s="6">
        <v>17588454</v>
      </c>
      <c r="M1096" s="6" t="s">
        <v>50</v>
      </c>
      <c r="N1096" s="6" t="s">
        <v>1446</v>
      </c>
      <c r="O1096" s="6">
        <v>18146</v>
      </c>
      <c r="P1096" s="6" t="s">
        <v>1382</v>
      </c>
      <c r="Q1096" s="6" t="s">
        <v>3332</v>
      </c>
      <c r="R1096" s="8" t="s">
        <v>1808</v>
      </c>
      <c r="S1096" s="6"/>
    </row>
    <row r="1097" spans="1:19" ht="25.5" x14ac:dyDescent="0.25">
      <c r="A1097" s="5" t="s">
        <v>3872</v>
      </c>
      <c r="B1097" s="5">
        <v>1096</v>
      </c>
      <c r="C1097" s="6" t="s">
        <v>2905</v>
      </c>
      <c r="D1097" s="6" t="s">
        <v>4669</v>
      </c>
      <c r="E1097" s="6">
        <v>21</v>
      </c>
      <c r="F1097" s="6" t="s">
        <v>1474</v>
      </c>
      <c r="G1097" s="6">
        <v>2190</v>
      </c>
      <c r="H1097" s="6" t="s">
        <v>517</v>
      </c>
      <c r="I1097" s="6" t="s">
        <v>4792</v>
      </c>
      <c r="J1097" s="6" t="s">
        <v>4478</v>
      </c>
      <c r="K1097" s="6" t="s">
        <v>3331</v>
      </c>
      <c r="L1097" s="6">
        <v>88221633</v>
      </c>
      <c r="M1097" s="6" t="s">
        <v>401</v>
      </c>
      <c r="N1097" s="6" t="s">
        <v>1446</v>
      </c>
      <c r="O1097" s="6" t="s">
        <v>21</v>
      </c>
      <c r="P1097" s="6" t="s">
        <v>486</v>
      </c>
      <c r="Q1097" s="6" t="s">
        <v>3332</v>
      </c>
      <c r="R1097" s="8" t="s">
        <v>1808</v>
      </c>
      <c r="S1097" s="6"/>
    </row>
    <row r="1098" spans="1:19" ht="25.5" x14ac:dyDescent="0.25">
      <c r="A1098" s="5" t="s">
        <v>3872</v>
      </c>
      <c r="B1098" s="5">
        <v>1097</v>
      </c>
      <c r="C1098" s="6" t="s">
        <v>2906</v>
      </c>
      <c r="D1098" s="6" t="s">
        <v>4669</v>
      </c>
      <c r="E1098" s="6">
        <v>6</v>
      </c>
      <c r="F1098" s="6" t="s">
        <v>1475</v>
      </c>
      <c r="G1098" s="6">
        <v>2305</v>
      </c>
      <c r="H1098" s="6" t="s">
        <v>1476</v>
      </c>
      <c r="I1098" s="6" t="s">
        <v>4793</v>
      </c>
      <c r="J1098" s="6" t="s">
        <v>4018</v>
      </c>
      <c r="K1098" s="6" t="s">
        <v>3331</v>
      </c>
      <c r="L1098" s="6">
        <v>13374515</v>
      </c>
      <c r="M1098" s="6" t="s">
        <v>401</v>
      </c>
      <c r="N1098" s="6" t="s">
        <v>1446</v>
      </c>
      <c r="O1098" s="6" t="s">
        <v>21</v>
      </c>
      <c r="P1098" s="6" t="s">
        <v>1477</v>
      </c>
      <c r="Q1098" s="6" t="s">
        <v>3332</v>
      </c>
      <c r="R1098" s="8" t="s">
        <v>1808</v>
      </c>
      <c r="S1098" s="6"/>
    </row>
    <row r="1099" spans="1:19" ht="25.5" x14ac:dyDescent="0.25">
      <c r="A1099" s="5" t="s">
        <v>3872</v>
      </c>
      <c r="B1099" s="5">
        <v>1098</v>
      </c>
      <c r="C1099" s="6" t="s">
        <v>2907</v>
      </c>
      <c r="D1099" s="6" t="s">
        <v>4669</v>
      </c>
      <c r="E1099" s="6">
        <v>16</v>
      </c>
      <c r="F1099" s="6" t="s">
        <v>1478</v>
      </c>
      <c r="G1099" s="6">
        <v>2553</v>
      </c>
      <c r="H1099" s="6" t="s">
        <v>520</v>
      </c>
      <c r="I1099" s="6" t="s">
        <v>4794</v>
      </c>
      <c r="J1099" s="6" t="s">
        <v>3912</v>
      </c>
      <c r="K1099" s="6" t="s">
        <v>3331</v>
      </c>
      <c r="L1099" s="6">
        <v>13484839</v>
      </c>
      <c r="M1099" s="6" t="s">
        <v>401</v>
      </c>
      <c r="N1099" s="6" t="s">
        <v>1446</v>
      </c>
      <c r="O1099" s="6" t="s">
        <v>21</v>
      </c>
      <c r="P1099" s="6" t="s">
        <v>1479</v>
      </c>
      <c r="Q1099" s="6" t="s">
        <v>3332</v>
      </c>
      <c r="R1099" s="8" t="s">
        <v>1808</v>
      </c>
      <c r="S1099" s="6"/>
    </row>
    <row r="1100" spans="1:19" ht="25.5" x14ac:dyDescent="0.25">
      <c r="A1100" s="5" t="s">
        <v>3872</v>
      </c>
      <c r="B1100" s="5">
        <v>1099</v>
      </c>
      <c r="C1100" s="6" t="s">
        <v>2908</v>
      </c>
      <c r="D1100" s="6" t="s">
        <v>4669</v>
      </c>
      <c r="E1100" s="6">
        <v>16</v>
      </c>
      <c r="F1100" s="6" t="s">
        <v>1478</v>
      </c>
      <c r="G1100" s="6">
        <v>2553</v>
      </c>
      <c r="H1100" s="6" t="s">
        <v>520</v>
      </c>
      <c r="I1100" s="6" t="s">
        <v>4795</v>
      </c>
      <c r="J1100" s="6" t="s">
        <v>4796</v>
      </c>
      <c r="K1100" s="6" t="s">
        <v>3331</v>
      </c>
      <c r="L1100" s="6">
        <v>13472531</v>
      </c>
      <c r="M1100" s="6" t="s">
        <v>401</v>
      </c>
      <c r="N1100" s="6" t="s">
        <v>1446</v>
      </c>
      <c r="O1100" s="6" t="s">
        <v>21</v>
      </c>
      <c r="P1100" s="6" t="s">
        <v>1480</v>
      </c>
      <c r="Q1100" s="6" t="s">
        <v>3332</v>
      </c>
      <c r="R1100" s="8" t="s">
        <v>1808</v>
      </c>
      <c r="S1100" s="6"/>
    </row>
    <row r="1101" spans="1:19" ht="25.5" x14ac:dyDescent="0.25">
      <c r="A1101" s="5" t="s">
        <v>3872</v>
      </c>
      <c r="B1101" s="5">
        <v>1100</v>
      </c>
      <c r="C1101" s="6" t="s">
        <v>2909</v>
      </c>
      <c r="D1101" s="6" t="s">
        <v>4669</v>
      </c>
      <c r="E1101" s="6">
        <v>2</v>
      </c>
      <c r="F1101" s="6" t="s">
        <v>1481</v>
      </c>
      <c r="G1101" s="6">
        <v>2780</v>
      </c>
      <c r="H1101" s="6" t="s">
        <v>1482</v>
      </c>
      <c r="I1101" s="6" t="s">
        <v>4797</v>
      </c>
      <c r="J1101" s="6" t="s">
        <v>4798</v>
      </c>
      <c r="K1101" s="6" t="s">
        <v>3331</v>
      </c>
      <c r="L1101" s="6">
        <v>60314262</v>
      </c>
      <c r="M1101" s="6" t="s">
        <v>401</v>
      </c>
      <c r="N1101" s="6" t="s">
        <v>1446</v>
      </c>
      <c r="O1101" s="6" t="s">
        <v>21</v>
      </c>
      <c r="P1101" s="6" t="s">
        <v>769</v>
      </c>
      <c r="Q1101" s="6" t="s">
        <v>3332</v>
      </c>
      <c r="R1101" s="8" t="s">
        <v>1808</v>
      </c>
      <c r="S1101" s="6"/>
    </row>
    <row r="1102" spans="1:19" ht="25.5" x14ac:dyDescent="0.25">
      <c r="A1102" s="5" t="s">
        <v>3872</v>
      </c>
      <c r="B1102" s="5">
        <v>1101</v>
      </c>
      <c r="C1102" s="6" t="s">
        <v>2910</v>
      </c>
      <c r="D1102" s="6" t="s">
        <v>4669</v>
      </c>
      <c r="E1102" s="6">
        <v>12</v>
      </c>
      <c r="F1102" s="6" t="s">
        <v>1483</v>
      </c>
      <c r="G1102" s="6">
        <v>3009</v>
      </c>
      <c r="H1102" s="6" t="s">
        <v>1484</v>
      </c>
      <c r="I1102" s="6" t="s">
        <v>4799</v>
      </c>
      <c r="J1102" s="6" t="s">
        <v>4320</v>
      </c>
      <c r="K1102" s="6" t="s">
        <v>3331</v>
      </c>
      <c r="L1102" s="6">
        <v>60356427</v>
      </c>
      <c r="M1102" s="6" t="s">
        <v>401</v>
      </c>
      <c r="N1102" s="6" t="s">
        <v>1446</v>
      </c>
      <c r="O1102" s="6" t="s">
        <v>21</v>
      </c>
      <c r="P1102" s="6" t="s">
        <v>1382</v>
      </c>
      <c r="Q1102" s="6" t="s">
        <v>3332</v>
      </c>
      <c r="R1102" s="8" t="s">
        <v>1808</v>
      </c>
      <c r="S1102" s="6"/>
    </row>
    <row r="1103" spans="1:19" ht="25.5" x14ac:dyDescent="0.25">
      <c r="A1103" s="5" t="s">
        <v>3872</v>
      </c>
      <c r="B1103" s="5">
        <v>1102</v>
      </c>
      <c r="C1103" s="6" t="s">
        <v>2911</v>
      </c>
      <c r="D1103" s="6" t="s">
        <v>4669</v>
      </c>
      <c r="E1103" s="6">
        <v>14</v>
      </c>
      <c r="F1103" s="6" t="s">
        <v>1485</v>
      </c>
      <c r="G1103" s="6">
        <v>3052</v>
      </c>
      <c r="H1103" s="6" t="s">
        <v>1486</v>
      </c>
      <c r="I1103" s="6" t="s">
        <v>4800</v>
      </c>
      <c r="J1103" s="6" t="s">
        <v>4173</v>
      </c>
      <c r="K1103" s="6" t="s">
        <v>3331</v>
      </c>
      <c r="L1103" s="6">
        <v>13490308</v>
      </c>
      <c r="M1103" s="6" t="s">
        <v>401</v>
      </c>
      <c r="N1103" s="6" t="s">
        <v>1446</v>
      </c>
      <c r="O1103" s="6" t="s">
        <v>21</v>
      </c>
      <c r="P1103" s="6" t="s">
        <v>1487</v>
      </c>
      <c r="Q1103" s="6" t="s">
        <v>3332</v>
      </c>
      <c r="R1103" s="8" t="s">
        <v>1808</v>
      </c>
      <c r="S1103" s="6"/>
    </row>
    <row r="1104" spans="1:19" ht="25.5" x14ac:dyDescent="0.25">
      <c r="A1104" s="5" t="s">
        <v>3872</v>
      </c>
      <c r="B1104" s="5">
        <v>1103</v>
      </c>
      <c r="C1104" s="6" t="s">
        <v>2912</v>
      </c>
      <c r="D1104" s="6" t="s">
        <v>4669</v>
      </c>
      <c r="E1104" s="6">
        <v>25</v>
      </c>
      <c r="F1104" s="6" t="s">
        <v>1488</v>
      </c>
      <c r="G1104" s="6">
        <v>3700</v>
      </c>
      <c r="H1104" s="6" t="s">
        <v>1029</v>
      </c>
      <c r="I1104" s="6" t="s">
        <v>4801</v>
      </c>
      <c r="J1104" s="6" t="s">
        <v>4802</v>
      </c>
      <c r="K1104" s="6" t="s">
        <v>3331</v>
      </c>
      <c r="L1104" s="6">
        <v>60346620</v>
      </c>
      <c r="M1104" s="6" t="s">
        <v>401</v>
      </c>
      <c r="N1104" s="6" t="s">
        <v>1446</v>
      </c>
      <c r="O1104" s="6" t="s">
        <v>21</v>
      </c>
      <c r="P1104" s="6" t="s">
        <v>1375</v>
      </c>
      <c r="Q1104" s="6" t="s">
        <v>3332</v>
      </c>
      <c r="R1104" s="8" t="s">
        <v>1808</v>
      </c>
      <c r="S1104" s="6"/>
    </row>
    <row r="1105" spans="1:19" ht="25.5" x14ac:dyDescent="0.25">
      <c r="A1105" s="5" t="s">
        <v>3872</v>
      </c>
      <c r="B1105" s="5">
        <v>1104</v>
      </c>
      <c r="C1105" s="6" t="s">
        <v>2913</v>
      </c>
      <c r="D1105" s="6" t="s">
        <v>4669</v>
      </c>
      <c r="E1105" s="6">
        <v>8</v>
      </c>
      <c r="F1105" s="6" t="s">
        <v>1489</v>
      </c>
      <c r="G1105" s="6">
        <v>118</v>
      </c>
      <c r="H1105" s="6" t="s">
        <v>1490</v>
      </c>
      <c r="I1105" s="6" t="s">
        <v>4803</v>
      </c>
      <c r="J1105" s="6" t="s">
        <v>4804</v>
      </c>
      <c r="K1105" s="6" t="s">
        <v>3331</v>
      </c>
      <c r="L1105" s="6">
        <v>13378690</v>
      </c>
      <c r="M1105" s="6" t="s">
        <v>401</v>
      </c>
      <c r="N1105" s="6" t="s">
        <v>1446</v>
      </c>
      <c r="O1105" s="6">
        <v>18145</v>
      </c>
      <c r="P1105" s="6" t="s">
        <v>1382</v>
      </c>
      <c r="Q1105" s="6" t="s">
        <v>3332</v>
      </c>
      <c r="R1105" s="8" t="s">
        <v>1808</v>
      </c>
      <c r="S1105" s="6"/>
    </row>
    <row r="1106" spans="1:19" ht="25.5" x14ac:dyDescent="0.25">
      <c r="A1106" s="5" t="s">
        <v>3872</v>
      </c>
      <c r="B1106" s="5">
        <v>1105</v>
      </c>
      <c r="C1106" s="6" t="s">
        <v>2914</v>
      </c>
      <c r="D1106" s="6" t="s">
        <v>4669</v>
      </c>
      <c r="E1106" s="6">
        <v>4</v>
      </c>
      <c r="F1106" s="6" t="s">
        <v>1491</v>
      </c>
      <c r="G1106" s="6">
        <v>1509</v>
      </c>
      <c r="H1106" s="6" t="s">
        <v>1492</v>
      </c>
      <c r="I1106" s="6" t="s">
        <v>4805</v>
      </c>
      <c r="J1106" s="6" t="s">
        <v>4806</v>
      </c>
      <c r="K1106" s="6" t="s">
        <v>3331</v>
      </c>
      <c r="L1106" s="6">
        <v>13269380</v>
      </c>
      <c r="M1106" s="6" t="s">
        <v>401</v>
      </c>
      <c r="N1106" s="6" t="s">
        <v>1446</v>
      </c>
      <c r="O1106" s="6" t="s">
        <v>21</v>
      </c>
      <c r="P1106" s="6" t="s">
        <v>21</v>
      </c>
      <c r="Q1106" s="6" t="s">
        <v>3332</v>
      </c>
      <c r="R1106" s="8" t="s">
        <v>1808</v>
      </c>
      <c r="S1106" s="6"/>
    </row>
    <row r="1107" spans="1:19" ht="25.5" x14ac:dyDescent="0.25">
      <c r="A1107" s="5" t="s">
        <v>3872</v>
      </c>
      <c r="B1107" s="5">
        <v>1106</v>
      </c>
      <c r="C1107" s="6" t="s">
        <v>2915</v>
      </c>
      <c r="D1107" s="6" t="s">
        <v>4669</v>
      </c>
      <c r="E1107" s="6">
        <v>39</v>
      </c>
      <c r="F1107" s="6" t="s">
        <v>1493</v>
      </c>
      <c r="G1107" s="6">
        <v>391</v>
      </c>
      <c r="H1107" s="6" t="s">
        <v>1413</v>
      </c>
      <c r="I1107" s="6" t="s">
        <v>4807</v>
      </c>
      <c r="J1107" s="6" t="s">
        <v>4411</v>
      </c>
      <c r="K1107" s="6" t="s">
        <v>3331</v>
      </c>
      <c r="L1107" s="6">
        <v>60311043</v>
      </c>
      <c r="M1107" s="6" t="s">
        <v>401</v>
      </c>
      <c r="N1107" s="6" t="s">
        <v>1446</v>
      </c>
      <c r="O1107" s="6">
        <v>3609</v>
      </c>
      <c r="P1107" s="6" t="s">
        <v>811</v>
      </c>
      <c r="Q1107" s="6" t="s">
        <v>3332</v>
      </c>
      <c r="R1107" s="8" t="s">
        <v>1808</v>
      </c>
      <c r="S1107" s="6"/>
    </row>
    <row r="1108" spans="1:19" ht="25.5" x14ac:dyDescent="0.25">
      <c r="A1108" s="5" t="s">
        <v>3872</v>
      </c>
      <c r="B1108" s="5">
        <v>1107</v>
      </c>
      <c r="C1108" s="6" t="s">
        <v>2916</v>
      </c>
      <c r="D1108" s="6" t="s">
        <v>4669</v>
      </c>
      <c r="E1108" s="6">
        <v>39</v>
      </c>
      <c r="F1108" s="6" t="s">
        <v>1493</v>
      </c>
      <c r="G1108" s="6">
        <v>391</v>
      </c>
      <c r="H1108" s="6" t="s">
        <v>1413</v>
      </c>
      <c r="I1108" s="6" t="s">
        <v>4808</v>
      </c>
      <c r="J1108" s="6" t="s">
        <v>4809</v>
      </c>
      <c r="K1108" s="6" t="s">
        <v>3331</v>
      </c>
      <c r="L1108" s="6">
        <v>60311280</v>
      </c>
      <c r="M1108" s="6" t="s">
        <v>401</v>
      </c>
      <c r="N1108" s="6" t="s">
        <v>1446</v>
      </c>
      <c r="O1108" s="6">
        <v>4675</v>
      </c>
      <c r="P1108" s="6" t="s">
        <v>1494</v>
      </c>
      <c r="Q1108" s="6" t="s">
        <v>3332</v>
      </c>
      <c r="R1108" s="8" t="s">
        <v>1808</v>
      </c>
      <c r="S1108" s="6"/>
    </row>
    <row r="1109" spans="1:19" ht="25.5" x14ac:dyDescent="0.25">
      <c r="A1109" s="5" t="s">
        <v>3872</v>
      </c>
      <c r="B1109" s="5">
        <v>1108</v>
      </c>
      <c r="C1109" s="6" t="s">
        <v>2917</v>
      </c>
      <c r="D1109" s="6" t="s">
        <v>4669</v>
      </c>
      <c r="E1109" s="6">
        <v>19</v>
      </c>
      <c r="F1109" s="6" t="s">
        <v>1495</v>
      </c>
      <c r="G1109" s="6">
        <v>2135</v>
      </c>
      <c r="H1109" s="6" t="s">
        <v>1496</v>
      </c>
      <c r="I1109" s="6" t="s">
        <v>4810</v>
      </c>
      <c r="J1109" s="6" t="s">
        <v>4811</v>
      </c>
      <c r="K1109" s="6" t="s">
        <v>3331</v>
      </c>
      <c r="L1109" s="6">
        <v>88205792</v>
      </c>
      <c r="M1109" s="6" t="s">
        <v>401</v>
      </c>
      <c r="N1109" s="6" t="s">
        <v>1446</v>
      </c>
      <c r="O1109" s="6" t="s">
        <v>21</v>
      </c>
      <c r="P1109" s="6" t="s">
        <v>21</v>
      </c>
      <c r="Q1109" s="6" t="s">
        <v>3332</v>
      </c>
      <c r="R1109" s="8" t="s">
        <v>1808</v>
      </c>
      <c r="S1109" s="6"/>
    </row>
    <row r="1110" spans="1:19" ht="25.5" x14ac:dyDescent="0.25">
      <c r="A1110" s="5" t="s">
        <v>3872</v>
      </c>
      <c r="B1110" s="5">
        <v>1109</v>
      </c>
      <c r="C1110" s="6" t="s">
        <v>2918</v>
      </c>
      <c r="D1110" s="6" t="s">
        <v>4669</v>
      </c>
      <c r="E1110" s="6">
        <v>43</v>
      </c>
      <c r="F1110" s="6" t="s">
        <v>1497</v>
      </c>
      <c r="G1110" s="6">
        <v>670</v>
      </c>
      <c r="H1110" s="6" t="s">
        <v>968</v>
      </c>
      <c r="I1110" s="6" t="s">
        <v>4812</v>
      </c>
      <c r="J1110" s="6" t="s">
        <v>4411</v>
      </c>
      <c r="K1110" s="6" t="s">
        <v>3331</v>
      </c>
      <c r="L1110" s="6">
        <v>60359569</v>
      </c>
      <c r="M1110" s="6" t="s">
        <v>396</v>
      </c>
      <c r="N1110" s="6" t="s">
        <v>1446</v>
      </c>
      <c r="O1110" s="6">
        <v>10397</v>
      </c>
      <c r="P1110" s="6" t="s">
        <v>1369</v>
      </c>
      <c r="Q1110" s="6" t="s">
        <v>3332</v>
      </c>
      <c r="R1110" s="8" t="s">
        <v>1808</v>
      </c>
      <c r="S1110" s="6"/>
    </row>
    <row r="1111" spans="1:19" ht="25.5" x14ac:dyDescent="0.25">
      <c r="A1111" s="5" t="s">
        <v>3872</v>
      </c>
      <c r="B1111" s="5">
        <v>1110</v>
      </c>
      <c r="C1111" s="6" t="s">
        <v>2919</v>
      </c>
      <c r="D1111" s="6" t="s">
        <v>4669</v>
      </c>
      <c r="E1111" s="6">
        <v>24</v>
      </c>
      <c r="F1111" s="6" t="s">
        <v>1498</v>
      </c>
      <c r="G1111" s="6">
        <v>3292</v>
      </c>
      <c r="H1111" s="6" t="s">
        <v>1499</v>
      </c>
      <c r="I1111" s="6" t="s">
        <v>4813</v>
      </c>
      <c r="J1111" s="6" t="s">
        <v>4814</v>
      </c>
      <c r="K1111" s="6" t="s">
        <v>3331</v>
      </c>
      <c r="L1111" s="6">
        <v>13489995</v>
      </c>
      <c r="M1111" s="6" t="s">
        <v>79</v>
      </c>
      <c r="N1111" s="6" t="s">
        <v>1446</v>
      </c>
      <c r="O1111" s="6" t="s">
        <v>21</v>
      </c>
      <c r="P1111" s="6" t="s">
        <v>769</v>
      </c>
      <c r="Q1111" s="6" t="s">
        <v>3332</v>
      </c>
      <c r="R1111" s="8" t="s">
        <v>1808</v>
      </c>
      <c r="S1111" s="6"/>
    </row>
    <row r="1112" spans="1:19" ht="25.5" x14ac:dyDescent="0.25">
      <c r="A1112" s="5" t="s">
        <v>3872</v>
      </c>
      <c r="B1112" s="5">
        <v>1111</v>
      </c>
      <c r="C1112" s="6" t="s">
        <v>2920</v>
      </c>
      <c r="D1112" s="6" t="s">
        <v>4669</v>
      </c>
      <c r="E1112" s="6">
        <v>25</v>
      </c>
      <c r="F1112" s="6" t="s">
        <v>1488</v>
      </c>
      <c r="G1112" s="6">
        <v>3700</v>
      </c>
      <c r="H1112" s="6" t="s">
        <v>1029</v>
      </c>
      <c r="I1112" s="6" t="s">
        <v>4815</v>
      </c>
      <c r="J1112" s="6" t="s">
        <v>4816</v>
      </c>
      <c r="K1112" s="6" t="s">
        <v>3331</v>
      </c>
      <c r="L1112" s="6">
        <v>13642057</v>
      </c>
      <c r="M1112" s="6" t="s">
        <v>79</v>
      </c>
      <c r="N1112" s="6" t="s">
        <v>1446</v>
      </c>
      <c r="O1112" s="6" t="s">
        <v>21</v>
      </c>
      <c r="P1112" s="6" t="s">
        <v>1500</v>
      </c>
      <c r="Q1112" s="6" t="s">
        <v>3332</v>
      </c>
      <c r="R1112" s="8" t="s">
        <v>1808</v>
      </c>
      <c r="S1112" s="6"/>
    </row>
    <row r="1113" spans="1:19" ht="25.5" x14ac:dyDescent="0.25">
      <c r="A1113" s="5" t="s">
        <v>3872</v>
      </c>
      <c r="B1113" s="5">
        <v>1112</v>
      </c>
      <c r="C1113" s="6" t="s">
        <v>2921</v>
      </c>
      <c r="D1113" s="6" t="s">
        <v>4669</v>
      </c>
      <c r="E1113" s="6">
        <v>31</v>
      </c>
      <c r="F1113" s="6" t="s">
        <v>1501</v>
      </c>
      <c r="G1113" s="6">
        <v>430</v>
      </c>
      <c r="H1113" s="6" t="s">
        <v>1245</v>
      </c>
      <c r="I1113" s="6" t="s">
        <v>4817</v>
      </c>
      <c r="J1113" s="6" t="s">
        <v>4818</v>
      </c>
      <c r="K1113" s="6" t="s">
        <v>3331</v>
      </c>
      <c r="L1113" s="6">
        <v>13348455</v>
      </c>
      <c r="M1113" s="6" t="s">
        <v>79</v>
      </c>
      <c r="N1113" s="6" t="s">
        <v>1446</v>
      </c>
      <c r="O1113" s="6">
        <v>1192</v>
      </c>
      <c r="P1113" s="6" t="s">
        <v>1502</v>
      </c>
      <c r="Q1113" s="6" t="s">
        <v>3332</v>
      </c>
      <c r="R1113" s="8" t="s">
        <v>1808</v>
      </c>
      <c r="S1113" s="6"/>
    </row>
    <row r="1114" spans="1:19" ht="25.5" x14ac:dyDescent="0.25">
      <c r="A1114" s="5" t="s">
        <v>3872</v>
      </c>
      <c r="B1114" s="5">
        <v>1113</v>
      </c>
      <c r="C1114" s="6" t="s">
        <v>2922</v>
      </c>
      <c r="D1114" s="6" t="s">
        <v>4669</v>
      </c>
      <c r="E1114" s="6">
        <v>34</v>
      </c>
      <c r="F1114" s="6" t="s">
        <v>1503</v>
      </c>
      <c r="G1114" s="6">
        <v>470</v>
      </c>
      <c r="H1114" s="6" t="s">
        <v>825</v>
      </c>
      <c r="I1114" s="6" t="s">
        <v>4819</v>
      </c>
      <c r="J1114" s="6" t="s">
        <v>4820</v>
      </c>
      <c r="K1114" s="6" t="s">
        <v>3331</v>
      </c>
      <c r="L1114" s="6">
        <v>37249794</v>
      </c>
      <c r="M1114" s="6" t="s">
        <v>79</v>
      </c>
      <c r="N1114" s="6" t="s">
        <v>1446</v>
      </c>
      <c r="O1114" s="6">
        <v>13</v>
      </c>
      <c r="P1114" s="6" t="s">
        <v>1502</v>
      </c>
      <c r="Q1114" s="6" t="s">
        <v>3332</v>
      </c>
      <c r="R1114" s="8" t="s">
        <v>1808</v>
      </c>
      <c r="S1114" s="6"/>
    </row>
    <row r="1115" spans="1:19" ht="25.5" x14ac:dyDescent="0.25">
      <c r="A1115" s="5" t="s">
        <v>3872</v>
      </c>
      <c r="B1115" s="5">
        <v>1114</v>
      </c>
      <c r="C1115" s="6" t="s">
        <v>2923</v>
      </c>
      <c r="D1115" s="6" t="s">
        <v>4669</v>
      </c>
      <c r="E1115" s="6">
        <v>35</v>
      </c>
      <c r="F1115" s="6" t="s">
        <v>1504</v>
      </c>
      <c r="G1115" s="6">
        <v>344</v>
      </c>
      <c r="H1115" s="6" t="s">
        <v>407</v>
      </c>
      <c r="I1115" s="6" t="s">
        <v>4821</v>
      </c>
      <c r="J1115" s="6" t="s">
        <v>3661</v>
      </c>
      <c r="K1115" s="6" t="s">
        <v>3331</v>
      </c>
      <c r="L1115" s="6">
        <v>60291522</v>
      </c>
      <c r="M1115" s="6" t="s">
        <v>79</v>
      </c>
      <c r="N1115" s="6" t="s">
        <v>1446</v>
      </c>
      <c r="O1115" s="6">
        <v>2734</v>
      </c>
      <c r="P1115" s="6" t="s">
        <v>848</v>
      </c>
      <c r="Q1115" s="6" t="s">
        <v>3332</v>
      </c>
      <c r="R1115" s="8" t="s">
        <v>1808</v>
      </c>
      <c r="S1115" s="6"/>
    </row>
    <row r="1116" spans="1:19" ht="25.5" x14ac:dyDescent="0.25">
      <c r="A1116" s="5" t="s">
        <v>3872</v>
      </c>
      <c r="B1116" s="5">
        <v>1115</v>
      </c>
      <c r="C1116" s="6" t="s">
        <v>2924</v>
      </c>
      <c r="D1116" s="6" t="s">
        <v>4669</v>
      </c>
      <c r="E1116" s="6">
        <v>11</v>
      </c>
      <c r="F1116" s="6" t="s">
        <v>1505</v>
      </c>
      <c r="G1116" s="6">
        <v>1590</v>
      </c>
      <c r="H1116" s="6" t="s">
        <v>857</v>
      </c>
      <c r="I1116" s="6" t="s">
        <v>4822</v>
      </c>
      <c r="J1116" s="6" t="s">
        <v>4823</v>
      </c>
      <c r="K1116" s="6" t="s">
        <v>3331</v>
      </c>
      <c r="L1116" s="6">
        <v>13377616</v>
      </c>
      <c r="M1116" s="6" t="s">
        <v>79</v>
      </c>
      <c r="N1116" s="6" t="s">
        <v>1446</v>
      </c>
      <c r="O1116" s="6" t="s">
        <v>21</v>
      </c>
      <c r="P1116" s="6" t="s">
        <v>21</v>
      </c>
      <c r="Q1116" s="6" t="s">
        <v>3332</v>
      </c>
      <c r="R1116" s="8" t="s">
        <v>1808</v>
      </c>
      <c r="S1116" s="6"/>
    </row>
    <row r="1117" spans="1:19" ht="25.5" x14ac:dyDescent="0.25">
      <c r="A1117" s="5" t="s">
        <v>3872</v>
      </c>
      <c r="B1117" s="5">
        <v>1116</v>
      </c>
      <c r="C1117" s="6" t="s">
        <v>2925</v>
      </c>
      <c r="D1117" s="6" t="s">
        <v>4669</v>
      </c>
      <c r="E1117" s="6">
        <v>11</v>
      </c>
      <c r="F1117" s="6" t="s">
        <v>1505</v>
      </c>
      <c r="G1117" s="6">
        <v>1590</v>
      </c>
      <c r="H1117" s="6" t="s">
        <v>857</v>
      </c>
      <c r="I1117" s="6" t="s">
        <v>4824</v>
      </c>
      <c r="J1117" s="6" t="s">
        <v>4825</v>
      </c>
      <c r="K1117" s="6" t="s">
        <v>3331</v>
      </c>
      <c r="L1117" s="6">
        <v>88190605</v>
      </c>
      <c r="M1117" s="6" t="s">
        <v>79</v>
      </c>
      <c r="N1117" s="6" t="s">
        <v>1446</v>
      </c>
      <c r="O1117" s="6" t="s">
        <v>21</v>
      </c>
      <c r="P1117" s="6" t="s">
        <v>21</v>
      </c>
      <c r="Q1117" s="6" t="s">
        <v>3332</v>
      </c>
      <c r="R1117" s="8" t="s">
        <v>1808</v>
      </c>
      <c r="S1117" s="6"/>
    </row>
    <row r="1118" spans="1:19" ht="25.5" x14ac:dyDescent="0.25">
      <c r="A1118" s="5" t="s">
        <v>3872</v>
      </c>
      <c r="B1118" s="5">
        <v>1117</v>
      </c>
      <c r="C1118" s="6" t="s">
        <v>2926</v>
      </c>
      <c r="D1118" s="6" t="s">
        <v>4669</v>
      </c>
      <c r="E1118" s="6">
        <v>17</v>
      </c>
      <c r="F1118" s="6" t="s">
        <v>1506</v>
      </c>
      <c r="G1118" s="6">
        <v>1693</v>
      </c>
      <c r="H1118" s="6" t="s">
        <v>525</v>
      </c>
      <c r="I1118" s="6" t="s">
        <v>4826</v>
      </c>
      <c r="J1118" s="6" t="s">
        <v>4827</v>
      </c>
      <c r="K1118" s="6" t="s">
        <v>3331</v>
      </c>
      <c r="L1118" s="6">
        <v>60360726</v>
      </c>
      <c r="M1118" s="6" t="s">
        <v>79</v>
      </c>
      <c r="N1118" s="6" t="s">
        <v>1446</v>
      </c>
      <c r="O1118" s="6" t="s">
        <v>21</v>
      </c>
      <c r="P1118" s="6" t="s">
        <v>21</v>
      </c>
      <c r="Q1118" s="6" t="s">
        <v>3332</v>
      </c>
      <c r="R1118" s="8" t="s">
        <v>1808</v>
      </c>
      <c r="S1118" s="6"/>
    </row>
    <row r="1119" spans="1:19" ht="25.5" x14ac:dyDescent="0.25">
      <c r="A1119" s="5" t="s">
        <v>3872</v>
      </c>
      <c r="B1119" s="5">
        <v>1118</v>
      </c>
      <c r="C1119" s="6" t="s">
        <v>2927</v>
      </c>
      <c r="D1119" s="6" t="s">
        <v>4669</v>
      </c>
      <c r="E1119" s="6">
        <v>24</v>
      </c>
      <c r="F1119" s="6" t="s">
        <v>1507</v>
      </c>
      <c r="G1119" s="6">
        <v>1765</v>
      </c>
      <c r="H1119" s="6" t="s">
        <v>1508</v>
      </c>
      <c r="I1119" s="6" t="s">
        <v>4828</v>
      </c>
      <c r="J1119" s="6" t="s">
        <v>4461</v>
      </c>
      <c r="K1119" s="6" t="s">
        <v>3331</v>
      </c>
      <c r="L1119" s="6">
        <v>13385718</v>
      </c>
      <c r="M1119" s="6" t="s">
        <v>79</v>
      </c>
      <c r="N1119" s="6" t="s">
        <v>1446</v>
      </c>
      <c r="O1119" s="6" t="s">
        <v>21</v>
      </c>
      <c r="P1119" s="6" t="s">
        <v>21</v>
      </c>
      <c r="Q1119" s="6" t="s">
        <v>3332</v>
      </c>
      <c r="R1119" s="8" t="s">
        <v>1808</v>
      </c>
      <c r="S1119" s="6"/>
    </row>
    <row r="1120" spans="1:19" ht="25.5" x14ac:dyDescent="0.25">
      <c r="A1120" s="5" t="s">
        <v>3872</v>
      </c>
      <c r="B1120" s="5">
        <v>1119</v>
      </c>
      <c r="C1120" s="6" t="s">
        <v>2928</v>
      </c>
      <c r="D1120" s="6" t="s">
        <v>4669</v>
      </c>
      <c r="E1120" s="6">
        <v>12</v>
      </c>
      <c r="F1120" s="6" t="s">
        <v>1483</v>
      </c>
      <c r="G1120" s="6">
        <v>3009</v>
      </c>
      <c r="H1120" s="6" t="s">
        <v>1484</v>
      </c>
      <c r="I1120" s="6" t="s">
        <v>4829</v>
      </c>
      <c r="J1120" s="6" t="s">
        <v>4830</v>
      </c>
      <c r="K1120" s="6" t="s">
        <v>3331</v>
      </c>
      <c r="L1120" s="6">
        <v>27890851</v>
      </c>
      <c r="M1120" s="6" t="s">
        <v>502</v>
      </c>
      <c r="N1120" s="6" t="s">
        <v>1446</v>
      </c>
      <c r="O1120" s="6" t="s">
        <v>21</v>
      </c>
      <c r="P1120" s="6" t="s">
        <v>1509</v>
      </c>
      <c r="Q1120" s="6" t="s">
        <v>3332</v>
      </c>
      <c r="R1120" s="8" t="s">
        <v>1808</v>
      </c>
      <c r="S1120" s="6"/>
    </row>
    <row r="1121" spans="1:19" ht="25.5" x14ac:dyDescent="0.25">
      <c r="A1121" s="5" t="s">
        <v>3872</v>
      </c>
      <c r="B1121" s="5">
        <v>1120</v>
      </c>
      <c r="C1121" s="6" t="s">
        <v>2929</v>
      </c>
      <c r="D1121" s="6" t="s">
        <v>4669</v>
      </c>
      <c r="E1121" s="6">
        <v>23</v>
      </c>
      <c r="F1121" s="6" t="s">
        <v>1510</v>
      </c>
      <c r="G1121" s="6">
        <v>254</v>
      </c>
      <c r="H1121" s="6" t="s">
        <v>1511</v>
      </c>
      <c r="I1121" s="6" t="s">
        <v>4831</v>
      </c>
      <c r="J1121" s="6" t="s">
        <v>4832</v>
      </c>
      <c r="K1121" s="6" t="s">
        <v>3331</v>
      </c>
      <c r="L1121" s="6">
        <v>37252913</v>
      </c>
      <c r="M1121" s="6" t="s">
        <v>502</v>
      </c>
      <c r="N1121" s="6" t="s">
        <v>1446</v>
      </c>
      <c r="O1121" s="6">
        <v>511</v>
      </c>
      <c r="P1121" s="6" t="s">
        <v>1509</v>
      </c>
      <c r="Q1121" s="6" t="s">
        <v>3332</v>
      </c>
      <c r="R1121" s="8" t="s">
        <v>1808</v>
      </c>
      <c r="S1121" s="6"/>
    </row>
    <row r="1122" spans="1:19" ht="25.5" x14ac:dyDescent="0.25">
      <c r="A1122" s="5" t="s">
        <v>3872</v>
      </c>
      <c r="B1122" s="5">
        <v>1121</v>
      </c>
      <c r="C1122" s="6" t="s">
        <v>2930</v>
      </c>
      <c r="D1122" s="6" t="s">
        <v>4669</v>
      </c>
      <c r="E1122" s="6">
        <v>27</v>
      </c>
      <c r="F1122" s="6" t="s">
        <v>1512</v>
      </c>
      <c r="G1122" s="6">
        <v>258</v>
      </c>
      <c r="H1122" s="6" t="s">
        <v>895</v>
      </c>
      <c r="I1122" s="6" t="s">
        <v>4833</v>
      </c>
      <c r="J1122" s="6" t="s">
        <v>4834</v>
      </c>
      <c r="K1122" s="6" t="s">
        <v>3331</v>
      </c>
      <c r="L1122" s="6">
        <v>88214076</v>
      </c>
      <c r="M1122" s="6" t="s">
        <v>396</v>
      </c>
      <c r="N1122" s="6" t="s">
        <v>1446</v>
      </c>
      <c r="O1122" s="6">
        <v>21607</v>
      </c>
      <c r="P1122" s="6" t="s">
        <v>1513</v>
      </c>
      <c r="Q1122" s="6" t="s">
        <v>3332</v>
      </c>
      <c r="R1122" s="8" t="s">
        <v>1808</v>
      </c>
      <c r="S1122" s="6"/>
    </row>
    <row r="1123" spans="1:19" ht="25.5" x14ac:dyDescent="0.25">
      <c r="A1123" s="5" t="s">
        <v>3872</v>
      </c>
      <c r="B1123" s="5">
        <v>1122</v>
      </c>
      <c r="C1123" s="6" t="s">
        <v>2931</v>
      </c>
      <c r="D1123" s="6" t="s">
        <v>4669</v>
      </c>
      <c r="E1123" s="6">
        <v>4</v>
      </c>
      <c r="F1123" s="6" t="s">
        <v>1514</v>
      </c>
      <c r="G1123" s="6">
        <v>185</v>
      </c>
      <c r="H1123" s="6" t="s">
        <v>1515</v>
      </c>
      <c r="I1123" s="6" t="s">
        <v>4835</v>
      </c>
      <c r="J1123" s="6" t="s">
        <v>4836</v>
      </c>
      <c r="K1123" s="6" t="s">
        <v>3331</v>
      </c>
      <c r="L1123" s="6">
        <v>60407132</v>
      </c>
      <c r="M1123" s="6" t="s">
        <v>396</v>
      </c>
      <c r="N1123" s="6" t="s">
        <v>1446</v>
      </c>
      <c r="O1123" s="6">
        <v>13782</v>
      </c>
      <c r="P1123" s="6" t="s">
        <v>1444</v>
      </c>
      <c r="Q1123" s="6" t="s">
        <v>3332</v>
      </c>
      <c r="R1123" s="8" t="s">
        <v>1808</v>
      </c>
      <c r="S1123" s="6"/>
    </row>
    <row r="1124" spans="1:19" ht="25.5" x14ac:dyDescent="0.25">
      <c r="A1124" s="5" t="s">
        <v>3872</v>
      </c>
      <c r="B1124" s="5">
        <v>1123</v>
      </c>
      <c r="C1124" s="6" t="s">
        <v>2932</v>
      </c>
      <c r="D1124" s="6" t="s">
        <v>4669</v>
      </c>
      <c r="E1124" s="6">
        <v>4</v>
      </c>
      <c r="F1124" s="6" t="s">
        <v>1514</v>
      </c>
      <c r="G1124" s="6">
        <v>185</v>
      </c>
      <c r="H1124" s="6" t="s">
        <v>1515</v>
      </c>
      <c r="I1124" s="6" t="s">
        <v>4837</v>
      </c>
      <c r="J1124" s="6" t="s">
        <v>4838</v>
      </c>
      <c r="K1124" s="6" t="s">
        <v>3331</v>
      </c>
      <c r="L1124" s="6">
        <v>60348679</v>
      </c>
      <c r="M1124" s="6" t="s">
        <v>396</v>
      </c>
      <c r="N1124" s="6" t="s">
        <v>1446</v>
      </c>
      <c r="O1124" s="6">
        <v>13779</v>
      </c>
      <c r="P1124" s="6" t="s">
        <v>1444</v>
      </c>
      <c r="Q1124" s="6" t="s">
        <v>3332</v>
      </c>
      <c r="R1124" s="8" t="s">
        <v>1808</v>
      </c>
      <c r="S1124" s="6"/>
    </row>
    <row r="1125" spans="1:19" ht="25.5" x14ac:dyDescent="0.25">
      <c r="A1125" s="5" t="s">
        <v>3872</v>
      </c>
      <c r="B1125" s="5">
        <v>1124</v>
      </c>
      <c r="C1125" s="6" t="s">
        <v>2891</v>
      </c>
      <c r="D1125" s="6" t="s">
        <v>4669</v>
      </c>
      <c r="E1125" s="6">
        <v>6</v>
      </c>
      <c r="F1125" s="6" t="s">
        <v>724</v>
      </c>
      <c r="G1125" s="6">
        <v>199</v>
      </c>
      <c r="H1125" s="6" t="s">
        <v>1238</v>
      </c>
      <c r="I1125" s="6" t="s">
        <v>4839</v>
      </c>
      <c r="J1125" s="6" t="s">
        <v>4840</v>
      </c>
      <c r="K1125" s="6" t="s">
        <v>3331</v>
      </c>
      <c r="L1125" s="6">
        <v>12542136</v>
      </c>
      <c r="M1125" s="6" t="s">
        <v>79</v>
      </c>
      <c r="N1125" s="6" t="s">
        <v>1446</v>
      </c>
      <c r="O1125" s="6">
        <v>1054</v>
      </c>
      <c r="P1125" s="6" t="s">
        <v>1460</v>
      </c>
      <c r="Q1125" s="6" t="s">
        <v>3332</v>
      </c>
      <c r="R1125" s="8" t="s">
        <v>1808</v>
      </c>
      <c r="S1125" s="6"/>
    </row>
    <row r="1126" spans="1:19" ht="25.5" x14ac:dyDescent="0.25">
      <c r="A1126" s="5" t="s">
        <v>3872</v>
      </c>
      <c r="B1126" s="5">
        <v>1125</v>
      </c>
      <c r="C1126" s="6" t="s">
        <v>2892</v>
      </c>
      <c r="D1126" s="6" t="s">
        <v>4669</v>
      </c>
      <c r="E1126" s="6">
        <v>45</v>
      </c>
      <c r="F1126" s="6" t="s">
        <v>1461</v>
      </c>
      <c r="G1126" s="6">
        <v>1309</v>
      </c>
      <c r="H1126" s="6" t="s">
        <v>165</v>
      </c>
      <c r="I1126" s="6" t="s">
        <v>4841</v>
      </c>
      <c r="J1126" s="6" t="s">
        <v>4773</v>
      </c>
      <c r="K1126" s="6" t="s">
        <v>3331</v>
      </c>
      <c r="L1126" s="6">
        <v>13445255</v>
      </c>
      <c r="M1126" s="6" t="s">
        <v>79</v>
      </c>
      <c r="N1126" s="6" t="s">
        <v>1446</v>
      </c>
      <c r="O1126" s="6">
        <v>3358</v>
      </c>
      <c r="P1126" s="6" t="s">
        <v>1462</v>
      </c>
      <c r="Q1126" s="6" t="s">
        <v>3332</v>
      </c>
      <c r="R1126" s="8" t="s">
        <v>1808</v>
      </c>
      <c r="S1126" s="6"/>
    </row>
    <row r="1127" spans="1:19" ht="25.5" x14ac:dyDescent="0.25">
      <c r="A1127" s="5" t="s">
        <v>3872</v>
      </c>
      <c r="B1127" s="5">
        <v>1126</v>
      </c>
      <c r="C1127" s="6" t="s">
        <v>2893</v>
      </c>
      <c r="D1127" s="6" t="s">
        <v>4669</v>
      </c>
      <c r="E1127" s="6">
        <v>52</v>
      </c>
      <c r="F1127" s="6" t="s">
        <v>1463</v>
      </c>
      <c r="G1127" s="6">
        <v>1539</v>
      </c>
      <c r="H1127" s="6" t="s">
        <v>1464</v>
      </c>
      <c r="I1127" s="6" t="s">
        <v>4842</v>
      </c>
      <c r="J1127" s="6" t="s">
        <v>4843</v>
      </c>
      <c r="K1127" s="6" t="s">
        <v>3331</v>
      </c>
      <c r="L1127" s="6">
        <v>91071703</v>
      </c>
      <c r="M1127" s="6" t="s">
        <v>79</v>
      </c>
      <c r="N1127" s="6" t="s">
        <v>1446</v>
      </c>
      <c r="O1127" s="6">
        <v>6790</v>
      </c>
      <c r="P1127" s="6" t="s">
        <v>417</v>
      </c>
      <c r="Q1127" s="6" t="s">
        <v>3332</v>
      </c>
      <c r="R1127" s="8" t="s">
        <v>1808</v>
      </c>
      <c r="S1127" s="6"/>
    </row>
    <row r="1128" spans="1:19" ht="25.5" x14ac:dyDescent="0.25">
      <c r="A1128" s="5" t="s">
        <v>3872</v>
      </c>
      <c r="B1128" s="5">
        <v>1127</v>
      </c>
      <c r="C1128" s="6" t="s">
        <v>2933</v>
      </c>
      <c r="D1128" s="6" t="s">
        <v>4844</v>
      </c>
      <c r="E1128" s="6">
        <v>2</v>
      </c>
      <c r="F1128" s="6" t="s">
        <v>1516</v>
      </c>
      <c r="G1128" s="6">
        <v>66</v>
      </c>
      <c r="H1128" s="6" t="s">
        <v>1517</v>
      </c>
      <c r="I1128" s="6" t="s">
        <v>4845</v>
      </c>
      <c r="J1128" s="6" t="s">
        <v>4846</v>
      </c>
      <c r="K1128" s="6" t="s">
        <v>3331</v>
      </c>
      <c r="L1128" s="6">
        <v>1094911223</v>
      </c>
      <c r="M1128" s="6" t="s">
        <v>572</v>
      </c>
      <c r="N1128" s="6" t="s">
        <v>270</v>
      </c>
      <c r="O1128" s="6">
        <v>1251</v>
      </c>
      <c r="P1128" s="6" t="s">
        <v>1518</v>
      </c>
      <c r="Q1128" s="6" t="s">
        <v>3332</v>
      </c>
      <c r="R1128" s="8" t="s">
        <v>1808</v>
      </c>
      <c r="S1128" s="6"/>
    </row>
    <row r="1129" spans="1:19" ht="25.5" x14ac:dyDescent="0.25">
      <c r="A1129" s="5" t="s">
        <v>3872</v>
      </c>
      <c r="B1129" s="5">
        <v>1128</v>
      </c>
      <c r="C1129" s="6" t="s">
        <v>2934</v>
      </c>
      <c r="D1129" s="6" t="s">
        <v>4844</v>
      </c>
      <c r="E1129" s="6">
        <v>72</v>
      </c>
      <c r="F1129" s="6" t="s">
        <v>1519</v>
      </c>
      <c r="G1129" s="6">
        <v>2017</v>
      </c>
      <c r="H1129" s="6" t="s">
        <v>177</v>
      </c>
      <c r="I1129" s="6" t="s">
        <v>4847</v>
      </c>
      <c r="J1129" s="6" t="s">
        <v>4848</v>
      </c>
      <c r="K1129" s="6" t="s">
        <v>3331</v>
      </c>
      <c r="L1129" s="6">
        <v>1094887112</v>
      </c>
      <c r="M1129" s="6" t="s">
        <v>269</v>
      </c>
      <c r="N1129" s="6" t="s">
        <v>270</v>
      </c>
      <c r="O1129" s="6">
        <v>490825</v>
      </c>
      <c r="P1129" s="6" t="s">
        <v>1520</v>
      </c>
      <c r="Q1129" s="6" t="s">
        <v>3332</v>
      </c>
      <c r="R1129" s="8" t="s">
        <v>1808</v>
      </c>
      <c r="S1129" s="6"/>
    </row>
    <row r="1130" spans="1:19" ht="25.5" x14ac:dyDescent="0.25">
      <c r="A1130" s="5" t="s">
        <v>3872</v>
      </c>
      <c r="B1130" s="5">
        <v>1129</v>
      </c>
      <c r="C1130" s="6" t="s">
        <v>2935</v>
      </c>
      <c r="D1130" s="6" t="s">
        <v>4844</v>
      </c>
      <c r="E1130" s="6">
        <v>41</v>
      </c>
      <c r="F1130" s="6" t="s">
        <v>1521</v>
      </c>
      <c r="G1130" s="6">
        <v>1133</v>
      </c>
      <c r="H1130" s="6" t="s">
        <v>324</v>
      </c>
      <c r="I1130" s="6" t="s">
        <v>4849</v>
      </c>
      <c r="J1130" s="6" t="s">
        <v>4850</v>
      </c>
      <c r="K1130" s="6" t="s">
        <v>3331</v>
      </c>
      <c r="L1130" s="6">
        <v>1096034178</v>
      </c>
      <c r="M1130" s="6" t="s">
        <v>269</v>
      </c>
      <c r="N1130" s="6" t="s">
        <v>270</v>
      </c>
      <c r="O1130" s="6">
        <v>490864</v>
      </c>
      <c r="P1130" s="6" t="s">
        <v>1522</v>
      </c>
      <c r="Q1130" s="6" t="s">
        <v>3332</v>
      </c>
      <c r="R1130" s="8" t="s">
        <v>1808</v>
      </c>
      <c r="S1130" s="6"/>
    </row>
    <row r="1131" spans="1:19" ht="25.5" x14ac:dyDescent="0.25">
      <c r="A1131" s="5" t="s">
        <v>3872</v>
      </c>
      <c r="B1131" s="5">
        <v>1130</v>
      </c>
      <c r="C1131" s="6" t="s">
        <v>2936</v>
      </c>
      <c r="D1131" s="6" t="s">
        <v>4844</v>
      </c>
      <c r="E1131" s="6">
        <v>3</v>
      </c>
      <c r="F1131" s="6" t="s">
        <v>1523</v>
      </c>
      <c r="G1131" s="6">
        <v>55</v>
      </c>
      <c r="H1131" s="6" t="s">
        <v>1524</v>
      </c>
      <c r="I1131" s="6" t="s">
        <v>4851</v>
      </c>
      <c r="J1131" s="6" t="s">
        <v>3829</v>
      </c>
      <c r="K1131" s="6" t="s">
        <v>3331</v>
      </c>
      <c r="L1131" s="6">
        <v>1094893741</v>
      </c>
      <c r="M1131" s="6" t="s">
        <v>392</v>
      </c>
      <c r="N1131" s="6" t="s">
        <v>270</v>
      </c>
      <c r="O1131" s="6" t="s">
        <v>4852</v>
      </c>
      <c r="P1131" s="6" t="s">
        <v>1525</v>
      </c>
      <c r="Q1131" s="6" t="s">
        <v>3332</v>
      </c>
      <c r="R1131" s="8" t="s">
        <v>1808</v>
      </c>
      <c r="S1131" s="6"/>
    </row>
    <row r="1132" spans="1:19" ht="25.5" x14ac:dyDescent="0.25">
      <c r="A1132" s="5" t="s">
        <v>3872</v>
      </c>
      <c r="B1132" s="5">
        <v>1131</v>
      </c>
      <c r="C1132" s="6" t="s">
        <v>2937</v>
      </c>
      <c r="D1132" s="6" t="s">
        <v>4844</v>
      </c>
      <c r="E1132" s="6">
        <v>3</v>
      </c>
      <c r="F1132" s="6" t="s">
        <v>1523</v>
      </c>
      <c r="G1132" s="6">
        <v>55</v>
      </c>
      <c r="H1132" s="6" t="s">
        <v>1524</v>
      </c>
      <c r="I1132" s="6" t="s">
        <v>4853</v>
      </c>
      <c r="J1132" s="6" t="s">
        <v>4854</v>
      </c>
      <c r="K1132" s="6" t="s">
        <v>3331</v>
      </c>
      <c r="L1132" s="6">
        <v>1094907296</v>
      </c>
      <c r="M1132" s="6" t="s">
        <v>392</v>
      </c>
      <c r="N1132" s="6" t="s">
        <v>270</v>
      </c>
      <c r="O1132" s="6" t="s">
        <v>4855</v>
      </c>
      <c r="P1132" s="6" t="s">
        <v>1526</v>
      </c>
      <c r="Q1132" s="6" t="s">
        <v>3332</v>
      </c>
      <c r="R1132" s="8" t="s">
        <v>1808</v>
      </c>
      <c r="S1132" s="6"/>
    </row>
    <row r="1133" spans="1:19" ht="25.5" x14ac:dyDescent="0.25">
      <c r="A1133" s="5" t="s">
        <v>3872</v>
      </c>
      <c r="B1133" s="5">
        <v>1132</v>
      </c>
      <c r="C1133" s="6" t="s">
        <v>2938</v>
      </c>
      <c r="D1133" s="6" t="s">
        <v>4844</v>
      </c>
      <c r="E1133" s="6">
        <v>78</v>
      </c>
      <c r="F1133" s="6" t="s">
        <v>229</v>
      </c>
      <c r="G1133" s="6">
        <v>2273</v>
      </c>
      <c r="H1133" s="6" t="s">
        <v>230</v>
      </c>
      <c r="I1133" s="6" t="s">
        <v>4856</v>
      </c>
      <c r="J1133" s="6" t="s">
        <v>4857</v>
      </c>
      <c r="K1133" s="6" t="s">
        <v>3331</v>
      </c>
      <c r="L1133" s="6">
        <v>9773297</v>
      </c>
      <c r="M1133" s="6" t="s">
        <v>392</v>
      </c>
      <c r="N1133" s="6" t="s">
        <v>270</v>
      </c>
      <c r="O1133" s="6" t="s">
        <v>4858</v>
      </c>
      <c r="P1133" s="6" t="s">
        <v>1527</v>
      </c>
      <c r="Q1133" s="6" t="s">
        <v>3332</v>
      </c>
      <c r="R1133" s="8" t="s">
        <v>1808</v>
      </c>
      <c r="S1133" s="6"/>
    </row>
    <row r="1134" spans="1:19" ht="25.5" x14ac:dyDescent="0.25">
      <c r="A1134" s="5" t="s">
        <v>3872</v>
      </c>
      <c r="B1134" s="5">
        <v>1133</v>
      </c>
      <c r="C1134" s="6" t="s">
        <v>2939</v>
      </c>
      <c r="D1134" s="6" t="s">
        <v>4844</v>
      </c>
      <c r="E1134" s="6">
        <v>17</v>
      </c>
      <c r="F1134" s="6" t="s">
        <v>1528</v>
      </c>
      <c r="G1134" s="6">
        <v>425</v>
      </c>
      <c r="H1134" s="6" t="s">
        <v>1529</v>
      </c>
      <c r="I1134" s="6" t="s">
        <v>4859</v>
      </c>
      <c r="J1134" s="6" t="s">
        <v>4860</v>
      </c>
      <c r="K1134" s="6" t="s">
        <v>3331</v>
      </c>
      <c r="L1134" s="6">
        <v>1094897056</v>
      </c>
      <c r="M1134" s="6" t="s">
        <v>392</v>
      </c>
      <c r="N1134" s="6" t="s">
        <v>270</v>
      </c>
      <c r="O1134" s="6" t="s">
        <v>4861</v>
      </c>
      <c r="P1134" s="6" t="s">
        <v>1518</v>
      </c>
      <c r="Q1134" s="6" t="s">
        <v>3332</v>
      </c>
      <c r="R1134" s="8" t="s">
        <v>1808</v>
      </c>
      <c r="S1134" s="6"/>
    </row>
    <row r="1135" spans="1:19" ht="25.5" x14ac:dyDescent="0.25">
      <c r="A1135" s="5" t="s">
        <v>3872</v>
      </c>
      <c r="B1135" s="5">
        <v>1134</v>
      </c>
      <c r="C1135" s="6" t="s">
        <v>2940</v>
      </c>
      <c r="D1135" s="6" t="s">
        <v>4862</v>
      </c>
      <c r="E1135" s="6">
        <v>4</v>
      </c>
      <c r="F1135" s="6" t="s">
        <v>1530</v>
      </c>
      <c r="G1135" s="6">
        <v>577</v>
      </c>
      <c r="H1135" s="6" t="s">
        <v>94</v>
      </c>
      <c r="I1135" s="6" t="s">
        <v>4863</v>
      </c>
      <c r="J1135" s="6" t="s">
        <v>3757</v>
      </c>
      <c r="K1135" s="6" t="s">
        <v>3331</v>
      </c>
      <c r="L1135" s="6">
        <v>42075372</v>
      </c>
      <c r="M1135" s="6" t="s">
        <v>1531</v>
      </c>
      <c r="N1135" s="6" t="s">
        <v>1532</v>
      </c>
      <c r="O1135" s="6" t="s">
        <v>21</v>
      </c>
      <c r="P1135" s="6" t="s">
        <v>21</v>
      </c>
      <c r="Q1135" s="6" t="s">
        <v>3332</v>
      </c>
      <c r="R1135" s="8" t="s">
        <v>1808</v>
      </c>
      <c r="S1135" s="6"/>
    </row>
    <row r="1136" spans="1:19" ht="25.5" x14ac:dyDescent="0.25">
      <c r="A1136" s="5" t="s">
        <v>3872</v>
      </c>
      <c r="B1136" s="5">
        <v>1135</v>
      </c>
      <c r="C1136" s="6" t="s">
        <v>2941</v>
      </c>
      <c r="D1136" s="6" t="s">
        <v>4862</v>
      </c>
      <c r="E1136" s="6">
        <v>4</v>
      </c>
      <c r="F1136" s="6" t="s">
        <v>1530</v>
      </c>
      <c r="G1136" s="6">
        <v>577</v>
      </c>
      <c r="H1136" s="6" t="s">
        <v>94</v>
      </c>
      <c r="I1136" s="6" t="s">
        <v>4864</v>
      </c>
      <c r="J1136" s="6" t="s">
        <v>3330</v>
      </c>
      <c r="K1136" s="6" t="s">
        <v>3331</v>
      </c>
      <c r="L1136" s="6">
        <v>42051849</v>
      </c>
      <c r="M1136" s="6" t="s">
        <v>1531</v>
      </c>
      <c r="N1136" s="6" t="s">
        <v>1532</v>
      </c>
      <c r="O1136" s="6" t="s">
        <v>21</v>
      </c>
      <c r="P1136" s="6" t="s">
        <v>21</v>
      </c>
      <c r="Q1136" s="6" t="s">
        <v>3332</v>
      </c>
      <c r="R1136" s="8" t="s">
        <v>1808</v>
      </c>
      <c r="S1136" s="6"/>
    </row>
    <row r="1137" spans="1:19" ht="25.5" x14ac:dyDescent="0.25">
      <c r="A1137" s="5" t="s">
        <v>3872</v>
      </c>
      <c r="B1137" s="5">
        <v>1136</v>
      </c>
      <c r="C1137" s="6" t="s">
        <v>2942</v>
      </c>
      <c r="D1137" s="6" t="s">
        <v>4862</v>
      </c>
      <c r="E1137" s="6">
        <v>4</v>
      </c>
      <c r="F1137" s="6" t="s">
        <v>1530</v>
      </c>
      <c r="G1137" s="6">
        <v>577</v>
      </c>
      <c r="H1137" s="6" t="s">
        <v>94</v>
      </c>
      <c r="I1137" s="6" t="s">
        <v>4865</v>
      </c>
      <c r="J1137" s="6" t="s">
        <v>4866</v>
      </c>
      <c r="K1137" s="6" t="s">
        <v>3331</v>
      </c>
      <c r="L1137" s="6">
        <v>42061530</v>
      </c>
      <c r="M1137" s="6" t="s">
        <v>1531</v>
      </c>
      <c r="N1137" s="6" t="s">
        <v>1532</v>
      </c>
      <c r="O1137" s="6" t="s">
        <v>21</v>
      </c>
      <c r="P1137" s="6" t="s">
        <v>21</v>
      </c>
      <c r="Q1137" s="6" t="s">
        <v>3332</v>
      </c>
      <c r="R1137" s="8" t="s">
        <v>1808</v>
      </c>
      <c r="S1137" s="6"/>
    </row>
    <row r="1138" spans="1:19" ht="25.5" x14ac:dyDescent="0.25">
      <c r="A1138" s="5" t="s">
        <v>3872</v>
      </c>
      <c r="B1138" s="5">
        <v>1137</v>
      </c>
      <c r="C1138" s="6" t="s">
        <v>2943</v>
      </c>
      <c r="D1138" s="6" t="s">
        <v>4862</v>
      </c>
      <c r="E1138" s="6">
        <v>11</v>
      </c>
      <c r="F1138" s="6" t="s">
        <v>1533</v>
      </c>
      <c r="G1138" s="6">
        <v>755</v>
      </c>
      <c r="H1138" s="6" t="s">
        <v>1140</v>
      </c>
      <c r="I1138" s="6" t="s">
        <v>4867</v>
      </c>
      <c r="J1138" s="6" t="s">
        <v>3807</v>
      </c>
      <c r="K1138" s="6" t="s">
        <v>3331</v>
      </c>
      <c r="L1138" s="6">
        <v>34044768</v>
      </c>
      <c r="M1138" s="6" t="s">
        <v>1531</v>
      </c>
      <c r="N1138" s="6" t="s">
        <v>1532</v>
      </c>
      <c r="O1138" s="6" t="s">
        <v>21</v>
      </c>
      <c r="P1138" s="6" t="s">
        <v>21</v>
      </c>
      <c r="Q1138" s="6" t="s">
        <v>3332</v>
      </c>
      <c r="R1138" s="8" t="s">
        <v>1808</v>
      </c>
      <c r="S1138" s="6"/>
    </row>
    <row r="1139" spans="1:19" ht="25.5" x14ac:dyDescent="0.25">
      <c r="A1139" s="5" t="s">
        <v>3872</v>
      </c>
      <c r="B1139" s="5">
        <v>1138</v>
      </c>
      <c r="C1139" s="6" t="s">
        <v>2944</v>
      </c>
      <c r="D1139" s="6" t="s">
        <v>4862</v>
      </c>
      <c r="E1139" s="6">
        <v>11</v>
      </c>
      <c r="F1139" s="6" t="s">
        <v>1533</v>
      </c>
      <c r="G1139" s="6">
        <v>755</v>
      </c>
      <c r="H1139" s="6" t="s">
        <v>1140</v>
      </c>
      <c r="I1139" s="6" t="s">
        <v>4864</v>
      </c>
      <c r="J1139" s="6" t="s">
        <v>4809</v>
      </c>
      <c r="K1139" s="6" t="s">
        <v>3331</v>
      </c>
      <c r="L1139" s="6">
        <v>38860586</v>
      </c>
      <c r="M1139" s="6" t="s">
        <v>1531</v>
      </c>
      <c r="N1139" s="6" t="s">
        <v>1532</v>
      </c>
      <c r="O1139" s="6" t="s">
        <v>21</v>
      </c>
      <c r="P1139" s="6" t="s">
        <v>21</v>
      </c>
      <c r="Q1139" s="6" t="s">
        <v>3332</v>
      </c>
      <c r="R1139" s="8" t="s">
        <v>1808</v>
      </c>
      <c r="S1139" s="6"/>
    </row>
    <row r="1140" spans="1:19" ht="25.5" x14ac:dyDescent="0.25">
      <c r="A1140" s="5" t="s">
        <v>3872</v>
      </c>
      <c r="B1140" s="5">
        <v>1139</v>
      </c>
      <c r="C1140" s="6" t="s">
        <v>2945</v>
      </c>
      <c r="D1140" s="6" t="s">
        <v>4862</v>
      </c>
      <c r="E1140" s="6">
        <v>5</v>
      </c>
      <c r="F1140" s="6" t="s">
        <v>1534</v>
      </c>
      <c r="G1140" s="6">
        <v>955</v>
      </c>
      <c r="H1140" s="6" t="s">
        <v>111</v>
      </c>
      <c r="I1140" s="6" t="s">
        <v>4868</v>
      </c>
      <c r="J1140" s="6" t="s">
        <v>4869</v>
      </c>
      <c r="K1140" s="6" t="s">
        <v>3331</v>
      </c>
      <c r="L1140" s="6">
        <v>16210359</v>
      </c>
      <c r="M1140" s="6" t="s">
        <v>1531</v>
      </c>
      <c r="N1140" s="6" t="s">
        <v>1535</v>
      </c>
      <c r="O1140" s="6" t="s">
        <v>21</v>
      </c>
      <c r="P1140" s="6" t="s">
        <v>21</v>
      </c>
      <c r="Q1140" s="6" t="s">
        <v>3332</v>
      </c>
      <c r="R1140" s="8" t="s">
        <v>1808</v>
      </c>
      <c r="S1140" s="6"/>
    </row>
    <row r="1141" spans="1:19" ht="25.5" x14ac:dyDescent="0.25">
      <c r="A1141" s="5" t="s">
        <v>3872</v>
      </c>
      <c r="B1141" s="5">
        <v>1140</v>
      </c>
      <c r="C1141" s="6" t="s">
        <v>2946</v>
      </c>
      <c r="D1141" s="6" t="s">
        <v>4862</v>
      </c>
      <c r="E1141" s="6">
        <v>27</v>
      </c>
      <c r="F1141" s="6" t="s">
        <v>1536</v>
      </c>
      <c r="G1141" s="6">
        <v>1073</v>
      </c>
      <c r="H1141" s="6" t="s">
        <v>703</v>
      </c>
      <c r="I1141" s="6" t="s">
        <v>4870</v>
      </c>
      <c r="J1141" s="6" t="s">
        <v>3623</v>
      </c>
      <c r="K1141" s="6" t="s">
        <v>3331</v>
      </c>
      <c r="L1141" s="6">
        <v>10089319</v>
      </c>
      <c r="M1141" s="6" t="s">
        <v>1531</v>
      </c>
      <c r="N1141" s="6" t="s">
        <v>1532</v>
      </c>
      <c r="O1141" s="6">
        <v>147</v>
      </c>
      <c r="P1141" s="6" t="s">
        <v>1537</v>
      </c>
      <c r="Q1141" s="6" t="s">
        <v>3332</v>
      </c>
      <c r="R1141" s="8" t="s">
        <v>1808</v>
      </c>
      <c r="S1141" s="6"/>
    </row>
    <row r="1142" spans="1:19" ht="25.5" x14ac:dyDescent="0.25">
      <c r="A1142" s="5" t="s">
        <v>3872</v>
      </c>
      <c r="B1142" s="5">
        <v>1141</v>
      </c>
      <c r="C1142" s="6" t="s">
        <v>2947</v>
      </c>
      <c r="D1142" s="6" t="s">
        <v>4862</v>
      </c>
      <c r="E1142" s="6">
        <v>6</v>
      </c>
      <c r="F1142" s="6" t="s">
        <v>1538</v>
      </c>
      <c r="G1142" s="6">
        <v>43</v>
      </c>
      <c r="H1142" s="6" t="s">
        <v>57</v>
      </c>
      <c r="I1142" s="6" t="s">
        <v>4762</v>
      </c>
      <c r="J1142" s="6" t="s">
        <v>4871</v>
      </c>
      <c r="K1142" s="6" t="s">
        <v>3331</v>
      </c>
      <c r="L1142" s="6">
        <v>42004058</v>
      </c>
      <c r="M1142" s="6" t="s">
        <v>858</v>
      </c>
      <c r="N1142" s="6" t="s">
        <v>1532</v>
      </c>
      <c r="O1142" s="6" t="s">
        <v>21</v>
      </c>
      <c r="P1142" s="6" t="s">
        <v>21</v>
      </c>
      <c r="Q1142" s="6" t="s">
        <v>3332</v>
      </c>
      <c r="R1142" s="8" t="s">
        <v>1808</v>
      </c>
      <c r="S1142" s="6"/>
    </row>
    <row r="1143" spans="1:19" ht="25.5" x14ac:dyDescent="0.25">
      <c r="A1143" s="5" t="s">
        <v>3872</v>
      </c>
      <c r="B1143" s="5">
        <v>1142</v>
      </c>
      <c r="C1143" s="6" t="s">
        <v>2948</v>
      </c>
      <c r="D1143" s="6" t="s">
        <v>4862</v>
      </c>
      <c r="E1143" s="6">
        <v>6</v>
      </c>
      <c r="F1143" s="6" t="s">
        <v>1538</v>
      </c>
      <c r="G1143" s="6">
        <v>43</v>
      </c>
      <c r="H1143" s="6" t="s">
        <v>57</v>
      </c>
      <c r="I1143" s="6" t="s">
        <v>4872</v>
      </c>
      <c r="J1143" s="6" t="s">
        <v>4873</v>
      </c>
      <c r="K1143" s="6" t="s">
        <v>3331</v>
      </c>
      <c r="L1143" s="6">
        <v>42088892</v>
      </c>
      <c r="M1143" s="6" t="s">
        <v>26</v>
      </c>
      <c r="N1143" s="6" t="s">
        <v>1532</v>
      </c>
      <c r="O1143" s="6" t="s">
        <v>21</v>
      </c>
      <c r="P1143" s="6" t="s">
        <v>21</v>
      </c>
      <c r="Q1143" s="6" t="s">
        <v>3332</v>
      </c>
      <c r="R1143" s="8" t="s">
        <v>1808</v>
      </c>
      <c r="S1143" s="6"/>
    </row>
    <row r="1144" spans="1:19" ht="25.5" x14ac:dyDescent="0.25">
      <c r="A1144" s="5" t="s">
        <v>3872</v>
      </c>
      <c r="B1144" s="5">
        <v>1143</v>
      </c>
      <c r="C1144" s="6" t="s">
        <v>2949</v>
      </c>
      <c r="D1144" s="6" t="s">
        <v>4862</v>
      </c>
      <c r="E1144" s="6">
        <v>6</v>
      </c>
      <c r="F1144" s="6" t="s">
        <v>1538</v>
      </c>
      <c r="G1144" s="6">
        <v>43</v>
      </c>
      <c r="H1144" s="6" t="s">
        <v>57</v>
      </c>
      <c r="I1144" s="6" t="s">
        <v>4874</v>
      </c>
      <c r="J1144" s="6" t="s">
        <v>3343</v>
      </c>
      <c r="K1144" s="6" t="s">
        <v>3331</v>
      </c>
      <c r="L1144" s="6">
        <v>30298090</v>
      </c>
      <c r="M1144" s="6" t="s">
        <v>26</v>
      </c>
      <c r="N1144" s="6" t="s">
        <v>1532</v>
      </c>
      <c r="O1144" s="6" t="s">
        <v>21</v>
      </c>
      <c r="P1144" s="6" t="s">
        <v>21</v>
      </c>
      <c r="Q1144" s="6" t="s">
        <v>3332</v>
      </c>
      <c r="R1144" s="8" t="s">
        <v>1808</v>
      </c>
      <c r="S1144" s="6"/>
    </row>
    <row r="1145" spans="1:19" ht="25.5" x14ac:dyDescent="0.25">
      <c r="A1145" s="5" t="s">
        <v>3872</v>
      </c>
      <c r="B1145" s="5">
        <v>1144</v>
      </c>
      <c r="C1145" s="6" t="s">
        <v>2950</v>
      </c>
      <c r="D1145" s="6" t="s">
        <v>4862</v>
      </c>
      <c r="E1145" s="6">
        <v>6</v>
      </c>
      <c r="F1145" s="6" t="s">
        <v>1538</v>
      </c>
      <c r="G1145" s="6">
        <v>43</v>
      </c>
      <c r="H1145" s="6" t="s">
        <v>57</v>
      </c>
      <c r="I1145" s="6" t="s">
        <v>4875</v>
      </c>
      <c r="J1145" s="6" t="s">
        <v>4876</v>
      </c>
      <c r="K1145" s="6" t="s">
        <v>3331</v>
      </c>
      <c r="L1145" s="6">
        <v>73118427</v>
      </c>
      <c r="M1145" s="6" t="s">
        <v>26</v>
      </c>
      <c r="N1145" s="6" t="s">
        <v>1532</v>
      </c>
      <c r="O1145" s="6" t="s">
        <v>21</v>
      </c>
      <c r="P1145" s="6" t="s">
        <v>21</v>
      </c>
      <c r="Q1145" s="6" t="s">
        <v>3332</v>
      </c>
      <c r="R1145" s="8" t="s">
        <v>1808</v>
      </c>
      <c r="S1145" s="6"/>
    </row>
    <row r="1146" spans="1:19" ht="25.5" x14ac:dyDescent="0.25">
      <c r="A1146" s="5" t="s">
        <v>3872</v>
      </c>
      <c r="B1146" s="5">
        <v>1145</v>
      </c>
      <c r="C1146" s="6" t="s">
        <v>2951</v>
      </c>
      <c r="D1146" s="6" t="s">
        <v>4862</v>
      </c>
      <c r="E1146" s="6">
        <v>6</v>
      </c>
      <c r="F1146" s="6" t="s">
        <v>1538</v>
      </c>
      <c r="G1146" s="6">
        <v>43</v>
      </c>
      <c r="H1146" s="6" t="s">
        <v>57</v>
      </c>
      <c r="I1146" s="6" t="s">
        <v>4877</v>
      </c>
      <c r="J1146" s="6" t="s">
        <v>4878</v>
      </c>
      <c r="K1146" s="6" t="s">
        <v>3331</v>
      </c>
      <c r="L1146" s="6">
        <v>10116114</v>
      </c>
      <c r="M1146" s="6" t="s">
        <v>26</v>
      </c>
      <c r="N1146" s="6" t="s">
        <v>1532</v>
      </c>
      <c r="O1146" s="6" t="s">
        <v>21</v>
      </c>
      <c r="P1146" s="6" t="s">
        <v>21</v>
      </c>
      <c r="Q1146" s="6" t="s">
        <v>3332</v>
      </c>
      <c r="R1146" s="8" t="s">
        <v>1808</v>
      </c>
      <c r="S1146" s="6"/>
    </row>
    <row r="1147" spans="1:19" ht="25.5" x14ac:dyDescent="0.25">
      <c r="A1147" s="5" t="s">
        <v>3872</v>
      </c>
      <c r="B1147" s="5">
        <v>1146</v>
      </c>
      <c r="C1147" s="6" t="s">
        <v>2952</v>
      </c>
      <c r="D1147" s="6" t="s">
        <v>4862</v>
      </c>
      <c r="E1147" s="6">
        <v>6</v>
      </c>
      <c r="F1147" s="6" t="s">
        <v>1538</v>
      </c>
      <c r="G1147" s="6">
        <v>43</v>
      </c>
      <c r="H1147" s="6" t="s">
        <v>57</v>
      </c>
      <c r="I1147" s="6" t="s">
        <v>4879</v>
      </c>
      <c r="J1147" s="6" t="s">
        <v>4074</v>
      </c>
      <c r="K1147" s="6" t="s">
        <v>3331</v>
      </c>
      <c r="L1147" s="6">
        <v>10109567</v>
      </c>
      <c r="M1147" s="6" t="s">
        <v>26</v>
      </c>
      <c r="N1147" s="6" t="s">
        <v>1532</v>
      </c>
      <c r="O1147" s="6" t="s">
        <v>21</v>
      </c>
      <c r="P1147" s="6" t="s">
        <v>21</v>
      </c>
      <c r="Q1147" s="6" t="s">
        <v>3332</v>
      </c>
      <c r="R1147" s="8" t="s">
        <v>1808</v>
      </c>
      <c r="S1147" s="6"/>
    </row>
    <row r="1148" spans="1:19" ht="25.5" x14ac:dyDescent="0.25">
      <c r="A1148" s="5" t="s">
        <v>3872</v>
      </c>
      <c r="B1148" s="5">
        <v>1147</v>
      </c>
      <c r="C1148" s="6" t="s">
        <v>2953</v>
      </c>
      <c r="D1148" s="6" t="s">
        <v>4862</v>
      </c>
      <c r="E1148" s="6">
        <v>6</v>
      </c>
      <c r="F1148" s="6" t="s">
        <v>1538</v>
      </c>
      <c r="G1148" s="6">
        <v>43</v>
      </c>
      <c r="H1148" s="6" t="s">
        <v>57</v>
      </c>
      <c r="I1148" s="6" t="s">
        <v>4880</v>
      </c>
      <c r="J1148" s="6" t="s">
        <v>4881</v>
      </c>
      <c r="K1148" s="6" t="s">
        <v>3331</v>
      </c>
      <c r="L1148" s="6">
        <v>10121586</v>
      </c>
      <c r="M1148" s="6" t="s">
        <v>26</v>
      </c>
      <c r="N1148" s="6" t="s">
        <v>1532</v>
      </c>
      <c r="O1148" s="6" t="s">
        <v>21</v>
      </c>
      <c r="P1148" s="6" t="s">
        <v>21</v>
      </c>
      <c r="Q1148" s="6" t="s">
        <v>3332</v>
      </c>
      <c r="R1148" s="8" t="s">
        <v>1808</v>
      </c>
      <c r="S1148" s="6"/>
    </row>
    <row r="1149" spans="1:19" ht="25.5" x14ac:dyDescent="0.25">
      <c r="A1149" s="5" t="s">
        <v>3872</v>
      </c>
      <c r="B1149" s="5">
        <v>1148</v>
      </c>
      <c r="C1149" s="6" t="s">
        <v>2954</v>
      </c>
      <c r="D1149" s="6" t="s">
        <v>4862</v>
      </c>
      <c r="E1149" s="6">
        <v>6</v>
      </c>
      <c r="F1149" s="6" t="s">
        <v>1538</v>
      </c>
      <c r="G1149" s="6">
        <v>43</v>
      </c>
      <c r="H1149" s="6" t="s">
        <v>57</v>
      </c>
      <c r="I1149" s="6" t="s">
        <v>4882</v>
      </c>
      <c r="J1149" s="6" t="s">
        <v>4883</v>
      </c>
      <c r="K1149" s="6" t="s">
        <v>3331</v>
      </c>
      <c r="L1149" s="6">
        <v>42058614</v>
      </c>
      <c r="M1149" s="6" t="s">
        <v>26</v>
      </c>
      <c r="N1149" s="6" t="s">
        <v>1532</v>
      </c>
      <c r="O1149" s="6" t="s">
        <v>21</v>
      </c>
      <c r="P1149" s="6" t="s">
        <v>21</v>
      </c>
      <c r="Q1149" s="6" t="s">
        <v>3332</v>
      </c>
      <c r="R1149" s="8" t="s">
        <v>1808</v>
      </c>
      <c r="S1149" s="6"/>
    </row>
    <row r="1150" spans="1:19" ht="25.5" x14ac:dyDescent="0.25">
      <c r="A1150" s="5" t="s">
        <v>3872</v>
      </c>
      <c r="B1150" s="5">
        <v>1149</v>
      </c>
      <c r="C1150" s="6" t="s">
        <v>2955</v>
      </c>
      <c r="D1150" s="6" t="s">
        <v>4862</v>
      </c>
      <c r="E1150" s="6">
        <v>6</v>
      </c>
      <c r="F1150" s="6" t="s">
        <v>1538</v>
      </c>
      <c r="G1150" s="6">
        <v>43</v>
      </c>
      <c r="H1150" s="6" t="s">
        <v>57</v>
      </c>
      <c r="I1150" s="6" t="s">
        <v>4884</v>
      </c>
      <c r="J1150" s="6" t="s">
        <v>3655</v>
      </c>
      <c r="K1150" s="6" t="s">
        <v>3331</v>
      </c>
      <c r="L1150" s="6">
        <v>42081063</v>
      </c>
      <c r="M1150" s="6" t="s">
        <v>26</v>
      </c>
      <c r="N1150" s="6" t="s">
        <v>1532</v>
      </c>
      <c r="O1150" s="6" t="s">
        <v>21</v>
      </c>
      <c r="P1150" s="6" t="s">
        <v>21</v>
      </c>
      <c r="Q1150" s="6" t="s">
        <v>3332</v>
      </c>
      <c r="R1150" s="8" t="s">
        <v>1808</v>
      </c>
      <c r="S1150" s="6"/>
    </row>
    <row r="1151" spans="1:19" ht="25.5" x14ac:dyDescent="0.25">
      <c r="A1151" s="5" t="s">
        <v>3872</v>
      </c>
      <c r="B1151" s="5">
        <v>1150</v>
      </c>
      <c r="C1151" s="6" t="s">
        <v>2956</v>
      </c>
      <c r="D1151" s="6" t="s">
        <v>4862</v>
      </c>
      <c r="E1151" s="6">
        <v>6</v>
      </c>
      <c r="F1151" s="6" t="s">
        <v>1538</v>
      </c>
      <c r="G1151" s="6">
        <v>43</v>
      </c>
      <c r="H1151" s="6" t="s">
        <v>57</v>
      </c>
      <c r="I1151" s="6" t="s">
        <v>4885</v>
      </c>
      <c r="J1151" s="6" t="s">
        <v>4886</v>
      </c>
      <c r="K1151" s="6" t="s">
        <v>3331</v>
      </c>
      <c r="L1151" s="6">
        <v>42058751</v>
      </c>
      <c r="M1151" s="6" t="s">
        <v>26</v>
      </c>
      <c r="N1151" s="6" t="s">
        <v>1532</v>
      </c>
      <c r="O1151" s="6" t="s">
        <v>21</v>
      </c>
      <c r="P1151" s="6" t="s">
        <v>21</v>
      </c>
      <c r="Q1151" s="6" t="s">
        <v>3332</v>
      </c>
      <c r="R1151" s="8" t="s">
        <v>1808</v>
      </c>
      <c r="S1151" s="6"/>
    </row>
    <row r="1152" spans="1:19" ht="25.5" x14ac:dyDescent="0.25">
      <c r="A1152" s="5" t="s">
        <v>3872</v>
      </c>
      <c r="B1152" s="5">
        <v>1151</v>
      </c>
      <c r="C1152" s="6" t="s">
        <v>2957</v>
      </c>
      <c r="D1152" s="6" t="s">
        <v>4862</v>
      </c>
      <c r="E1152" s="6">
        <v>6</v>
      </c>
      <c r="F1152" s="6" t="s">
        <v>1538</v>
      </c>
      <c r="G1152" s="6">
        <v>43</v>
      </c>
      <c r="H1152" s="6" t="s">
        <v>57</v>
      </c>
      <c r="I1152" s="6" t="s">
        <v>4887</v>
      </c>
      <c r="J1152" s="6" t="s">
        <v>3334</v>
      </c>
      <c r="K1152" s="6" t="s">
        <v>3331</v>
      </c>
      <c r="L1152" s="6">
        <v>42057498</v>
      </c>
      <c r="M1152" s="6" t="s">
        <v>26</v>
      </c>
      <c r="N1152" s="6" t="s">
        <v>1532</v>
      </c>
      <c r="O1152" s="6" t="s">
        <v>21</v>
      </c>
      <c r="P1152" s="6" t="s">
        <v>21</v>
      </c>
      <c r="Q1152" s="6" t="s">
        <v>3332</v>
      </c>
      <c r="R1152" s="8" t="s">
        <v>1808</v>
      </c>
      <c r="S1152" s="6"/>
    </row>
    <row r="1153" spans="1:19" ht="25.5" x14ac:dyDescent="0.25">
      <c r="A1153" s="5" t="s">
        <v>3872</v>
      </c>
      <c r="B1153" s="5">
        <v>1152</v>
      </c>
      <c r="C1153" s="6" t="s">
        <v>2958</v>
      </c>
      <c r="D1153" s="6" t="s">
        <v>4862</v>
      </c>
      <c r="E1153" s="6">
        <v>6</v>
      </c>
      <c r="F1153" s="6" t="s">
        <v>1538</v>
      </c>
      <c r="G1153" s="6">
        <v>43</v>
      </c>
      <c r="H1153" s="6" t="s">
        <v>57</v>
      </c>
      <c r="I1153" s="6" t="s">
        <v>4888</v>
      </c>
      <c r="J1153" s="6" t="s">
        <v>4451</v>
      </c>
      <c r="K1153" s="6" t="s">
        <v>3331</v>
      </c>
      <c r="L1153" s="6">
        <v>42074624</v>
      </c>
      <c r="M1153" s="6" t="s">
        <v>26</v>
      </c>
      <c r="N1153" s="6" t="s">
        <v>1532</v>
      </c>
      <c r="O1153" s="6" t="s">
        <v>21</v>
      </c>
      <c r="P1153" s="6" t="s">
        <v>21</v>
      </c>
      <c r="Q1153" s="6" t="s">
        <v>3332</v>
      </c>
      <c r="R1153" s="8" t="s">
        <v>1808</v>
      </c>
      <c r="S1153" s="6"/>
    </row>
    <row r="1154" spans="1:19" ht="25.5" x14ac:dyDescent="0.25">
      <c r="A1154" s="5" t="s">
        <v>3872</v>
      </c>
      <c r="B1154" s="5">
        <v>1153</v>
      </c>
      <c r="C1154" s="6" t="s">
        <v>2959</v>
      </c>
      <c r="D1154" s="6" t="s">
        <v>4862</v>
      </c>
      <c r="E1154" s="6">
        <v>6</v>
      </c>
      <c r="F1154" s="6" t="s">
        <v>1538</v>
      </c>
      <c r="G1154" s="6">
        <v>43</v>
      </c>
      <c r="H1154" s="6" t="s">
        <v>57</v>
      </c>
      <c r="I1154" s="6" t="s">
        <v>4889</v>
      </c>
      <c r="J1154" s="6" t="s">
        <v>4692</v>
      </c>
      <c r="K1154" s="6" t="s">
        <v>3331</v>
      </c>
      <c r="L1154" s="6">
        <v>42006668</v>
      </c>
      <c r="M1154" s="6" t="s">
        <v>26</v>
      </c>
      <c r="N1154" s="6" t="s">
        <v>1532</v>
      </c>
      <c r="O1154" s="6" t="s">
        <v>21</v>
      </c>
      <c r="P1154" s="6" t="s">
        <v>21</v>
      </c>
      <c r="Q1154" s="6" t="s">
        <v>3332</v>
      </c>
      <c r="R1154" s="8" t="s">
        <v>1808</v>
      </c>
      <c r="S1154" s="6"/>
    </row>
    <row r="1155" spans="1:19" ht="25.5" x14ac:dyDescent="0.25">
      <c r="A1155" s="5" t="s">
        <v>3872</v>
      </c>
      <c r="B1155" s="5">
        <v>1154</v>
      </c>
      <c r="C1155" s="6" t="s">
        <v>2960</v>
      </c>
      <c r="D1155" s="6" t="s">
        <v>4862</v>
      </c>
      <c r="E1155" s="6">
        <v>6</v>
      </c>
      <c r="F1155" s="6" t="s">
        <v>1538</v>
      </c>
      <c r="G1155" s="6">
        <v>43</v>
      </c>
      <c r="H1155" s="6" t="s">
        <v>57</v>
      </c>
      <c r="I1155" s="6" t="s">
        <v>4890</v>
      </c>
      <c r="J1155" s="6" t="s">
        <v>4891</v>
      </c>
      <c r="K1155" s="6" t="s">
        <v>3331</v>
      </c>
      <c r="L1155" s="6">
        <v>42088539</v>
      </c>
      <c r="M1155" s="6" t="s">
        <v>26</v>
      </c>
      <c r="N1155" s="6" t="s">
        <v>1532</v>
      </c>
      <c r="O1155" s="6" t="s">
        <v>21</v>
      </c>
      <c r="P1155" s="6" t="s">
        <v>21</v>
      </c>
      <c r="Q1155" s="6" t="s">
        <v>3332</v>
      </c>
      <c r="R1155" s="8" t="s">
        <v>1808</v>
      </c>
      <c r="S1155" s="6"/>
    </row>
    <row r="1156" spans="1:19" ht="25.5" x14ac:dyDescent="0.25">
      <c r="A1156" s="5" t="s">
        <v>3872</v>
      </c>
      <c r="B1156" s="5">
        <v>1155</v>
      </c>
      <c r="C1156" s="6" t="s">
        <v>2961</v>
      </c>
      <c r="D1156" s="6" t="s">
        <v>4862</v>
      </c>
      <c r="E1156" s="6">
        <v>6</v>
      </c>
      <c r="F1156" s="6" t="s">
        <v>1538</v>
      </c>
      <c r="G1156" s="6">
        <v>43</v>
      </c>
      <c r="H1156" s="6" t="s">
        <v>57</v>
      </c>
      <c r="I1156" s="6" t="s">
        <v>4892</v>
      </c>
      <c r="J1156" s="6" t="s">
        <v>3584</v>
      </c>
      <c r="K1156" s="6" t="s">
        <v>3331</v>
      </c>
      <c r="L1156" s="6">
        <v>42087219</v>
      </c>
      <c r="M1156" s="6" t="s">
        <v>26</v>
      </c>
      <c r="N1156" s="6" t="s">
        <v>1532</v>
      </c>
      <c r="O1156" s="6" t="s">
        <v>21</v>
      </c>
      <c r="P1156" s="6" t="s">
        <v>21</v>
      </c>
      <c r="Q1156" s="6" t="s">
        <v>3332</v>
      </c>
      <c r="R1156" s="8" t="s">
        <v>1808</v>
      </c>
      <c r="S1156" s="6"/>
    </row>
    <row r="1157" spans="1:19" ht="25.5" x14ac:dyDescent="0.25">
      <c r="A1157" s="5" t="s">
        <v>3872</v>
      </c>
      <c r="B1157" s="5">
        <v>1156</v>
      </c>
      <c r="C1157" s="6" t="s">
        <v>2962</v>
      </c>
      <c r="D1157" s="6" t="s">
        <v>4862</v>
      </c>
      <c r="E1157" s="6">
        <v>6</v>
      </c>
      <c r="F1157" s="6" t="s">
        <v>1538</v>
      </c>
      <c r="G1157" s="6">
        <v>43</v>
      </c>
      <c r="H1157" s="6" t="s">
        <v>57</v>
      </c>
      <c r="I1157" s="6" t="s">
        <v>4893</v>
      </c>
      <c r="J1157" s="6" t="s">
        <v>4894</v>
      </c>
      <c r="K1157" s="6" t="s">
        <v>3331</v>
      </c>
      <c r="L1157" s="6">
        <v>42088359</v>
      </c>
      <c r="M1157" s="6" t="s">
        <v>26</v>
      </c>
      <c r="N1157" s="6" t="s">
        <v>1532</v>
      </c>
      <c r="O1157" s="6" t="s">
        <v>21</v>
      </c>
      <c r="P1157" s="6" t="s">
        <v>21</v>
      </c>
      <c r="Q1157" s="6" t="s">
        <v>3332</v>
      </c>
      <c r="R1157" s="8" t="s">
        <v>1808</v>
      </c>
      <c r="S1157" s="6"/>
    </row>
    <row r="1158" spans="1:19" ht="25.5" x14ac:dyDescent="0.25">
      <c r="A1158" s="5" t="s">
        <v>3872</v>
      </c>
      <c r="B1158" s="5">
        <v>1157</v>
      </c>
      <c r="C1158" s="6" t="s">
        <v>2963</v>
      </c>
      <c r="D1158" s="6" t="s">
        <v>4862</v>
      </c>
      <c r="E1158" s="6">
        <v>6</v>
      </c>
      <c r="F1158" s="6" t="s">
        <v>1538</v>
      </c>
      <c r="G1158" s="6">
        <v>43</v>
      </c>
      <c r="H1158" s="6" t="s">
        <v>57</v>
      </c>
      <c r="I1158" s="6" t="s">
        <v>4895</v>
      </c>
      <c r="J1158" s="6" t="s">
        <v>3353</v>
      </c>
      <c r="K1158" s="6" t="s">
        <v>3331</v>
      </c>
      <c r="L1158" s="6">
        <v>42097386</v>
      </c>
      <c r="M1158" s="6" t="s">
        <v>26</v>
      </c>
      <c r="N1158" s="6" t="s">
        <v>1532</v>
      </c>
      <c r="O1158" s="6" t="s">
        <v>21</v>
      </c>
      <c r="P1158" s="6" t="s">
        <v>21</v>
      </c>
      <c r="Q1158" s="6" t="s">
        <v>3332</v>
      </c>
      <c r="R1158" s="8" t="s">
        <v>1808</v>
      </c>
      <c r="S1158" s="6"/>
    </row>
    <row r="1159" spans="1:19" ht="25.5" x14ac:dyDescent="0.25">
      <c r="A1159" s="5" t="s">
        <v>3872</v>
      </c>
      <c r="B1159" s="5">
        <v>1158</v>
      </c>
      <c r="C1159" s="6" t="s">
        <v>2964</v>
      </c>
      <c r="D1159" s="6" t="s">
        <v>4862</v>
      </c>
      <c r="E1159" s="6">
        <v>6</v>
      </c>
      <c r="F1159" s="6" t="s">
        <v>1538</v>
      </c>
      <c r="G1159" s="6">
        <v>43</v>
      </c>
      <c r="H1159" s="6" t="s">
        <v>57</v>
      </c>
      <c r="I1159" s="6" t="s">
        <v>4896</v>
      </c>
      <c r="J1159" s="6" t="s">
        <v>4897</v>
      </c>
      <c r="K1159" s="6" t="s">
        <v>3331</v>
      </c>
      <c r="L1159" s="6">
        <v>25162585</v>
      </c>
      <c r="M1159" s="6" t="s">
        <v>26</v>
      </c>
      <c r="N1159" s="6" t="s">
        <v>1532</v>
      </c>
      <c r="O1159" s="6" t="s">
        <v>21</v>
      </c>
      <c r="P1159" s="6" t="s">
        <v>21</v>
      </c>
      <c r="Q1159" s="6" t="s">
        <v>3332</v>
      </c>
      <c r="R1159" s="8" t="s">
        <v>1808</v>
      </c>
      <c r="S1159" s="6"/>
    </row>
    <row r="1160" spans="1:19" ht="25.5" x14ac:dyDescent="0.25">
      <c r="A1160" s="5" t="s">
        <v>3872</v>
      </c>
      <c r="B1160" s="5">
        <v>1159</v>
      </c>
      <c r="C1160" s="6" t="s">
        <v>2965</v>
      </c>
      <c r="D1160" s="6" t="s">
        <v>4862</v>
      </c>
      <c r="E1160" s="6">
        <v>6</v>
      </c>
      <c r="F1160" s="6" t="s">
        <v>1538</v>
      </c>
      <c r="G1160" s="6">
        <v>43</v>
      </c>
      <c r="H1160" s="6" t="s">
        <v>57</v>
      </c>
      <c r="I1160" s="6" t="s">
        <v>4898</v>
      </c>
      <c r="J1160" s="6" t="s">
        <v>3733</v>
      </c>
      <c r="K1160" s="6" t="s">
        <v>3331</v>
      </c>
      <c r="L1160" s="6">
        <v>42054083</v>
      </c>
      <c r="M1160" s="6" t="s">
        <v>26</v>
      </c>
      <c r="N1160" s="6" t="s">
        <v>1532</v>
      </c>
      <c r="O1160" s="6" t="s">
        <v>21</v>
      </c>
      <c r="P1160" s="6" t="s">
        <v>21</v>
      </c>
      <c r="Q1160" s="6" t="s">
        <v>3332</v>
      </c>
      <c r="R1160" s="8" t="s">
        <v>1808</v>
      </c>
      <c r="S1160" s="6"/>
    </row>
    <row r="1161" spans="1:19" ht="25.5" x14ac:dyDescent="0.25">
      <c r="A1161" s="5" t="s">
        <v>3872</v>
      </c>
      <c r="B1161" s="5">
        <v>1160</v>
      </c>
      <c r="C1161" s="6" t="s">
        <v>2966</v>
      </c>
      <c r="D1161" s="6" t="s">
        <v>4862</v>
      </c>
      <c r="E1161" s="6">
        <v>6</v>
      </c>
      <c r="F1161" s="6" t="s">
        <v>1538</v>
      </c>
      <c r="G1161" s="6">
        <v>43</v>
      </c>
      <c r="H1161" s="6" t="s">
        <v>57</v>
      </c>
      <c r="I1161" s="6" t="s">
        <v>4899</v>
      </c>
      <c r="J1161" s="6" t="s">
        <v>4148</v>
      </c>
      <c r="K1161" s="6" t="s">
        <v>3331</v>
      </c>
      <c r="L1161" s="6">
        <v>42088972</v>
      </c>
      <c r="M1161" s="6" t="s">
        <v>26</v>
      </c>
      <c r="N1161" s="6" t="s">
        <v>1532</v>
      </c>
      <c r="O1161" s="6" t="s">
        <v>21</v>
      </c>
      <c r="P1161" s="6" t="s">
        <v>21</v>
      </c>
      <c r="Q1161" s="6" t="s">
        <v>3332</v>
      </c>
      <c r="R1161" s="8" t="s">
        <v>1808</v>
      </c>
      <c r="S1161" s="6"/>
    </row>
    <row r="1162" spans="1:19" ht="25.5" x14ac:dyDescent="0.25">
      <c r="A1162" s="5" t="s">
        <v>3872</v>
      </c>
      <c r="B1162" s="5">
        <v>1161</v>
      </c>
      <c r="C1162" s="6" t="s">
        <v>2967</v>
      </c>
      <c r="D1162" s="6" t="s">
        <v>4862</v>
      </c>
      <c r="E1162" s="6">
        <v>6</v>
      </c>
      <c r="F1162" s="6" t="s">
        <v>1538</v>
      </c>
      <c r="G1162" s="6">
        <v>43</v>
      </c>
      <c r="H1162" s="6" t="s">
        <v>57</v>
      </c>
      <c r="I1162" s="6" t="s">
        <v>4900</v>
      </c>
      <c r="J1162" s="6" t="s">
        <v>3452</v>
      </c>
      <c r="K1162" s="6" t="s">
        <v>3331</v>
      </c>
      <c r="L1162" s="6">
        <v>42093061</v>
      </c>
      <c r="M1162" s="6" t="s">
        <v>26</v>
      </c>
      <c r="N1162" s="6" t="s">
        <v>1532</v>
      </c>
      <c r="O1162" s="6" t="s">
        <v>21</v>
      </c>
      <c r="P1162" s="6" t="s">
        <v>21</v>
      </c>
      <c r="Q1162" s="6" t="s">
        <v>3332</v>
      </c>
      <c r="R1162" s="8" t="s">
        <v>1808</v>
      </c>
      <c r="S1162" s="6"/>
    </row>
    <row r="1163" spans="1:19" ht="25.5" x14ac:dyDescent="0.25">
      <c r="A1163" s="5" t="s">
        <v>3872</v>
      </c>
      <c r="B1163" s="5">
        <v>1162</v>
      </c>
      <c r="C1163" s="6" t="s">
        <v>2968</v>
      </c>
      <c r="D1163" s="6" t="s">
        <v>4862</v>
      </c>
      <c r="E1163" s="6">
        <v>6</v>
      </c>
      <c r="F1163" s="6" t="s">
        <v>1538</v>
      </c>
      <c r="G1163" s="6">
        <v>43</v>
      </c>
      <c r="H1163" s="6" t="s">
        <v>57</v>
      </c>
      <c r="I1163" s="6" t="s">
        <v>4901</v>
      </c>
      <c r="J1163" s="6" t="s">
        <v>4902</v>
      </c>
      <c r="K1163" s="6" t="s">
        <v>3331</v>
      </c>
      <c r="L1163" s="6">
        <v>42062633</v>
      </c>
      <c r="M1163" s="6" t="s">
        <v>26</v>
      </c>
      <c r="N1163" s="6" t="s">
        <v>1532</v>
      </c>
      <c r="O1163" s="6" t="s">
        <v>21</v>
      </c>
      <c r="P1163" s="6" t="s">
        <v>21</v>
      </c>
      <c r="Q1163" s="6" t="s">
        <v>3332</v>
      </c>
      <c r="R1163" s="8" t="s">
        <v>1808</v>
      </c>
      <c r="S1163" s="6"/>
    </row>
    <row r="1164" spans="1:19" ht="25.5" x14ac:dyDescent="0.25">
      <c r="A1164" s="5" t="s">
        <v>3872</v>
      </c>
      <c r="B1164" s="5">
        <v>1163</v>
      </c>
      <c r="C1164" s="6" t="s">
        <v>2969</v>
      </c>
      <c r="D1164" s="6" t="s">
        <v>4862</v>
      </c>
      <c r="E1164" s="6">
        <v>6</v>
      </c>
      <c r="F1164" s="6" t="s">
        <v>1538</v>
      </c>
      <c r="G1164" s="6">
        <v>43</v>
      </c>
      <c r="H1164" s="6" t="s">
        <v>57</v>
      </c>
      <c r="I1164" s="6" t="s">
        <v>4903</v>
      </c>
      <c r="J1164" s="6" t="s">
        <v>4871</v>
      </c>
      <c r="K1164" s="6" t="s">
        <v>3331</v>
      </c>
      <c r="L1164" s="6">
        <v>42088125</v>
      </c>
      <c r="M1164" s="6" t="s">
        <v>26</v>
      </c>
      <c r="N1164" s="6" t="s">
        <v>1532</v>
      </c>
      <c r="O1164" s="6" t="s">
        <v>21</v>
      </c>
      <c r="P1164" s="6" t="s">
        <v>21</v>
      </c>
      <c r="Q1164" s="6" t="s">
        <v>3332</v>
      </c>
      <c r="R1164" s="8" t="s">
        <v>1808</v>
      </c>
      <c r="S1164" s="6"/>
    </row>
    <row r="1165" spans="1:19" ht="25.5" x14ac:dyDescent="0.25">
      <c r="A1165" s="5" t="s">
        <v>3872</v>
      </c>
      <c r="B1165" s="5">
        <v>1164</v>
      </c>
      <c r="C1165" s="6" t="s">
        <v>2970</v>
      </c>
      <c r="D1165" s="6" t="s">
        <v>4862</v>
      </c>
      <c r="E1165" s="6">
        <v>6</v>
      </c>
      <c r="F1165" s="6" t="s">
        <v>1538</v>
      </c>
      <c r="G1165" s="6">
        <v>43</v>
      </c>
      <c r="H1165" s="6" t="s">
        <v>57</v>
      </c>
      <c r="I1165" s="6" t="s">
        <v>4904</v>
      </c>
      <c r="J1165" s="6" t="s">
        <v>4905</v>
      </c>
      <c r="K1165" s="6" t="s">
        <v>3331</v>
      </c>
      <c r="L1165" s="6">
        <v>42067477</v>
      </c>
      <c r="M1165" s="6" t="s">
        <v>26</v>
      </c>
      <c r="N1165" s="6" t="s">
        <v>1532</v>
      </c>
      <c r="O1165" s="6" t="s">
        <v>21</v>
      </c>
      <c r="P1165" s="6" t="s">
        <v>21</v>
      </c>
      <c r="Q1165" s="6" t="s">
        <v>3332</v>
      </c>
      <c r="R1165" s="8" t="s">
        <v>1808</v>
      </c>
      <c r="S1165" s="6"/>
    </row>
    <row r="1166" spans="1:19" ht="25.5" x14ac:dyDescent="0.25">
      <c r="A1166" s="5" t="s">
        <v>3872</v>
      </c>
      <c r="B1166" s="5">
        <v>1165</v>
      </c>
      <c r="C1166" s="6" t="s">
        <v>2971</v>
      </c>
      <c r="D1166" s="6" t="s">
        <v>4862</v>
      </c>
      <c r="E1166" s="6">
        <v>6</v>
      </c>
      <c r="F1166" s="6" t="s">
        <v>1538</v>
      </c>
      <c r="G1166" s="6">
        <v>43</v>
      </c>
      <c r="H1166" s="6" t="s">
        <v>57</v>
      </c>
      <c r="I1166" s="6" t="s">
        <v>4906</v>
      </c>
      <c r="J1166" s="6" t="s">
        <v>4907</v>
      </c>
      <c r="K1166" s="6" t="s">
        <v>3331</v>
      </c>
      <c r="L1166" s="6">
        <v>10126340</v>
      </c>
      <c r="M1166" s="6" t="s">
        <v>26</v>
      </c>
      <c r="N1166" s="6" t="s">
        <v>1532</v>
      </c>
      <c r="O1166" s="6" t="s">
        <v>21</v>
      </c>
      <c r="P1166" s="6" t="s">
        <v>21</v>
      </c>
      <c r="Q1166" s="6" t="s">
        <v>3332</v>
      </c>
      <c r="R1166" s="8" t="s">
        <v>1808</v>
      </c>
      <c r="S1166" s="6"/>
    </row>
    <row r="1167" spans="1:19" ht="25.5" x14ac:dyDescent="0.25">
      <c r="A1167" s="5" t="s">
        <v>3872</v>
      </c>
      <c r="B1167" s="5">
        <v>1166</v>
      </c>
      <c r="C1167" s="6" t="s">
        <v>2972</v>
      </c>
      <c r="D1167" s="6" t="s">
        <v>4862</v>
      </c>
      <c r="E1167" s="6">
        <v>6</v>
      </c>
      <c r="F1167" s="6" t="s">
        <v>1538</v>
      </c>
      <c r="G1167" s="6">
        <v>43</v>
      </c>
      <c r="H1167" s="6" t="s">
        <v>57</v>
      </c>
      <c r="I1167" s="6" t="s">
        <v>4908</v>
      </c>
      <c r="J1167" s="6" t="s">
        <v>4909</v>
      </c>
      <c r="K1167" s="6" t="s">
        <v>3331</v>
      </c>
      <c r="L1167" s="6">
        <v>42004304</v>
      </c>
      <c r="M1167" s="6" t="s">
        <v>26</v>
      </c>
      <c r="N1167" s="6" t="s">
        <v>1532</v>
      </c>
      <c r="O1167" s="6" t="s">
        <v>21</v>
      </c>
      <c r="P1167" s="6" t="s">
        <v>21</v>
      </c>
      <c r="Q1167" s="6" t="s">
        <v>3332</v>
      </c>
      <c r="R1167" s="8" t="s">
        <v>1808</v>
      </c>
      <c r="S1167" s="6"/>
    </row>
    <row r="1168" spans="1:19" ht="25.5" x14ac:dyDescent="0.25">
      <c r="A1168" s="5" t="s">
        <v>3872</v>
      </c>
      <c r="B1168" s="5">
        <v>1167</v>
      </c>
      <c r="C1168" s="6" t="s">
        <v>2973</v>
      </c>
      <c r="D1168" s="6" t="s">
        <v>4862</v>
      </c>
      <c r="E1168" s="6">
        <v>6</v>
      </c>
      <c r="F1168" s="6" t="s">
        <v>1538</v>
      </c>
      <c r="G1168" s="6">
        <v>43</v>
      </c>
      <c r="H1168" s="6" t="s">
        <v>57</v>
      </c>
      <c r="I1168" s="6" t="s">
        <v>4910</v>
      </c>
      <c r="J1168" s="6" t="s">
        <v>4911</v>
      </c>
      <c r="K1168" s="6" t="s">
        <v>3331</v>
      </c>
      <c r="L1168" s="6">
        <v>42066678</v>
      </c>
      <c r="M1168" s="6" t="s">
        <v>26</v>
      </c>
      <c r="N1168" s="6" t="s">
        <v>1532</v>
      </c>
      <c r="O1168" s="6" t="s">
        <v>21</v>
      </c>
      <c r="P1168" s="6" t="s">
        <v>21</v>
      </c>
      <c r="Q1168" s="6" t="s">
        <v>3332</v>
      </c>
      <c r="R1168" s="8" t="s">
        <v>1808</v>
      </c>
      <c r="S1168" s="6"/>
    </row>
    <row r="1169" spans="1:19" ht="25.5" x14ac:dyDescent="0.25">
      <c r="A1169" s="5" t="s">
        <v>3872</v>
      </c>
      <c r="B1169" s="5">
        <v>1168</v>
      </c>
      <c r="C1169" s="6" t="s">
        <v>2974</v>
      </c>
      <c r="D1169" s="6" t="s">
        <v>4862</v>
      </c>
      <c r="E1169" s="6">
        <v>2</v>
      </c>
      <c r="F1169" s="6" t="s">
        <v>1539</v>
      </c>
      <c r="G1169" s="6">
        <v>43</v>
      </c>
      <c r="H1169" s="6" t="s">
        <v>57</v>
      </c>
      <c r="I1169" s="6" t="s">
        <v>4912</v>
      </c>
      <c r="J1169" s="6" t="s">
        <v>4048</v>
      </c>
      <c r="K1169" s="6" t="s">
        <v>3331</v>
      </c>
      <c r="L1169" s="6">
        <v>10131801</v>
      </c>
      <c r="M1169" s="6" t="s">
        <v>26</v>
      </c>
      <c r="N1169" s="6" t="s">
        <v>1532</v>
      </c>
      <c r="O1169" s="6" t="s">
        <v>21</v>
      </c>
      <c r="P1169" s="6" t="s">
        <v>21</v>
      </c>
      <c r="Q1169" s="6" t="s">
        <v>3332</v>
      </c>
      <c r="R1169" s="8" t="s">
        <v>1808</v>
      </c>
      <c r="S1169" s="6"/>
    </row>
    <row r="1170" spans="1:19" ht="25.5" x14ac:dyDescent="0.25">
      <c r="A1170" s="5" t="s">
        <v>3872</v>
      </c>
      <c r="B1170" s="5">
        <v>1169</v>
      </c>
      <c r="C1170" s="6" t="s">
        <v>2975</v>
      </c>
      <c r="D1170" s="6" t="s">
        <v>4862</v>
      </c>
      <c r="E1170" s="6">
        <v>2</v>
      </c>
      <c r="F1170" s="6" t="s">
        <v>1539</v>
      </c>
      <c r="G1170" s="6">
        <v>43</v>
      </c>
      <c r="H1170" s="6" t="s">
        <v>57</v>
      </c>
      <c r="I1170" s="6" t="s">
        <v>4913</v>
      </c>
      <c r="J1170" s="6" t="s">
        <v>4914</v>
      </c>
      <c r="K1170" s="6" t="s">
        <v>3331</v>
      </c>
      <c r="L1170" s="6">
        <v>18505272</v>
      </c>
      <c r="M1170" s="6" t="s">
        <v>26</v>
      </c>
      <c r="N1170" s="6" t="s">
        <v>1532</v>
      </c>
      <c r="O1170" s="6" t="s">
        <v>21</v>
      </c>
      <c r="P1170" s="6" t="s">
        <v>21</v>
      </c>
      <c r="Q1170" s="6" t="s">
        <v>3332</v>
      </c>
      <c r="R1170" s="8" t="s">
        <v>1808</v>
      </c>
      <c r="S1170" s="6"/>
    </row>
    <row r="1171" spans="1:19" ht="25.5" x14ac:dyDescent="0.25">
      <c r="A1171" s="5" t="s">
        <v>3872</v>
      </c>
      <c r="B1171" s="5">
        <v>1170</v>
      </c>
      <c r="C1171" s="6" t="s">
        <v>2976</v>
      </c>
      <c r="D1171" s="6" t="s">
        <v>4862</v>
      </c>
      <c r="E1171" s="6">
        <v>2</v>
      </c>
      <c r="F1171" s="6" t="s">
        <v>1539</v>
      </c>
      <c r="G1171" s="6">
        <v>43</v>
      </c>
      <c r="H1171" s="6" t="s">
        <v>57</v>
      </c>
      <c r="I1171" s="6" t="s">
        <v>4915</v>
      </c>
      <c r="J1171" s="6" t="s">
        <v>4916</v>
      </c>
      <c r="K1171" s="6" t="s">
        <v>3331</v>
      </c>
      <c r="L1171" s="6">
        <v>10116607</v>
      </c>
      <c r="M1171" s="6" t="s">
        <v>26</v>
      </c>
      <c r="N1171" s="6" t="s">
        <v>1532</v>
      </c>
      <c r="O1171" s="6" t="s">
        <v>21</v>
      </c>
      <c r="P1171" s="6" t="s">
        <v>21</v>
      </c>
      <c r="Q1171" s="6" t="s">
        <v>3332</v>
      </c>
      <c r="R1171" s="8" t="s">
        <v>1808</v>
      </c>
      <c r="S1171" s="6"/>
    </row>
    <row r="1172" spans="1:19" ht="25.5" x14ac:dyDescent="0.25">
      <c r="A1172" s="5" t="s">
        <v>3872</v>
      </c>
      <c r="B1172" s="5">
        <v>1171</v>
      </c>
      <c r="C1172" s="6" t="s">
        <v>2977</v>
      </c>
      <c r="D1172" s="6" t="s">
        <v>4862</v>
      </c>
      <c r="E1172" s="6">
        <v>2</v>
      </c>
      <c r="F1172" s="6" t="s">
        <v>1539</v>
      </c>
      <c r="G1172" s="6">
        <v>43</v>
      </c>
      <c r="H1172" s="6" t="s">
        <v>57</v>
      </c>
      <c r="I1172" s="6" t="s">
        <v>4917</v>
      </c>
      <c r="J1172" s="6" t="s">
        <v>4048</v>
      </c>
      <c r="K1172" s="6" t="s">
        <v>3331</v>
      </c>
      <c r="L1172" s="6">
        <v>18506868</v>
      </c>
      <c r="M1172" s="6" t="s">
        <v>26</v>
      </c>
      <c r="N1172" s="6" t="s">
        <v>1532</v>
      </c>
      <c r="O1172" s="6" t="s">
        <v>21</v>
      </c>
      <c r="P1172" s="6" t="s">
        <v>21</v>
      </c>
      <c r="Q1172" s="6" t="s">
        <v>3332</v>
      </c>
      <c r="R1172" s="8" t="s">
        <v>1808</v>
      </c>
      <c r="S1172" s="6"/>
    </row>
    <row r="1173" spans="1:19" ht="25.5" x14ac:dyDescent="0.25">
      <c r="A1173" s="5" t="s">
        <v>3872</v>
      </c>
      <c r="B1173" s="5">
        <v>1172</v>
      </c>
      <c r="C1173" s="6" t="s">
        <v>2978</v>
      </c>
      <c r="D1173" s="6" t="s">
        <v>4862</v>
      </c>
      <c r="E1173" s="6">
        <v>2</v>
      </c>
      <c r="F1173" s="6" t="s">
        <v>1539</v>
      </c>
      <c r="G1173" s="6">
        <v>43</v>
      </c>
      <c r="H1173" s="6" t="s">
        <v>57</v>
      </c>
      <c r="I1173" s="6" t="s">
        <v>4918</v>
      </c>
      <c r="J1173" s="6" t="s">
        <v>4919</v>
      </c>
      <c r="K1173" s="6" t="s">
        <v>3331</v>
      </c>
      <c r="L1173" s="6">
        <v>42105323</v>
      </c>
      <c r="M1173" s="6" t="s">
        <v>26</v>
      </c>
      <c r="N1173" s="6" t="s">
        <v>1532</v>
      </c>
      <c r="O1173" s="6" t="s">
        <v>21</v>
      </c>
      <c r="P1173" s="6" t="s">
        <v>21</v>
      </c>
      <c r="Q1173" s="6" t="s">
        <v>3332</v>
      </c>
      <c r="R1173" s="8" t="s">
        <v>1808</v>
      </c>
      <c r="S1173" s="6"/>
    </row>
    <row r="1174" spans="1:19" ht="25.5" x14ac:dyDescent="0.25">
      <c r="A1174" s="5" t="s">
        <v>3872</v>
      </c>
      <c r="B1174" s="5">
        <v>1173</v>
      </c>
      <c r="C1174" s="6" t="s">
        <v>2979</v>
      </c>
      <c r="D1174" s="6" t="s">
        <v>4862</v>
      </c>
      <c r="E1174" s="6">
        <v>2</v>
      </c>
      <c r="F1174" s="6" t="s">
        <v>1539</v>
      </c>
      <c r="G1174" s="6">
        <v>43</v>
      </c>
      <c r="H1174" s="6" t="s">
        <v>57</v>
      </c>
      <c r="I1174" s="6" t="s">
        <v>4920</v>
      </c>
      <c r="J1174" s="6" t="s">
        <v>4921</v>
      </c>
      <c r="K1174" s="6" t="s">
        <v>3331</v>
      </c>
      <c r="L1174" s="6">
        <v>42025289</v>
      </c>
      <c r="M1174" s="6" t="s">
        <v>26</v>
      </c>
      <c r="N1174" s="6" t="s">
        <v>1532</v>
      </c>
      <c r="O1174" s="6" t="s">
        <v>21</v>
      </c>
      <c r="P1174" s="6" t="s">
        <v>21</v>
      </c>
      <c r="Q1174" s="6" t="s">
        <v>3332</v>
      </c>
      <c r="R1174" s="8" t="s">
        <v>1808</v>
      </c>
      <c r="S1174" s="6"/>
    </row>
    <row r="1175" spans="1:19" ht="25.5" x14ac:dyDescent="0.25">
      <c r="A1175" s="5" t="s">
        <v>3872</v>
      </c>
      <c r="B1175" s="5">
        <v>1174</v>
      </c>
      <c r="C1175" s="6" t="s">
        <v>2980</v>
      </c>
      <c r="D1175" s="6" t="s">
        <v>4862</v>
      </c>
      <c r="E1175" s="6">
        <v>2</v>
      </c>
      <c r="F1175" s="6" t="s">
        <v>1539</v>
      </c>
      <c r="G1175" s="6">
        <v>43</v>
      </c>
      <c r="H1175" s="6" t="s">
        <v>57</v>
      </c>
      <c r="I1175" s="6" t="s">
        <v>4922</v>
      </c>
      <c r="J1175" s="6" t="s">
        <v>4923</v>
      </c>
      <c r="K1175" s="6" t="s">
        <v>3331</v>
      </c>
      <c r="L1175" s="6">
        <v>25160486</v>
      </c>
      <c r="M1175" s="6" t="s">
        <v>26</v>
      </c>
      <c r="N1175" s="6" t="s">
        <v>1532</v>
      </c>
      <c r="O1175" s="6" t="s">
        <v>21</v>
      </c>
      <c r="P1175" s="6" t="s">
        <v>21</v>
      </c>
      <c r="Q1175" s="6" t="s">
        <v>3332</v>
      </c>
      <c r="R1175" s="8" t="s">
        <v>1808</v>
      </c>
      <c r="S1175" s="6"/>
    </row>
    <row r="1176" spans="1:19" ht="25.5" x14ac:dyDescent="0.25">
      <c r="A1176" s="5" t="s">
        <v>3872</v>
      </c>
      <c r="B1176" s="5">
        <v>1175</v>
      </c>
      <c r="C1176" s="6" t="s">
        <v>2981</v>
      </c>
      <c r="D1176" s="6" t="s">
        <v>4862</v>
      </c>
      <c r="E1176" s="6">
        <v>5</v>
      </c>
      <c r="F1176" s="6" t="s">
        <v>1540</v>
      </c>
      <c r="G1176" s="6">
        <v>96</v>
      </c>
      <c r="H1176" s="6" t="s">
        <v>64</v>
      </c>
      <c r="I1176" s="6" t="s">
        <v>4924</v>
      </c>
      <c r="J1176" s="6" t="s">
        <v>4925</v>
      </c>
      <c r="K1176" s="6" t="s">
        <v>3331</v>
      </c>
      <c r="L1176" s="6">
        <v>25035852</v>
      </c>
      <c r="M1176" s="6" t="s">
        <v>26</v>
      </c>
      <c r="N1176" s="6" t="s">
        <v>1532</v>
      </c>
      <c r="O1176" s="6" t="s">
        <v>21</v>
      </c>
      <c r="P1176" s="6" t="s">
        <v>21</v>
      </c>
      <c r="Q1176" s="6" t="s">
        <v>3332</v>
      </c>
      <c r="R1176" s="8" t="s">
        <v>1808</v>
      </c>
      <c r="S1176" s="6"/>
    </row>
    <row r="1177" spans="1:19" ht="25.5" x14ac:dyDescent="0.25">
      <c r="A1177" s="5" t="s">
        <v>3872</v>
      </c>
      <c r="B1177" s="5">
        <v>1176</v>
      </c>
      <c r="C1177" s="6" t="s">
        <v>2982</v>
      </c>
      <c r="D1177" s="6" t="s">
        <v>4862</v>
      </c>
      <c r="E1177" s="6">
        <v>5</v>
      </c>
      <c r="F1177" s="6" t="s">
        <v>1540</v>
      </c>
      <c r="G1177" s="6">
        <v>96</v>
      </c>
      <c r="H1177" s="6" t="s">
        <v>64</v>
      </c>
      <c r="I1177" s="6" t="s">
        <v>4926</v>
      </c>
      <c r="J1177" s="6" t="s">
        <v>3745</v>
      </c>
      <c r="K1177" s="6" t="s">
        <v>3331</v>
      </c>
      <c r="L1177" s="6">
        <v>16221197</v>
      </c>
      <c r="M1177" s="6" t="s">
        <v>26</v>
      </c>
      <c r="N1177" s="6" t="s">
        <v>1532</v>
      </c>
      <c r="O1177" s="6" t="s">
        <v>21</v>
      </c>
      <c r="P1177" s="6" t="s">
        <v>21</v>
      </c>
      <c r="Q1177" s="6" t="s">
        <v>3332</v>
      </c>
      <c r="R1177" s="8" t="s">
        <v>1808</v>
      </c>
      <c r="S1177" s="6"/>
    </row>
    <row r="1178" spans="1:19" ht="25.5" x14ac:dyDescent="0.25">
      <c r="A1178" s="5" t="s">
        <v>3872</v>
      </c>
      <c r="B1178" s="5">
        <v>1177</v>
      </c>
      <c r="C1178" s="6" t="s">
        <v>2983</v>
      </c>
      <c r="D1178" s="6" t="s">
        <v>4862</v>
      </c>
      <c r="E1178" s="6">
        <v>5</v>
      </c>
      <c r="F1178" s="6" t="s">
        <v>1540</v>
      </c>
      <c r="G1178" s="6">
        <v>96</v>
      </c>
      <c r="H1178" s="6" t="s">
        <v>64</v>
      </c>
      <c r="I1178" s="6" t="s">
        <v>4927</v>
      </c>
      <c r="J1178" s="6" t="s">
        <v>3576</v>
      </c>
      <c r="K1178" s="6" t="s">
        <v>3331</v>
      </c>
      <c r="L1178" s="6">
        <v>18594692</v>
      </c>
      <c r="M1178" s="6" t="s">
        <v>26</v>
      </c>
      <c r="N1178" s="6" t="s">
        <v>1532</v>
      </c>
      <c r="O1178" s="6" t="s">
        <v>21</v>
      </c>
      <c r="P1178" s="6" t="s">
        <v>21</v>
      </c>
      <c r="Q1178" s="6" t="s">
        <v>3332</v>
      </c>
      <c r="R1178" s="8" t="s">
        <v>1808</v>
      </c>
      <c r="S1178" s="6"/>
    </row>
    <row r="1179" spans="1:19" ht="25.5" x14ac:dyDescent="0.25">
      <c r="A1179" s="5" t="s">
        <v>3872</v>
      </c>
      <c r="B1179" s="5">
        <v>1178</v>
      </c>
      <c r="C1179" s="6" t="s">
        <v>2984</v>
      </c>
      <c r="D1179" s="6" t="s">
        <v>4862</v>
      </c>
      <c r="E1179" s="6">
        <v>6</v>
      </c>
      <c r="F1179" s="6" t="s">
        <v>60</v>
      </c>
      <c r="G1179" s="6">
        <v>96</v>
      </c>
      <c r="H1179" s="6" t="s">
        <v>64</v>
      </c>
      <c r="I1179" s="6" t="s">
        <v>4928</v>
      </c>
      <c r="J1179" s="6" t="s">
        <v>4062</v>
      </c>
      <c r="K1179" s="6" t="s">
        <v>3331</v>
      </c>
      <c r="L1179" s="6">
        <v>10115586</v>
      </c>
      <c r="M1179" s="6" t="s">
        <v>26</v>
      </c>
      <c r="N1179" s="6" t="s">
        <v>1532</v>
      </c>
      <c r="O1179" s="6" t="s">
        <v>21</v>
      </c>
      <c r="P1179" s="6" t="s">
        <v>21</v>
      </c>
      <c r="Q1179" s="6" t="s">
        <v>3332</v>
      </c>
      <c r="R1179" s="8" t="s">
        <v>1808</v>
      </c>
      <c r="S1179" s="6"/>
    </row>
    <row r="1180" spans="1:19" ht="25.5" x14ac:dyDescent="0.25">
      <c r="A1180" s="5" t="s">
        <v>3872</v>
      </c>
      <c r="B1180" s="5">
        <v>1179</v>
      </c>
      <c r="C1180" s="6" t="s">
        <v>2985</v>
      </c>
      <c r="D1180" s="6" t="s">
        <v>4862</v>
      </c>
      <c r="E1180" s="6">
        <v>10</v>
      </c>
      <c r="F1180" s="6" t="s">
        <v>1541</v>
      </c>
      <c r="G1180" s="6">
        <v>165</v>
      </c>
      <c r="H1180" s="6" t="s">
        <v>1115</v>
      </c>
      <c r="I1180" s="6" t="s">
        <v>4929</v>
      </c>
      <c r="J1180" s="6" t="s">
        <v>4930</v>
      </c>
      <c r="K1180" s="6" t="s">
        <v>3331</v>
      </c>
      <c r="L1180" s="6">
        <v>16222811</v>
      </c>
      <c r="M1180" s="6" t="s">
        <v>26</v>
      </c>
      <c r="N1180" s="6" t="s">
        <v>1532</v>
      </c>
      <c r="O1180" s="6" t="s">
        <v>21</v>
      </c>
      <c r="P1180" s="6" t="s">
        <v>21</v>
      </c>
      <c r="Q1180" s="6" t="s">
        <v>3332</v>
      </c>
      <c r="R1180" s="8" t="s">
        <v>1808</v>
      </c>
      <c r="S1180" s="6"/>
    </row>
    <row r="1181" spans="1:19" ht="25.5" x14ac:dyDescent="0.25">
      <c r="A1181" s="5" t="s">
        <v>3872</v>
      </c>
      <c r="B1181" s="5">
        <v>1180</v>
      </c>
      <c r="C1181" s="6" t="s">
        <v>2986</v>
      </c>
      <c r="D1181" s="6" t="s">
        <v>4862</v>
      </c>
      <c r="E1181" s="6">
        <v>10</v>
      </c>
      <c r="F1181" s="6" t="s">
        <v>1541</v>
      </c>
      <c r="G1181" s="6">
        <v>165</v>
      </c>
      <c r="H1181" s="6" t="s">
        <v>1115</v>
      </c>
      <c r="I1181" s="6" t="s">
        <v>4931</v>
      </c>
      <c r="J1181" s="6" t="s">
        <v>4932</v>
      </c>
      <c r="K1181" s="6" t="s">
        <v>3331</v>
      </c>
      <c r="L1181" s="6">
        <v>10198023</v>
      </c>
      <c r="M1181" s="6" t="s">
        <v>26</v>
      </c>
      <c r="N1181" s="6" t="s">
        <v>1532</v>
      </c>
      <c r="O1181" s="6" t="s">
        <v>21</v>
      </c>
      <c r="P1181" s="6" t="s">
        <v>21</v>
      </c>
      <c r="Q1181" s="6" t="s">
        <v>3332</v>
      </c>
      <c r="R1181" s="8" t="s">
        <v>1808</v>
      </c>
      <c r="S1181" s="6"/>
    </row>
    <row r="1182" spans="1:19" ht="25.5" x14ac:dyDescent="0.25">
      <c r="A1182" s="5" t="s">
        <v>3872</v>
      </c>
      <c r="B1182" s="5">
        <v>1181</v>
      </c>
      <c r="C1182" s="6" t="s">
        <v>2987</v>
      </c>
      <c r="D1182" s="6" t="s">
        <v>4862</v>
      </c>
      <c r="E1182" s="6">
        <v>7</v>
      </c>
      <c r="F1182" s="6" t="s">
        <v>1542</v>
      </c>
      <c r="G1182" s="6">
        <v>117</v>
      </c>
      <c r="H1182" s="6" t="s">
        <v>666</v>
      </c>
      <c r="I1182" s="6" t="s">
        <v>4933</v>
      </c>
      <c r="J1182" s="6" t="s">
        <v>4934</v>
      </c>
      <c r="K1182" s="6" t="s">
        <v>3331</v>
      </c>
      <c r="L1182" s="6">
        <v>10125025</v>
      </c>
      <c r="M1182" s="6" t="s">
        <v>858</v>
      </c>
      <c r="N1182" s="6" t="s">
        <v>1532</v>
      </c>
      <c r="O1182" s="6" t="s">
        <v>21</v>
      </c>
      <c r="P1182" s="6" t="s">
        <v>21</v>
      </c>
      <c r="Q1182" s="6" t="s">
        <v>3332</v>
      </c>
      <c r="R1182" s="8" t="s">
        <v>1808</v>
      </c>
      <c r="S1182" s="6"/>
    </row>
    <row r="1183" spans="1:19" ht="25.5" x14ac:dyDescent="0.25">
      <c r="A1183" s="5" t="s">
        <v>3872</v>
      </c>
      <c r="B1183" s="5">
        <v>1182</v>
      </c>
      <c r="C1183" s="6" t="s">
        <v>2988</v>
      </c>
      <c r="D1183" s="6" t="s">
        <v>4862</v>
      </c>
      <c r="E1183" s="6">
        <v>7</v>
      </c>
      <c r="F1183" s="6" t="s">
        <v>1542</v>
      </c>
      <c r="G1183" s="6">
        <v>117</v>
      </c>
      <c r="H1183" s="6" t="s">
        <v>666</v>
      </c>
      <c r="I1183" s="6" t="s">
        <v>4935</v>
      </c>
      <c r="J1183" s="6" t="s">
        <v>4936</v>
      </c>
      <c r="K1183" s="6" t="s">
        <v>3331</v>
      </c>
      <c r="L1183" s="6">
        <v>16707806</v>
      </c>
      <c r="M1183" s="6" t="s">
        <v>1543</v>
      </c>
      <c r="N1183" s="6" t="s">
        <v>1532</v>
      </c>
      <c r="O1183" s="6" t="s">
        <v>21</v>
      </c>
      <c r="P1183" s="6" t="s">
        <v>21</v>
      </c>
      <c r="Q1183" s="6" t="s">
        <v>3332</v>
      </c>
      <c r="R1183" s="8" t="s">
        <v>1808</v>
      </c>
      <c r="S1183" s="6"/>
    </row>
    <row r="1184" spans="1:19" ht="25.5" x14ac:dyDescent="0.25">
      <c r="A1184" s="5" t="s">
        <v>3872</v>
      </c>
      <c r="B1184" s="5">
        <v>1183</v>
      </c>
      <c r="C1184" s="6" t="s">
        <v>2989</v>
      </c>
      <c r="D1184" s="6" t="s">
        <v>4862</v>
      </c>
      <c r="E1184" s="6">
        <v>7</v>
      </c>
      <c r="F1184" s="6" t="s">
        <v>1542</v>
      </c>
      <c r="G1184" s="6">
        <v>117</v>
      </c>
      <c r="H1184" s="6" t="s">
        <v>666</v>
      </c>
      <c r="I1184" s="6" t="s">
        <v>4937</v>
      </c>
      <c r="J1184" s="6" t="s">
        <v>3576</v>
      </c>
      <c r="K1184" s="6" t="s">
        <v>3331</v>
      </c>
      <c r="L1184" s="6">
        <v>10127038</v>
      </c>
      <c r="M1184" s="6" t="s">
        <v>1543</v>
      </c>
      <c r="N1184" s="6" t="s">
        <v>1532</v>
      </c>
      <c r="O1184" s="6" t="s">
        <v>21</v>
      </c>
      <c r="P1184" s="6" t="s">
        <v>21</v>
      </c>
      <c r="Q1184" s="6" t="s">
        <v>3332</v>
      </c>
      <c r="R1184" s="8" t="s">
        <v>1808</v>
      </c>
      <c r="S1184" s="6"/>
    </row>
    <row r="1185" spans="1:19" ht="25.5" x14ac:dyDescent="0.25">
      <c r="A1185" s="5" t="s">
        <v>3872</v>
      </c>
      <c r="B1185" s="5">
        <v>1184</v>
      </c>
      <c r="C1185" s="6" t="s">
        <v>2990</v>
      </c>
      <c r="D1185" s="6" t="s">
        <v>4862</v>
      </c>
      <c r="E1185" s="6">
        <v>7</v>
      </c>
      <c r="F1185" s="6" t="s">
        <v>1542</v>
      </c>
      <c r="G1185" s="6">
        <v>117</v>
      </c>
      <c r="H1185" s="6" t="s">
        <v>666</v>
      </c>
      <c r="I1185" s="6" t="s">
        <v>4938</v>
      </c>
      <c r="J1185" s="6" t="s">
        <v>3470</v>
      </c>
      <c r="K1185" s="6" t="s">
        <v>3331</v>
      </c>
      <c r="L1185" s="6">
        <v>10120541</v>
      </c>
      <c r="M1185" s="6" t="s">
        <v>1543</v>
      </c>
      <c r="N1185" s="6" t="s">
        <v>1532</v>
      </c>
      <c r="O1185" s="6" t="s">
        <v>21</v>
      </c>
      <c r="P1185" s="6" t="s">
        <v>21</v>
      </c>
      <c r="Q1185" s="6" t="s">
        <v>3332</v>
      </c>
      <c r="R1185" s="8" t="s">
        <v>1808</v>
      </c>
      <c r="S1185" s="6"/>
    </row>
    <row r="1186" spans="1:19" ht="25.5" x14ac:dyDescent="0.25">
      <c r="A1186" s="5" t="s">
        <v>3872</v>
      </c>
      <c r="B1186" s="5">
        <v>1185</v>
      </c>
      <c r="C1186" s="6" t="s">
        <v>2991</v>
      </c>
      <c r="D1186" s="6" t="s">
        <v>4862</v>
      </c>
      <c r="E1186" s="6">
        <v>18</v>
      </c>
      <c r="F1186" s="6" t="s">
        <v>1544</v>
      </c>
      <c r="G1186" s="6">
        <v>266</v>
      </c>
      <c r="H1186" s="6" t="s">
        <v>1545</v>
      </c>
      <c r="I1186" s="6" t="s">
        <v>4939</v>
      </c>
      <c r="J1186" s="6" t="s">
        <v>4940</v>
      </c>
      <c r="K1186" s="6" t="s">
        <v>3331</v>
      </c>
      <c r="L1186" s="6">
        <v>10117202</v>
      </c>
      <c r="M1186" s="6" t="s">
        <v>1543</v>
      </c>
      <c r="N1186" s="6" t="s">
        <v>1532</v>
      </c>
      <c r="O1186" s="6" t="s">
        <v>21</v>
      </c>
      <c r="P1186" s="6" t="s">
        <v>21</v>
      </c>
      <c r="Q1186" s="6" t="s">
        <v>3332</v>
      </c>
      <c r="R1186" s="8" t="s">
        <v>1808</v>
      </c>
      <c r="S1186" s="6"/>
    </row>
    <row r="1187" spans="1:19" ht="25.5" x14ac:dyDescent="0.25">
      <c r="A1187" s="5" t="s">
        <v>3872</v>
      </c>
      <c r="B1187" s="5">
        <v>1186</v>
      </c>
      <c r="C1187" s="6" t="s">
        <v>2992</v>
      </c>
      <c r="D1187" s="6" t="s">
        <v>4862</v>
      </c>
      <c r="E1187" s="6">
        <v>2</v>
      </c>
      <c r="F1187" s="6" t="s">
        <v>1546</v>
      </c>
      <c r="G1187" s="6">
        <v>278</v>
      </c>
      <c r="H1187" s="6" t="s">
        <v>75</v>
      </c>
      <c r="I1187" s="6" t="s">
        <v>4941</v>
      </c>
      <c r="J1187" s="6" t="s">
        <v>4942</v>
      </c>
      <c r="K1187" s="6" t="s">
        <v>3331</v>
      </c>
      <c r="L1187" s="6">
        <v>18602276</v>
      </c>
      <c r="M1187" s="6" t="s">
        <v>1543</v>
      </c>
      <c r="N1187" s="6" t="s">
        <v>1532</v>
      </c>
      <c r="O1187" s="6" t="s">
        <v>21</v>
      </c>
      <c r="P1187" s="6" t="s">
        <v>21</v>
      </c>
      <c r="Q1187" s="6" t="s">
        <v>3332</v>
      </c>
      <c r="R1187" s="8" t="s">
        <v>1808</v>
      </c>
      <c r="S1187" s="6"/>
    </row>
    <row r="1188" spans="1:19" ht="25.5" x14ac:dyDescent="0.25">
      <c r="A1188" s="5" t="s">
        <v>3872</v>
      </c>
      <c r="B1188" s="5">
        <v>1187</v>
      </c>
      <c r="C1188" s="6" t="s">
        <v>2993</v>
      </c>
      <c r="D1188" s="6" t="s">
        <v>4862</v>
      </c>
      <c r="E1188" s="6">
        <v>4</v>
      </c>
      <c r="F1188" s="6" t="s">
        <v>1547</v>
      </c>
      <c r="G1188" s="6">
        <v>356</v>
      </c>
      <c r="H1188" s="6" t="s">
        <v>87</v>
      </c>
      <c r="I1188" s="6" t="s">
        <v>4943</v>
      </c>
      <c r="J1188" s="6" t="s">
        <v>3547</v>
      </c>
      <c r="K1188" s="6" t="s">
        <v>3331</v>
      </c>
      <c r="L1188" s="6">
        <v>16224421</v>
      </c>
      <c r="M1188" s="6" t="s">
        <v>1543</v>
      </c>
      <c r="N1188" s="6" t="s">
        <v>1532</v>
      </c>
      <c r="O1188" s="6" t="s">
        <v>21</v>
      </c>
      <c r="P1188" s="6" t="s">
        <v>21</v>
      </c>
      <c r="Q1188" s="6" t="s">
        <v>3332</v>
      </c>
      <c r="R1188" s="8" t="s">
        <v>1808</v>
      </c>
      <c r="S1188" s="6"/>
    </row>
    <row r="1189" spans="1:19" ht="25.5" x14ac:dyDescent="0.25">
      <c r="A1189" s="5" t="s">
        <v>3872</v>
      </c>
      <c r="B1189" s="5">
        <v>1188</v>
      </c>
      <c r="C1189" s="6" t="s">
        <v>2994</v>
      </c>
      <c r="D1189" s="6" t="s">
        <v>4862</v>
      </c>
      <c r="E1189" s="6">
        <v>4</v>
      </c>
      <c r="F1189" s="6" t="s">
        <v>1547</v>
      </c>
      <c r="G1189" s="6">
        <v>356</v>
      </c>
      <c r="H1189" s="6" t="s">
        <v>87</v>
      </c>
      <c r="I1189" s="6" t="s">
        <v>4944</v>
      </c>
      <c r="J1189" s="6" t="s">
        <v>4945</v>
      </c>
      <c r="K1189" s="6" t="s">
        <v>3331</v>
      </c>
      <c r="L1189" s="6">
        <v>10135010</v>
      </c>
      <c r="M1189" s="6" t="s">
        <v>1543</v>
      </c>
      <c r="N1189" s="6" t="s">
        <v>1532</v>
      </c>
      <c r="O1189" s="6" t="s">
        <v>21</v>
      </c>
      <c r="P1189" s="6" t="s">
        <v>21</v>
      </c>
      <c r="Q1189" s="6" t="s">
        <v>3332</v>
      </c>
      <c r="R1189" s="8" t="s">
        <v>1808</v>
      </c>
      <c r="S1189" s="6"/>
    </row>
    <row r="1190" spans="1:19" ht="25.5" x14ac:dyDescent="0.25">
      <c r="A1190" s="5" t="s">
        <v>3872</v>
      </c>
      <c r="B1190" s="5">
        <v>1189</v>
      </c>
      <c r="C1190" s="6" t="s">
        <v>2995</v>
      </c>
      <c r="D1190" s="6" t="s">
        <v>4862</v>
      </c>
      <c r="E1190" s="6">
        <v>5</v>
      </c>
      <c r="F1190" s="6" t="s">
        <v>1548</v>
      </c>
      <c r="G1190" s="6">
        <v>380</v>
      </c>
      <c r="H1190" s="6" t="s">
        <v>76</v>
      </c>
      <c r="I1190" s="6" t="s">
        <v>4946</v>
      </c>
      <c r="J1190" s="6" t="s">
        <v>4947</v>
      </c>
      <c r="K1190" s="6" t="s">
        <v>3331</v>
      </c>
      <c r="L1190" s="6">
        <v>42095295</v>
      </c>
      <c r="M1190" s="6" t="s">
        <v>1543</v>
      </c>
      <c r="N1190" s="6" t="s">
        <v>1532</v>
      </c>
      <c r="O1190" s="6" t="s">
        <v>21</v>
      </c>
      <c r="P1190" s="6" t="s">
        <v>21</v>
      </c>
      <c r="Q1190" s="6" t="s">
        <v>3332</v>
      </c>
      <c r="R1190" s="8" t="s">
        <v>1808</v>
      </c>
      <c r="S1190" s="6"/>
    </row>
    <row r="1191" spans="1:19" ht="25.5" x14ac:dyDescent="0.25">
      <c r="A1191" s="5" t="s">
        <v>3872</v>
      </c>
      <c r="B1191" s="5">
        <v>1190</v>
      </c>
      <c r="C1191" s="6" t="s">
        <v>2996</v>
      </c>
      <c r="D1191" s="6" t="s">
        <v>4862</v>
      </c>
      <c r="E1191" s="6">
        <v>9</v>
      </c>
      <c r="F1191" s="6" t="s">
        <v>1549</v>
      </c>
      <c r="G1191" s="6">
        <v>419</v>
      </c>
      <c r="H1191" s="6" t="s">
        <v>580</v>
      </c>
      <c r="I1191" s="6" t="s">
        <v>4948</v>
      </c>
      <c r="J1191" s="6" t="s">
        <v>4949</v>
      </c>
      <c r="K1191" s="6" t="s">
        <v>3331</v>
      </c>
      <c r="L1191" s="6">
        <v>18506172</v>
      </c>
      <c r="M1191" s="6" t="s">
        <v>1543</v>
      </c>
      <c r="N1191" s="6" t="s">
        <v>1532</v>
      </c>
      <c r="O1191" s="6" t="s">
        <v>21</v>
      </c>
      <c r="P1191" s="6" t="s">
        <v>21</v>
      </c>
      <c r="Q1191" s="6" t="s">
        <v>3332</v>
      </c>
      <c r="R1191" s="8" t="s">
        <v>1808</v>
      </c>
      <c r="S1191" s="6"/>
    </row>
    <row r="1192" spans="1:19" ht="25.5" x14ac:dyDescent="0.25">
      <c r="A1192" s="5" t="s">
        <v>3872</v>
      </c>
      <c r="B1192" s="5">
        <v>1191</v>
      </c>
      <c r="C1192" s="6" t="s">
        <v>2997</v>
      </c>
      <c r="D1192" s="6" t="s">
        <v>4862</v>
      </c>
      <c r="E1192" s="6">
        <v>15</v>
      </c>
      <c r="F1192" s="6" t="s">
        <v>876</v>
      </c>
      <c r="G1192" s="6">
        <v>491</v>
      </c>
      <c r="H1192" s="6" t="s">
        <v>78</v>
      </c>
      <c r="I1192" s="6" t="s">
        <v>4950</v>
      </c>
      <c r="J1192" s="6" t="s">
        <v>4951</v>
      </c>
      <c r="K1192" s="6" t="s">
        <v>3331</v>
      </c>
      <c r="L1192" s="6">
        <v>10018787</v>
      </c>
      <c r="M1192" s="6" t="s">
        <v>1543</v>
      </c>
      <c r="N1192" s="6" t="s">
        <v>1532</v>
      </c>
      <c r="O1192" s="6" t="s">
        <v>21</v>
      </c>
      <c r="P1192" s="6" t="s">
        <v>21</v>
      </c>
      <c r="Q1192" s="6" t="s">
        <v>3332</v>
      </c>
      <c r="R1192" s="8" t="s">
        <v>1808</v>
      </c>
      <c r="S1192" s="6"/>
    </row>
    <row r="1193" spans="1:19" ht="25.5" x14ac:dyDescent="0.25">
      <c r="A1193" s="5" t="s">
        <v>3872</v>
      </c>
      <c r="B1193" s="5">
        <v>1192</v>
      </c>
      <c r="C1193" s="6" t="s">
        <v>2998</v>
      </c>
      <c r="D1193" s="6" t="s">
        <v>4862</v>
      </c>
      <c r="E1193" s="6">
        <v>2</v>
      </c>
      <c r="F1193" s="6" t="s">
        <v>1550</v>
      </c>
      <c r="G1193" s="6">
        <v>538</v>
      </c>
      <c r="H1193" s="6" t="s">
        <v>89</v>
      </c>
      <c r="I1193" s="6" t="s">
        <v>4952</v>
      </c>
      <c r="J1193" s="6" t="s">
        <v>4953</v>
      </c>
      <c r="K1193" s="6" t="s">
        <v>3331</v>
      </c>
      <c r="L1193" s="6">
        <v>16222677</v>
      </c>
      <c r="M1193" s="6" t="s">
        <v>1543</v>
      </c>
      <c r="N1193" s="6" t="s">
        <v>1532</v>
      </c>
      <c r="O1193" s="6" t="s">
        <v>21</v>
      </c>
      <c r="P1193" s="6" t="s">
        <v>21</v>
      </c>
      <c r="Q1193" s="6" t="s">
        <v>3332</v>
      </c>
      <c r="R1193" s="8" t="s">
        <v>1808</v>
      </c>
      <c r="S1193" s="6"/>
    </row>
    <row r="1194" spans="1:19" ht="25.5" x14ac:dyDescent="0.25">
      <c r="A1194" s="5" t="s">
        <v>3872</v>
      </c>
      <c r="B1194" s="5">
        <v>1193</v>
      </c>
      <c r="C1194" s="6" t="s">
        <v>2999</v>
      </c>
      <c r="D1194" s="6" t="s">
        <v>4862</v>
      </c>
      <c r="E1194" s="6">
        <v>2</v>
      </c>
      <c r="F1194" s="6" t="s">
        <v>1550</v>
      </c>
      <c r="G1194" s="6">
        <v>538</v>
      </c>
      <c r="H1194" s="6" t="s">
        <v>89</v>
      </c>
      <c r="I1194" s="6" t="s">
        <v>4954</v>
      </c>
      <c r="J1194" s="6" t="s">
        <v>4955</v>
      </c>
      <c r="K1194" s="6" t="s">
        <v>3331</v>
      </c>
      <c r="L1194" s="6">
        <v>16225407</v>
      </c>
      <c r="M1194" s="6" t="s">
        <v>1543</v>
      </c>
      <c r="N1194" s="6" t="s">
        <v>1532</v>
      </c>
      <c r="O1194" s="6" t="s">
        <v>21</v>
      </c>
      <c r="P1194" s="6" t="s">
        <v>21</v>
      </c>
      <c r="Q1194" s="6" t="s">
        <v>3332</v>
      </c>
      <c r="R1194" s="8" t="s">
        <v>1808</v>
      </c>
      <c r="S1194" s="6"/>
    </row>
    <row r="1195" spans="1:19" ht="25.5" x14ac:dyDescent="0.25">
      <c r="A1195" s="5" t="s">
        <v>3872</v>
      </c>
      <c r="B1195" s="5">
        <v>1194</v>
      </c>
      <c r="C1195" s="6" t="s">
        <v>3000</v>
      </c>
      <c r="D1195" s="6" t="s">
        <v>4862</v>
      </c>
      <c r="E1195" s="6">
        <v>2</v>
      </c>
      <c r="F1195" s="6" t="s">
        <v>1550</v>
      </c>
      <c r="G1195" s="6">
        <v>538</v>
      </c>
      <c r="H1195" s="6" t="s">
        <v>89</v>
      </c>
      <c r="I1195" s="6" t="s">
        <v>4956</v>
      </c>
      <c r="J1195" s="6" t="s">
        <v>4942</v>
      </c>
      <c r="K1195" s="6" t="s">
        <v>3331</v>
      </c>
      <c r="L1195" s="6">
        <v>16227166</v>
      </c>
      <c r="M1195" s="6" t="s">
        <v>1543</v>
      </c>
      <c r="N1195" s="6" t="s">
        <v>1532</v>
      </c>
      <c r="O1195" s="6" t="s">
        <v>21</v>
      </c>
      <c r="P1195" s="6" t="s">
        <v>21</v>
      </c>
      <c r="Q1195" s="6" t="s">
        <v>3332</v>
      </c>
      <c r="R1195" s="8" t="s">
        <v>1808</v>
      </c>
      <c r="S1195" s="6"/>
    </row>
    <row r="1196" spans="1:19" ht="25.5" x14ac:dyDescent="0.25">
      <c r="A1196" s="5" t="s">
        <v>3872</v>
      </c>
      <c r="B1196" s="5">
        <v>1195</v>
      </c>
      <c r="C1196" s="6" t="s">
        <v>3001</v>
      </c>
      <c r="D1196" s="6" t="s">
        <v>4862</v>
      </c>
      <c r="E1196" s="6">
        <v>2</v>
      </c>
      <c r="F1196" s="6" t="s">
        <v>1550</v>
      </c>
      <c r="G1196" s="6">
        <v>538</v>
      </c>
      <c r="H1196" s="6" t="s">
        <v>89</v>
      </c>
      <c r="I1196" s="6" t="s">
        <v>4957</v>
      </c>
      <c r="J1196" s="6" t="s">
        <v>3505</v>
      </c>
      <c r="K1196" s="6" t="s">
        <v>3331</v>
      </c>
      <c r="L1196" s="6">
        <v>79643565</v>
      </c>
      <c r="M1196" s="6" t="s">
        <v>1543</v>
      </c>
      <c r="N1196" s="6" t="s">
        <v>1532</v>
      </c>
      <c r="O1196" s="6" t="s">
        <v>21</v>
      </c>
      <c r="P1196" s="6" t="s">
        <v>21</v>
      </c>
      <c r="Q1196" s="6" t="s">
        <v>3332</v>
      </c>
      <c r="R1196" s="8" t="s">
        <v>1808</v>
      </c>
      <c r="S1196" s="6"/>
    </row>
    <row r="1197" spans="1:19" ht="25.5" x14ac:dyDescent="0.25">
      <c r="A1197" s="5" t="s">
        <v>3872</v>
      </c>
      <c r="B1197" s="5">
        <v>1196</v>
      </c>
      <c r="C1197" s="6" t="s">
        <v>3002</v>
      </c>
      <c r="D1197" s="6" t="s">
        <v>4862</v>
      </c>
      <c r="E1197" s="6">
        <v>7</v>
      </c>
      <c r="F1197" s="6" t="s">
        <v>682</v>
      </c>
      <c r="G1197" s="6">
        <v>639</v>
      </c>
      <c r="H1197" s="6" t="s">
        <v>333</v>
      </c>
      <c r="I1197" s="6" t="s">
        <v>4958</v>
      </c>
      <c r="J1197" s="6" t="s">
        <v>3739</v>
      </c>
      <c r="K1197" s="6" t="s">
        <v>3331</v>
      </c>
      <c r="L1197" s="6">
        <v>42088834</v>
      </c>
      <c r="M1197" s="6" t="s">
        <v>1551</v>
      </c>
      <c r="N1197" s="6" t="s">
        <v>1532</v>
      </c>
      <c r="O1197" s="6" t="s">
        <v>21</v>
      </c>
      <c r="P1197" s="6" t="s">
        <v>21</v>
      </c>
      <c r="Q1197" s="6" t="s">
        <v>3332</v>
      </c>
      <c r="R1197" s="8" t="s">
        <v>1808</v>
      </c>
      <c r="S1197" s="6"/>
    </row>
    <row r="1198" spans="1:19" ht="25.5" x14ac:dyDescent="0.25">
      <c r="A1198" s="5" t="s">
        <v>3872</v>
      </c>
      <c r="B1198" s="5">
        <v>1197</v>
      </c>
      <c r="C1198" s="6" t="s">
        <v>3003</v>
      </c>
      <c r="D1198" s="6" t="s">
        <v>4862</v>
      </c>
      <c r="E1198" s="6">
        <v>7</v>
      </c>
      <c r="F1198" s="6" t="s">
        <v>682</v>
      </c>
      <c r="G1198" s="6">
        <v>639</v>
      </c>
      <c r="H1198" s="6" t="s">
        <v>333</v>
      </c>
      <c r="I1198" s="6" t="s">
        <v>4959</v>
      </c>
      <c r="J1198" s="6" t="s">
        <v>4960</v>
      </c>
      <c r="K1198" s="6" t="s">
        <v>3331</v>
      </c>
      <c r="L1198" s="6">
        <v>24325397</v>
      </c>
      <c r="M1198" s="6" t="s">
        <v>1551</v>
      </c>
      <c r="N1198" s="6" t="s">
        <v>1532</v>
      </c>
      <c r="O1198" s="6" t="s">
        <v>21</v>
      </c>
      <c r="P1198" s="6" t="s">
        <v>21</v>
      </c>
      <c r="Q1198" s="6" t="s">
        <v>3332</v>
      </c>
      <c r="R1198" s="8" t="s">
        <v>1808</v>
      </c>
      <c r="S1198" s="6"/>
    </row>
    <row r="1199" spans="1:19" ht="25.5" x14ac:dyDescent="0.25">
      <c r="A1199" s="5" t="s">
        <v>3872</v>
      </c>
      <c r="B1199" s="5">
        <v>1198</v>
      </c>
      <c r="C1199" s="6" t="s">
        <v>3004</v>
      </c>
      <c r="D1199" s="6" t="s">
        <v>4862</v>
      </c>
      <c r="E1199" s="6">
        <v>7</v>
      </c>
      <c r="F1199" s="6" t="s">
        <v>682</v>
      </c>
      <c r="G1199" s="6">
        <v>639</v>
      </c>
      <c r="H1199" s="6" t="s">
        <v>333</v>
      </c>
      <c r="I1199" s="6" t="s">
        <v>4961</v>
      </c>
      <c r="J1199" s="6" t="s">
        <v>4962</v>
      </c>
      <c r="K1199" s="6" t="s">
        <v>3331</v>
      </c>
      <c r="L1199" s="6">
        <v>24414347</v>
      </c>
      <c r="M1199" s="6" t="s">
        <v>1551</v>
      </c>
      <c r="N1199" s="6" t="s">
        <v>1532</v>
      </c>
      <c r="O1199" s="6" t="s">
        <v>21</v>
      </c>
      <c r="P1199" s="6" t="s">
        <v>21</v>
      </c>
      <c r="Q1199" s="6" t="s">
        <v>3332</v>
      </c>
      <c r="R1199" s="8" t="s">
        <v>1808</v>
      </c>
      <c r="S1199" s="6"/>
    </row>
    <row r="1200" spans="1:19" ht="25.5" x14ac:dyDescent="0.25">
      <c r="A1200" s="5" t="s">
        <v>3872</v>
      </c>
      <c r="B1200" s="5">
        <v>1199</v>
      </c>
      <c r="C1200" s="6" t="s">
        <v>3005</v>
      </c>
      <c r="D1200" s="6" t="s">
        <v>4862</v>
      </c>
      <c r="E1200" s="6">
        <v>7</v>
      </c>
      <c r="F1200" s="6" t="s">
        <v>682</v>
      </c>
      <c r="G1200" s="6">
        <v>639</v>
      </c>
      <c r="H1200" s="6" t="s">
        <v>333</v>
      </c>
      <c r="I1200" s="6" t="s">
        <v>4963</v>
      </c>
      <c r="J1200" s="6" t="s">
        <v>4964</v>
      </c>
      <c r="K1200" s="6" t="s">
        <v>3331</v>
      </c>
      <c r="L1200" s="6">
        <v>10137488</v>
      </c>
      <c r="M1200" s="6" t="s">
        <v>1551</v>
      </c>
      <c r="N1200" s="6" t="s">
        <v>1532</v>
      </c>
      <c r="O1200" s="6" t="s">
        <v>21</v>
      </c>
      <c r="P1200" s="6" t="s">
        <v>21</v>
      </c>
      <c r="Q1200" s="6" t="s">
        <v>3332</v>
      </c>
      <c r="R1200" s="8" t="s">
        <v>1808</v>
      </c>
      <c r="S1200" s="6"/>
    </row>
    <row r="1201" spans="1:19" ht="25.5" x14ac:dyDescent="0.25">
      <c r="A1201" s="5" t="s">
        <v>3872</v>
      </c>
      <c r="B1201" s="5">
        <v>1200</v>
      </c>
      <c r="C1201" s="6" t="s">
        <v>3006</v>
      </c>
      <c r="D1201" s="6" t="s">
        <v>4862</v>
      </c>
      <c r="E1201" s="6">
        <v>11</v>
      </c>
      <c r="F1201" s="6" t="s">
        <v>1533</v>
      </c>
      <c r="G1201" s="6">
        <v>755</v>
      </c>
      <c r="H1201" s="6" t="s">
        <v>1140</v>
      </c>
      <c r="I1201" s="6" t="s">
        <v>4965</v>
      </c>
      <c r="J1201" s="6" t="s">
        <v>4221</v>
      </c>
      <c r="K1201" s="6" t="s">
        <v>3331</v>
      </c>
      <c r="L1201" s="6">
        <v>18396232</v>
      </c>
      <c r="M1201" s="6" t="s">
        <v>1551</v>
      </c>
      <c r="N1201" s="6" t="s">
        <v>1532</v>
      </c>
      <c r="O1201" s="6" t="s">
        <v>21</v>
      </c>
      <c r="P1201" s="6" t="s">
        <v>21</v>
      </c>
      <c r="Q1201" s="6" t="s">
        <v>3332</v>
      </c>
      <c r="R1201" s="8" t="s">
        <v>1808</v>
      </c>
      <c r="S1201" s="6"/>
    </row>
    <row r="1202" spans="1:19" ht="25.5" x14ac:dyDescent="0.25">
      <c r="A1202" s="5" t="s">
        <v>3872</v>
      </c>
      <c r="B1202" s="5">
        <v>1201</v>
      </c>
      <c r="C1202" s="6" t="s">
        <v>3007</v>
      </c>
      <c r="D1202" s="6" t="s">
        <v>4862</v>
      </c>
      <c r="E1202" s="6">
        <v>11</v>
      </c>
      <c r="F1202" s="6" t="s">
        <v>1533</v>
      </c>
      <c r="G1202" s="6">
        <v>755</v>
      </c>
      <c r="H1202" s="6" t="s">
        <v>1140</v>
      </c>
      <c r="I1202" s="6" t="s">
        <v>4966</v>
      </c>
      <c r="J1202" s="6" t="s">
        <v>4967</v>
      </c>
      <c r="K1202" s="6" t="s">
        <v>3331</v>
      </c>
      <c r="L1202" s="6">
        <v>10133328</v>
      </c>
      <c r="M1202" s="6" t="s">
        <v>1551</v>
      </c>
      <c r="N1202" s="6" t="s">
        <v>1532</v>
      </c>
      <c r="O1202" s="6" t="s">
        <v>21</v>
      </c>
      <c r="P1202" s="6" t="s">
        <v>21</v>
      </c>
      <c r="Q1202" s="6" t="s">
        <v>3332</v>
      </c>
      <c r="R1202" s="8" t="s">
        <v>1808</v>
      </c>
      <c r="S1202" s="6"/>
    </row>
    <row r="1203" spans="1:19" ht="25.5" x14ac:dyDescent="0.25">
      <c r="A1203" s="5" t="s">
        <v>3872</v>
      </c>
      <c r="B1203" s="5">
        <v>1202</v>
      </c>
      <c r="C1203" s="6" t="s">
        <v>3008</v>
      </c>
      <c r="D1203" s="6" t="s">
        <v>4862</v>
      </c>
      <c r="E1203" s="6">
        <v>5</v>
      </c>
      <c r="F1203" s="6" t="s">
        <v>1534</v>
      </c>
      <c r="G1203" s="6">
        <v>955</v>
      </c>
      <c r="H1203" s="6" t="s">
        <v>111</v>
      </c>
      <c r="I1203" s="6" t="s">
        <v>4968</v>
      </c>
      <c r="J1203" s="6" t="s">
        <v>4969</v>
      </c>
      <c r="K1203" s="6" t="s">
        <v>3331</v>
      </c>
      <c r="L1203" s="6">
        <v>10027818</v>
      </c>
      <c r="M1203" s="6" t="s">
        <v>1551</v>
      </c>
      <c r="N1203" s="6" t="s">
        <v>1532</v>
      </c>
      <c r="O1203" s="6" t="s">
        <v>21</v>
      </c>
      <c r="P1203" s="6" t="s">
        <v>21</v>
      </c>
      <c r="Q1203" s="6" t="s">
        <v>3332</v>
      </c>
      <c r="R1203" s="8" t="s">
        <v>1808</v>
      </c>
      <c r="S1203" s="6"/>
    </row>
    <row r="1204" spans="1:19" ht="25.5" x14ac:dyDescent="0.25">
      <c r="A1204" s="5" t="s">
        <v>3872</v>
      </c>
      <c r="B1204" s="5">
        <v>1203</v>
      </c>
      <c r="C1204" s="6" t="s">
        <v>3009</v>
      </c>
      <c r="D1204" s="6" t="s">
        <v>4862</v>
      </c>
      <c r="E1204" s="6">
        <v>10</v>
      </c>
      <c r="F1204" s="6" t="s">
        <v>1552</v>
      </c>
      <c r="G1204" s="6">
        <v>1122</v>
      </c>
      <c r="H1204" s="6" t="s">
        <v>384</v>
      </c>
      <c r="I1204" s="6" t="s">
        <v>4970</v>
      </c>
      <c r="J1204" s="6" t="s">
        <v>3908</v>
      </c>
      <c r="K1204" s="6" t="s">
        <v>3331</v>
      </c>
      <c r="L1204" s="6">
        <v>66708026</v>
      </c>
      <c r="M1204" s="6" t="s">
        <v>1551</v>
      </c>
      <c r="N1204" s="6" t="s">
        <v>1532</v>
      </c>
      <c r="O1204" s="6" t="s">
        <v>21</v>
      </c>
      <c r="P1204" s="6" t="s">
        <v>21</v>
      </c>
      <c r="Q1204" s="6" t="s">
        <v>3332</v>
      </c>
      <c r="R1204" s="8" t="s">
        <v>1808</v>
      </c>
      <c r="S1204" s="6"/>
    </row>
    <row r="1205" spans="1:19" ht="25.5" x14ac:dyDescent="0.25">
      <c r="A1205" s="5" t="s">
        <v>3872</v>
      </c>
      <c r="B1205" s="5">
        <v>1204</v>
      </c>
      <c r="C1205" s="6" t="s">
        <v>3010</v>
      </c>
      <c r="D1205" s="6" t="s">
        <v>4862</v>
      </c>
      <c r="E1205" s="6">
        <v>2</v>
      </c>
      <c r="F1205" s="6" t="s">
        <v>1553</v>
      </c>
      <c r="G1205" s="6">
        <v>1260</v>
      </c>
      <c r="H1205" s="6" t="s">
        <v>594</v>
      </c>
      <c r="I1205" s="6" t="s">
        <v>4971</v>
      </c>
      <c r="J1205" s="6" t="s">
        <v>4018</v>
      </c>
      <c r="K1205" s="6" t="s">
        <v>3331</v>
      </c>
      <c r="L1205" s="6">
        <v>9815624</v>
      </c>
      <c r="M1205" s="6" t="s">
        <v>1551</v>
      </c>
      <c r="N1205" s="6" t="s">
        <v>1532</v>
      </c>
      <c r="O1205" s="6" t="s">
        <v>21</v>
      </c>
      <c r="P1205" s="6" t="s">
        <v>21</v>
      </c>
      <c r="Q1205" s="6" t="s">
        <v>3332</v>
      </c>
      <c r="R1205" s="8" t="s">
        <v>1808</v>
      </c>
      <c r="S1205" s="6"/>
    </row>
    <row r="1206" spans="1:19" ht="25.5" x14ac:dyDescent="0.25">
      <c r="A1206" s="5" t="s">
        <v>3872</v>
      </c>
      <c r="B1206" s="5">
        <v>1205</v>
      </c>
      <c r="C1206" s="6" t="s">
        <v>3011</v>
      </c>
      <c r="D1206" s="6" t="s">
        <v>4862</v>
      </c>
      <c r="E1206" s="6">
        <v>2</v>
      </c>
      <c r="F1206" s="6" t="s">
        <v>1553</v>
      </c>
      <c r="G1206" s="6">
        <v>1260</v>
      </c>
      <c r="H1206" s="6" t="s">
        <v>594</v>
      </c>
      <c r="I1206" s="6" t="s">
        <v>4972</v>
      </c>
      <c r="J1206" s="6" t="s">
        <v>4000</v>
      </c>
      <c r="K1206" s="6" t="s">
        <v>3331</v>
      </c>
      <c r="L1206" s="6">
        <v>42111369</v>
      </c>
      <c r="M1206" s="6" t="s">
        <v>1551</v>
      </c>
      <c r="N1206" s="6" t="s">
        <v>1532</v>
      </c>
      <c r="O1206" s="6" t="s">
        <v>21</v>
      </c>
      <c r="P1206" s="6" t="s">
        <v>21</v>
      </c>
      <c r="Q1206" s="6" t="s">
        <v>3332</v>
      </c>
      <c r="R1206" s="8" t="s">
        <v>1808</v>
      </c>
      <c r="S1206" s="6"/>
    </row>
    <row r="1207" spans="1:19" ht="25.5" x14ac:dyDescent="0.25">
      <c r="A1207" s="5" t="s">
        <v>3872</v>
      </c>
      <c r="B1207" s="5">
        <v>1206</v>
      </c>
      <c r="C1207" s="6" t="s">
        <v>3012</v>
      </c>
      <c r="D1207" s="6" t="s">
        <v>4862</v>
      </c>
      <c r="E1207" s="6">
        <v>2</v>
      </c>
      <c r="F1207" s="6" t="s">
        <v>1554</v>
      </c>
      <c r="G1207" s="6">
        <v>56</v>
      </c>
      <c r="H1207" s="6" t="s">
        <v>890</v>
      </c>
      <c r="I1207" s="6" t="s">
        <v>4973</v>
      </c>
      <c r="J1207" s="6" t="s">
        <v>4974</v>
      </c>
      <c r="K1207" s="6" t="s">
        <v>3331</v>
      </c>
      <c r="L1207" s="6">
        <v>10026345</v>
      </c>
      <c r="M1207" s="6" t="s">
        <v>858</v>
      </c>
      <c r="N1207" s="6" t="s">
        <v>1532</v>
      </c>
      <c r="O1207" s="6">
        <v>117</v>
      </c>
      <c r="P1207" s="6" t="s">
        <v>1555</v>
      </c>
      <c r="Q1207" s="6" t="s">
        <v>3332</v>
      </c>
      <c r="R1207" s="8" t="s">
        <v>1808</v>
      </c>
      <c r="S1207" s="6"/>
    </row>
    <row r="1208" spans="1:19" ht="25.5" x14ac:dyDescent="0.25">
      <c r="A1208" s="5" t="s">
        <v>3872</v>
      </c>
      <c r="B1208" s="5">
        <v>1207</v>
      </c>
      <c r="C1208" s="6" t="s">
        <v>3013</v>
      </c>
      <c r="D1208" s="6" t="s">
        <v>4862</v>
      </c>
      <c r="E1208" s="6">
        <v>7</v>
      </c>
      <c r="F1208" s="6" t="s">
        <v>1556</v>
      </c>
      <c r="G1208" s="6">
        <v>1035</v>
      </c>
      <c r="H1208" s="6" t="s">
        <v>1090</v>
      </c>
      <c r="I1208" s="6" t="s">
        <v>4975</v>
      </c>
      <c r="J1208" s="6" t="s">
        <v>4976</v>
      </c>
      <c r="K1208" s="6" t="s">
        <v>3331</v>
      </c>
      <c r="L1208" s="6">
        <v>43555126</v>
      </c>
      <c r="M1208" s="6" t="s">
        <v>1557</v>
      </c>
      <c r="N1208" s="6" t="s">
        <v>1532</v>
      </c>
      <c r="O1208" s="6" t="s">
        <v>21</v>
      </c>
      <c r="P1208" s="6" t="s">
        <v>21</v>
      </c>
      <c r="Q1208" s="6" t="s">
        <v>3332</v>
      </c>
      <c r="R1208" s="8" t="s">
        <v>1808</v>
      </c>
      <c r="S1208" s="6"/>
    </row>
    <row r="1209" spans="1:19" ht="25.5" x14ac:dyDescent="0.25">
      <c r="A1209" s="5" t="s">
        <v>3872</v>
      </c>
      <c r="B1209" s="5">
        <v>1208</v>
      </c>
      <c r="C1209" s="6" t="s">
        <v>3014</v>
      </c>
      <c r="D1209" s="6" t="s">
        <v>4862</v>
      </c>
      <c r="E1209" s="6">
        <v>7</v>
      </c>
      <c r="F1209" s="6" t="s">
        <v>1556</v>
      </c>
      <c r="G1209" s="6">
        <v>1035</v>
      </c>
      <c r="H1209" s="6" t="s">
        <v>1090</v>
      </c>
      <c r="I1209" s="6" t="s">
        <v>4977</v>
      </c>
      <c r="J1209" s="6" t="s">
        <v>4978</v>
      </c>
      <c r="K1209" s="6" t="s">
        <v>3331</v>
      </c>
      <c r="L1209" s="6">
        <v>41932531</v>
      </c>
      <c r="M1209" s="6" t="s">
        <v>1557</v>
      </c>
      <c r="N1209" s="6" t="s">
        <v>1532</v>
      </c>
      <c r="O1209" s="6" t="s">
        <v>21</v>
      </c>
      <c r="P1209" s="6" t="s">
        <v>21</v>
      </c>
      <c r="Q1209" s="6" t="s">
        <v>3332</v>
      </c>
      <c r="R1209" s="8" t="s">
        <v>1808</v>
      </c>
      <c r="S1209" s="6"/>
    </row>
    <row r="1210" spans="1:19" ht="25.5" x14ac:dyDescent="0.25">
      <c r="A1210" s="5" t="s">
        <v>3872</v>
      </c>
      <c r="B1210" s="5">
        <v>1209</v>
      </c>
      <c r="C1210" s="6" t="s">
        <v>3015</v>
      </c>
      <c r="D1210" s="6" t="s">
        <v>4862</v>
      </c>
      <c r="E1210" s="6">
        <v>7</v>
      </c>
      <c r="F1210" s="6" t="s">
        <v>1556</v>
      </c>
      <c r="G1210" s="6">
        <v>1035</v>
      </c>
      <c r="H1210" s="6" t="s">
        <v>1090</v>
      </c>
      <c r="I1210" s="6" t="s">
        <v>4979</v>
      </c>
      <c r="J1210" s="6" t="s">
        <v>3916</v>
      </c>
      <c r="K1210" s="6" t="s">
        <v>3331</v>
      </c>
      <c r="L1210" s="6">
        <v>42063594</v>
      </c>
      <c r="M1210" s="6" t="s">
        <v>1557</v>
      </c>
      <c r="N1210" s="6" t="s">
        <v>1532</v>
      </c>
      <c r="O1210" s="6" t="s">
        <v>21</v>
      </c>
      <c r="P1210" s="6" t="s">
        <v>21</v>
      </c>
      <c r="Q1210" s="6" t="s">
        <v>3332</v>
      </c>
      <c r="R1210" s="8" t="s">
        <v>1808</v>
      </c>
      <c r="S1210" s="6"/>
    </row>
    <row r="1211" spans="1:19" ht="25.5" x14ac:dyDescent="0.25">
      <c r="A1211" s="5" t="s">
        <v>3872</v>
      </c>
      <c r="B1211" s="5">
        <v>1210</v>
      </c>
      <c r="C1211" s="6" t="s">
        <v>3016</v>
      </c>
      <c r="D1211" s="6" t="s">
        <v>4862</v>
      </c>
      <c r="E1211" s="6">
        <v>7</v>
      </c>
      <c r="F1211" s="6" t="s">
        <v>1556</v>
      </c>
      <c r="G1211" s="6">
        <v>1035</v>
      </c>
      <c r="H1211" s="6" t="s">
        <v>1090</v>
      </c>
      <c r="I1211" s="6" t="s">
        <v>4980</v>
      </c>
      <c r="J1211" s="6" t="s">
        <v>4981</v>
      </c>
      <c r="K1211" s="6" t="s">
        <v>3331</v>
      </c>
      <c r="L1211" s="6">
        <v>26173884</v>
      </c>
      <c r="M1211" s="6" t="s">
        <v>1557</v>
      </c>
      <c r="N1211" s="6" t="s">
        <v>1532</v>
      </c>
      <c r="O1211" s="6" t="s">
        <v>21</v>
      </c>
      <c r="P1211" s="6" t="s">
        <v>21</v>
      </c>
      <c r="Q1211" s="6" t="s">
        <v>3332</v>
      </c>
      <c r="R1211" s="8" t="s">
        <v>1808</v>
      </c>
      <c r="S1211" s="6"/>
    </row>
    <row r="1212" spans="1:19" ht="25.5" x14ac:dyDescent="0.25">
      <c r="A1212" s="5" t="s">
        <v>3872</v>
      </c>
      <c r="B1212" s="5">
        <v>1211</v>
      </c>
      <c r="C1212" s="6" t="s">
        <v>3017</v>
      </c>
      <c r="D1212" s="6" t="s">
        <v>4862</v>
      </c>
      <c r="E1212" s="6">
        <v>7</v>
      </c>
      <c r="F1212" s="6" t="s">
        <v>1556</v>
      </c>
      <c r="G1212" s="6">
        <v>1035</v>
      </c>
      <c r="H1212" s="6" t="s">
        <v>1090</v>
      </c>
      <c r="I1212" s="6" t="s">
        <v>4982</v>
      </c>
      <c r="J1212" s="6" t="s">
        <v>3334</v>
      </c>
      <c r="K1212" s="6" t="s">
        <v>3331</v>
      </c>
      <c r="L1212" s="6">
        <v>40381990</v>
      </c>
      <c r="M1212" s="6" t="s">
        <v>1557</v>
      </c>
      <c r="N1212" s="6" t="s">
        <v>1532</v>
      </c>
      <c r="O1212" s="6" t="s">
        <v>21</v>
      </c>
      <c r="P1212" s="6" t="s">
        <v>21</v>
      </c>
      <c r="Q1212" s="6" t="s">
        <v>3332</v>
      </c>
      <c r="R1212" s="8" t="s">
        <v>1808</v>
      </c>
      <c r="S1212" s="6"/>
    </row>
    <row r="1213" spans="1:19" ht="25.5" x14ac:dyDescent="0.25">
      <c r="A1213" s="5" t="s">
        <v>3872</v>
      </c>
      <c r="B1213" s="5">
        <v>1212</v>
      </c>
      <c r="C1213" s="6" t="s">
        <v>3018</v>
      </c>
      <c r="D1213" s="6" t="s">
        <v>4862</v>
      </c>
      <c r="E1213" s="6">
        <v>7</v>
      </c>
      <c r="F1213" s="6" t="s">
        <v>1556</v>
      </c>
      <c r="G1213" s="6">
        <v>1035</v>
      </c>
      <c r="H1213" s="6" t="s">
        <v>1090</v>
      </c>
      <c r="I1213" s="6" t="s">
        <v>4983</v>
      </c>
      <c r="J1213" s="6" t="s">
        <v>4984</v>
      </c>
      <c r="K1213" s="6" t="s">
        <v>3331</v>
      </c>
      <c r="L1213" s="6">
        <v>42116129</v>
      </c>
      <c r="M1213" s="6" t="s">
        <v>1557</v>
      </c>
      <c r="N1213" s="6" t="s">
        <v>1532</v>
      </c>
      <c r="O1213" s="6" t="s">
        <v>21</v>
      </c>
      <c r="P1213" s="6" t="s">
        <v>21</v>
      </c>
      <c r="Q1213" s="6" t="s">
        <v>3332</v>
      </c>
      <c r="R1213" s="8" t="s">
        <v>1808</v>
      </c>
      <c r="S1213" s="6"/>
    </row>
    <row r="1214" spans="1:19" ht="25.5" x14ac:dyDescent="0.25">
      <c r="A1214" s="5" t="s">
        <v>3872</v>
      </c>
      <c r="B1214" s="5">
        <v>1213</v>
      </c>
      <c r="C1214" s="6" t="s">
        <v>3019</v>
      </c>
      <c r="D1214" s="6" t="s">
        <v>4862</v>
      </c>
      <c r="E1214" s="6">
        <v>7</v>
      </c>
      <c r="F1214" s="6" t="s">
        <v>1556</v>
      </c>
      <c r="G1214" s="6">
        <v>1035</v>
      </c>
      <c r="H1214" s="6" t="s">
        <v>1090</v>
      </c>
      <c r="I1214" s="6" t="s">
        <v>4985</v>
      </c>
      <c r="J1214" s="6" t="s">
        <v>4986</v>
      </c>
      <c r="K1214" s="6" t="s">
        <v>3331</v>
      </c>
      <c r="L1214" s="6">
        <v>31397025</v>
      </c>
      <c r="M1214" s="6" t="s">
        <v>1557</v>
      </c>
      <c r="N1214" s="6" t="s">
        <v>1532</v>
      </c>
      <c r="O1214" s="6" t="s">
        <v>21</v>
      </c>
      <c r="P1214" s="6" t="s">
        <v>21</v>
      </c>
      <c r="Q1214" s="6" t="s">
        <v>3332</v>
      </c>
      <c r="R1214" s="8" t="s">
        <v>1808</v>
      </c>
      <c r="S1214" s="6"/>
    </row>
    <row r="1215" spans="1:19" ht="25.5" x14ac:dyDescent="0.25">
      <c r="A1215" s="5" t="s">
        <v>3872</v>
      </c>
      <c r="B1215" s="5">
        <v>1214</v>
      </c>
      <c r="C1215" s="6" t="s">
        <v>3020</v>
      </c>
      <c r="D1215" s="6" t="s">
        <v>4862</v>
      </c>
      <c r="E1215" s="6">
        <v>7</v>
      </c>
      <c r="F1215" s="6" t="s">
        <v>1556</v>
      </c>
      <c r="G1215" s="6">
        <v>1035</v>
      </c>
      <c r="H1215" s="6" t="s">
        <v>1090</v>
      </c>
      <c r="I1215" s="6" t="s">
        <v>4987</v>
      </c>
      <c r="J1215" s="6" t="s">
        <v>4988</v>
      </c>
      <c r="K1215" s="6" t="s">
        <v>3331</v>
      </c>
      <c r="L1215" s="6">
        <v>10023867</v>
      </c>
      <c r="M1215" s="6" t="s">
        <v>1557</v>
      </c>
      <c r="N1215" s="6" t="s">
        <v>1532</v>
      </c>
      <c r="O1215" s="6" t="s">
        <v>21</v>
      </c>
      <c r="P1215" s="6" t="s">
        <v>21</v>
      </c>
      <c r="Q1215" s="6" t="s">
        <v>3332</v>
      </c>
      <c r="R1215" s="8" t="s">
        <v>1808</v>
      </c>
      <c r="S1215" s="6"/>
    </row>
    <row r="1216" spans="1:19" ht="25.5" x14ac:dyDescent="0.25">
      <c r="A1216" s="5" t="s">
        <v>3872</v>
      </c>
      <c r="B1216" s="5">
        <v>1215</v>
      </c>
      <c r="C1216" s="6" t="s">
        <v>3021</v>
      </c>
      <c r="D1216" s="6" t="s">
        <v>4862</v>
      </c>
      <c r="E1216" s="6">
        <v>7</v>
      </c>
      <c r="F1216" s="6" t="s">
        <v>1556</v>
      </c>
      <c r="G1216" s="6">
        <v>1035</v>
      </c>
      <c r="H1216" s="6" t="s">
        <v>1090</v>
      </c>
      <c r="I1216" s="6" t="s">
        <v>4989</v>
      </c>
      <c r="J1216" s="6" t="s">
        <v>4990</v>
      </c>
      <c r="K1216" s="6" t="s">
        <v>3331</v>
      </c>
      <c r="L1216" s="6">
        <v>34043122</v>
      </c>
      <c r="M1216" s="6" t="s">
        <v>1557</v>
      </c>
      <c r="N1216" s="6" t="s">
        <v>1532</v>
      </c>
      <c r="O1216" s="6" t="s">
        <v>21</v>
      </c>
      <c r="P1216" s="6" t="s">
        <v>21</v>
      </c>
      <c r="Q1216" s="6" t="s">
        <v>3332</v>
      </c>
      <c r="R1216" s="8" t="s">
        <v>1808</v>
      </c>
      <c r="S1216" s="6"/>
    </row>
    <row r="1217" spans="1:19" ht="25.5" x14ac:dyDescent="0.25">
      <c r="A1217" s="5" t="s">
        <v>3872</v>
      </c>
      <c r="B1217" s="5">
        <v>1216</v>
      </c>
      <c r="C1217" s="6" t="s">
        <v>3022</v>
      </c>
      <c r="D1217" s="6" t="s">
        <v>4862</v>
      </c>
      <c r="E1217" s="6">
        <v>7</v>
      </c>
      <c r="F1217" s="6" t="s">
        <v>1556</v>
      </c>
      <c r="G1217" s="6">
        <v>1035</v>
      </c>
      <c r="H1217" s="6" t="s">
        <v>1090</v>
      </c>
      <c r="I1217" s="6" t="s">
        <v>4991</v>
      </c>
      <c r="J1217" s="6" t="s">
        <v>3584</v>
      </c>
      <c r="K1217" s="6" t="s">
        <v>3331</v>
      </c>
      <c r="L1217" s="6">
        <v>42098946</v>
      </c>
      <c r="M1217" s="6" t="s">
        <v>1557</v>
      </c>
      <c r="N1217" s="6" t="s">
        <v>1532</v>
      </c>
      <c r="O1217" s="6" t="s">
        <v>21</v>
      </c>
      <c r="P1217" s="6" t="s">
        <v>21</v>
      </c>
      <c r="Q1217" s="6" t="s">
        <v>3332</v>
      </c>
      <c r="R1217" s="8" t="s">
        <v>1808</v>
      </c>
      <c r="S1217" s="6"/>
    </row>
    <row r="1218" spans="1:19" ht="25.5" x14ac:dyDescent="0.25">
      <c r="A1218" s="5" t="s">
        <v>3872</v>
      </c>
      <c r="B1218" s="5">
        <v>1217</v>
      </c>
      <c r="C1218" s="6" t="s">
        <v>3023</v>
      </c>
      <c r="D1218" s="6" t="s">
        <v>4862</v>
      </c>
      <c r="E1218" s="6">
        <v>7</v>
      </c>
      <c r="F1218" s="6" t="s">
        <v>1556</v>
      </c>
      <c r="G1218" s="6">
        <v>1035</v>
      </c>
      <c r="H1218" s="6" t="s">
        <v>1090</v>
      </c>
      <c r="I1218" s="6" t="s">
        <v>4992</v>
      </c>
      <c r="J1218" s="6" t="s">
        <v>3650</v>
      </c>
      <c r="K1218" s="6" t="s">
        <v>3331</v>
      </c>
      <c r="L1218" s="6">
        <v>25159640</v>
      </c>
      <c r="M1218" s="6" t="s">
        <v>1557</v>
      </c>
      <c r="N1218" s="6" t="s">
        <v>1532</v>
      </c>
      <c r="O1218" s="6" t="s">
        <v>21</v>
      </c>
      <c r="P1218" s="6" t="s">
        <v>21</v>
      </c>
      <c r="Q1218" s="6" t="s">
        <v>3332</v>
      </c>
      <c r="R1218" s="8" t="s">
        <v>1808</v>
      </c>
      <c r="S1218" s="6"/>
    </row>
    <row r="1219" spans="1:19" ht="25.5" x14ac:dyDescent="0.25">
      <c r="A1219" s="5" t="s">
        <v>3872</v>
      </c>
      <c r="B1219" s="5">
        <v>1218</v>
      </c>
      <c r="C1219" s="6" t="s">
        <v>3024</v>
      </c>
      <c r="D1219" s="6" t="s">
        <v>4862</v>
      </c>
      <c r="E1219" s="6">
        <v>2</v>
      </c>
      <c r="F1219" s="6" t="s">
        <v>1553</v>
      </c>
      <c r="G1219" s="6">
        <v>1260</v>
      </c>
      <c r="H1219" s="6" t="s">
        <v>594</v>
      </c>
      <c r="I1219" s="6" t="s">
        <v>4993</v>
      </c>
      <c r="J1219" s="6" t="s">
        <v>3739</v>
      </c>
      <c r="K1219" s="6" t="s">
        <v>3331</v>
      </c>
      <c r="L1219" s="6">
        <v>32754724</v>
      </c>
      <c r="M1219" s="6" t="s">
        <v>1557</v>
      </c>
      <c r="N1219" s="6" t="s">
        <v>1532</v>
      </c>
      <c r="O1219" s="6" t="s">
        <v>21</v>
      </c>
      <c r="P1219" s="6" t="s">
        <v>21</v>
      </c>
      <c r="Q1219" s="6" t="s">
        <v>3332</v>
      </c>
      <c r="R1219" s="8" t="s">
        <v>1808</v>
      </c>
      <c r="S1219" s="6"/>
    </row>
    <row r="1220" spans="1:19" ht="25.5" x14ac:dyDescent="0.25">
      <c r="A1220" s="5" t="s">
        <v>3872</v>
      </c>
      <c r="B1220" s="5">
        <v>1219</v>
      </c>
      <c r="C1220" s="6" t="s">
        <v>3025</v>
      </c>
      <c r="D1220" s="6" t="s">
        <v>4862</v>
      </c>
      <c r="E1220" s="6">
        <v>5</v>
      </c>
      <c r="F1220" s="6" t="s">
        <v>1558</v>
      </c>
      <c r="G1220" s="6">
        <v>1511</v>
      </c>
      <c r="H1220" s="6" t="s">
        <v>1492</v>
      </c>
      <c r="I1220" s="6" t="s">
        <v>4994</v>
      </c>
      <c r="J1220" s="6" t="s">
        <v>3417</v>
      </c>
      <c r="K1220" s="6" t="s">
        <v>3331</v>
      </c>
      <c r="L1220" s="6">
        <v>42115112</v>
      </c>
      <c r="M1220" s="6" t="s">
        <v>858</v>
      </c>
      <c r="N1220" s="6" t="s">
        <v>1532</v>
      </c>
      <c r="O1220" s="6" t="s">
        <v>21</v>
      </c>
      <c r="P1220" s="6" t="s">
        <v>21</v>
      </c>
      <c r="Q1220" s="6" t="s">
        <v>3332</v>
      </c>
      <c r="R1220" s="8" t="s">
        <v>1808</v>
      </c>
      <c r="S1220" s="6"/>
    </row>
    <row r="1221" spans="1:19" ht="25.5" x14ac:dyDescent="0.25">
      <c r="A1221" s="5" t="s">
        <v>3872</v>
      </c>
      <c r="B1221" s="5">
        <v>1220</v>
      </c>
      <c r="C1221" s="6" t="s">
        <v>3026</v>
      </c>
      <c r="D1221" s="6" t="s">
        <v>4862</v>
      </c>
      <c r="E1221" s="6">
        <v>13</v>
      </c>
      <c r="F1221" s="6" t="s">
        <v>508</v>
      </c>
      <c r="G1221" s="6">
        <v>1618</v>
      </c>
      <c r="H1221" s="6" t="s">
        <v>509</v>
      </c>
      <c r="I1221" s="6" t="s">
        <v>4995</v>
      </c>
      <c r="J1221" s="6" t="s">
        <v>3847</v>
      </c>
      <c r="K1221" s="6" t="s">
        <v>3331</v>
      </c>
      <c r="L1221" s="6">
        <v>10195121</v>
      </c>
      <c r="M1221" s="6" t="s">
        <v>858</v>
      </c>
      <c r="N1221" s="6" t="s">
        <v>1559</v>
      </c>
      <c r="O1221" s="6" t="s">
        <v>21</v>
      </c>
      <c r="P1221" s="6" t="s">
        <v>21</v>
      </c>
      <c r="Q1221" s="6" t="s">
        <v>3332</v>
      </c>
      <c r="R1221" s="8" t="s">
        <v>1808</v>
      </c>
      <c r="S1221" s="6"/>
    </row>
    <row r="1222" spans="1:19" ht="25.5" x14ac:dyDescent="0.25">
      <c r="A1222" s="5" t="s">
        <v>3872</v>
      </c>
      <c r="B1222" s="5">
        <v>1221</v>
      </c>
      <c r="C1222" s="6" t="s">
        <v>3027</v>
      </c>
      <c r="D1222" s="6" t="s">
        <v>4862</v>
      </c>
      <c r="E1222" s="6">
        <v>5</v>
      </c>
      <c r="F1222" s="6" t="s">
        <v>1560</v>
      </c>
      <c r="G1222" s="6">
        <v>1852</v>
      </c>
      <c r="H1222" s="6" t="s">
        <v>498</v>
      </c>
      <c r="I1222" s="6" t="s">
        <v>4996</v>
      </c>
      <c r="J1222" s="6" t="s">
        <v>4997</v>
      </c>
      <c r="K1222" s="6" t="s">
        <v>3331</v>
      </c>
      <c r="L1222" s="6">
        <v>10020470</v>
      </c>
      <c r="M1222" s="6" t="s">
        <v>858</v>
      </c>
      <c r="N1222" s="6" t="s">
        <v>1532</v>
      </c>
      <c r="O1222" s="6" t="s">
        <v>21</v>
      </c>
      <c r="P1222" s="6" t="s">
        <v>21</v>
      </c>
      <c r="Q1222" s="6" t="s">
        <v>3332</v>
      </c>
      <c r="R1222" s="8" t="s">
        <v>1808</v>
      </c>
      <c r="S1222" s="6"/>
    </row>
    <row r="1223" spans="1:19" ht="25.5" x14ac:dyDescent="0.25">
      <c r="A1223" s="5" t="s">
        <v>3872</v>
      </c>
      <c r="B1223" s="5">
        <v>1222</v>
      </c>
      <c r="C1223" s="6" t="s">
        <v>3028</v>
      </c>
      <c r="D1223" s="6" t="s">
        <v>4862</v>
      </c>
      <c r="E1223" s="6">
        <v>16</v>
      </c>
      <c r="F1223" s="6" t="s">
        <v>1561</v>
      </c>
      <c r="G1223" s="6">
        <v>2693</v>
      </c>
      <c r="H1223" s="6" t="s">
        <v>962</v>
      </c>
      <c r="I1223" s="6" t="s">
        <v>4998</v>
      </c>
      <c r="J1223" s="6" t="s">
        <v>4999</v>
      </c>
      <c r="K1223" s="6" t="s">
        <v>3331</v>
      </c>
      <c r="L1223" s="6">
        <v>10127383</v>
      </c>
      <c r="M1223" s="6" t="s">
        <v>858</v>
      </c>
      <c r="N1223" s="6" t="s">
        <v>1559</v>
      </c>
      <c r="O1223" s="6" t="s">
        <v>21</v>
      </c>
      <c r="P1223" s="6" t="s">
        <v>1562</v>
      </c>
      <c r="Q1223" s="6" t="s">
        <v>3332</v>
      </c>
      <c r="R1223" s="8" t="s">
        <v>1808</v>
      </c>
      <c r="S1223" s="6"/>
    </row>
    <row r="1224" spans="1:19" ht="25.5" x14ac:dyDescent="0.25">
      <c r="A1224" s="5" t="s">
        <v>3872</v>
      </c>
      <c r="B1224" s="5">
        <v>1223</v>
      </c>
      <c r="C1224" s="6" t="s">
        <v>3029</v>
      </c>
      <c r="D1224" s="6" t="s">
        <v>4862</v>
      </c>
      <c r="E1224" s="6">
        <v>8</v>
      </c>
      <c r="F1224" s="6" t="s">
        <v>1563</v>
      </c>
      <c r="G1224" s="6">
        <v>3084</v>
      </c>
      <c r="H1224" s="6" t="s">
        <v>1564</v>
      </c>
      <c r="I1224" s="6" t="s">
        <v>5000</v>
      </c>
      <c r="J1224" s="6" t="s">
        <v>3556</v>
      </c>
      <c r="K1224" s="6" t="s">
        <v>3331</v>
      </c>
      <c r="L1224" s="6">
        <v>42007033</v>
      </c>
      <c r="M1224" s="6" t="s">
        <v>858</v>
      </c>
      <c r="N1224" s="6" t="s">
        <v>1559</v>
      </c>
      <c r="O1224" s="6" t="s">
        <v>21</v>
      </c>
      <c r="P1224" s="6" t="s">
        <v>1565</v>
      </c>
      <c r="Q1224" s="6" t="s">
        <v>3332</v>
      </c>
      <c r="R1224" s="8" t="s">
        <v>1808</v>
      </c>
      <c r="S1224" s="6"/>
    </row>
    <row r="1225" spans="1:19" ht="25.5" x14ac:dyDescent="0.25">
      <c r="A1225" s="5" t="s">
        <v>3872</v>
      </c>
      <c r="B1225" s="5">
        <v>1224</v>
      </c>
      <c r="C1225" s="6" t="s">
        <v>3030</v>
      </c>
      <c r="D1225" s="6" t="s">
        <v>4862</v>
      </c>
      <c r="E1225" s="6">
        <v>11</v>
      </c>
      <c r="F1225" s="6" t="s">
        <v>1566</v>
      </c>
      <c r="G1225" s="6">
        <v>162</v>
      </c>
      <c r="H1225" s="6" t="s">
        <v>1567</v>
      </c>
      <c r="I1225" s="6" t="s">
        <v>5001</v>
      </c>
      <c r="J1225" s="6" t="s">
        <v>5002</v>
      </c>
      <c r="K1225" s="6" t="s">
        <v>3331</v>
      </c>
      <c r="L1225" s="6">
        <v>18617137</v>
      </c>
      <c r="M1225" s="6" t="s">
        <v>858</v>
      </c>
      <c r="N1225" s="6" t="s">
        <v>1532</v>
      </c>
      <c r="O1225" s="6">
        <v>113</v>
      </c>
      <c r="P1225" s="6" t="s">
        <v>1568</v>
      </c>
      <c r="Q1225" s="6" t="s">
        <v>3332</v>
      </c>
      <c r="R1225" s="8" t="s">
        <v>1808</v>
      </c>
      <c r="S1225" s="6"/>
    </row>
    <row r="1226" spans="1:19" ht="25.5" x14ac:dyDescent="0.25">
      <c r="A1226" s="5" t="s">
        <v>3872</v>
      </c>
      <c r="B1226" s="5">
        <v>1225</v>
      </c>
      <c r="C1226" s="6" t="s">
        <v>3031</v>
      </c>
      <c r="D1226" s="6" t="s">
        <v>4862</v>
      </c>
      <c r="E1226" s="6">
        <v>13</v>
      </c>
      <c r="F1226" s="6" t="s">
        <v>1569</v>
      </c>
      <c r="G1226" s="6">
        <v>200</v>
      </c>
      <c r="H1226" s="6" t="s">
        <v>1570</v>
      </c>
      <c r="I1226" s="6" t="s">
        <v>5003</v>
      </c>
      <c r="J1226" s="6" t="s">
        <v>5004</v>
      </c>
      <c r="K1226" s="6" t="s">
        <v>3331</v>
      </c>
      <c r="L1226" s="6">
        <v>4512359</v>
      </c>
      <c r="M1226" s="6" t="s">
        <v>858</v>
      </c>
      <c r="N1226" s="6" t="s">
        <v>1559</v>
      </c>
      <c r="O1226" s="6">
        <v>114</v>
      </c>
      <c r="P1226" s="6" t="s">
        <v>1568</v>
      </c>
      <c r="Q1226" s="6" t="s">
        <v>3332</v>
      </c>
      <c r="R1226" s="8" t="s">
        <v>1808</v>
      </c>
      <c r="S1226" s="6"/>
    </row>
    <row r="1227" spans="1:19" ht="25.5" x14ac:dyDescent="0.25">
      <c r="A1227" s="5" t="s">
        <v>3872</v>
      </c>
      <c r="B1227" s="5">
        <v>1226</v>
      </c>
      <c r="C1227" s="6" t="s">
        <v>3032</v>
      </c>
      <c r="D1227" s="6" t="s">
        <v>4862</v>
      </c>
      <c r="E1227" s="6">
        <v>34</v>
      </c>
      <c r="F1227" s="6" t="s">
        <v>1503</v>
      </c>
      <c r="G1227" s="6">
        <v>470</v>
      </c>
      <c r="H1227" s="6" t="s">
        <v>825</v>
      </c>
      <c r="I1227" s="6" t="s">
        <v>5005</v>
      </c>
      <c r="J1227" s="6" t="s">
        <v>3716</v>
      </c>
      <c r="K1227" s="6" t="s">
        <v>3331</v>
      </c>
      <c r="L1227" s="6">
        <v>10140133</v>
      </c>
      <c r="M1227" s="6" t="s">
        <v>858</v>
      </c>
      <c r="N1227" s="6" t="s">
        <v>1532</v>
      </c>
      <c r="O1227" s="6">
        <v>336</v>
      </c>
      <c r="P1227" s="6" t="s">
        <v>1571</v>
      </c>
      <c r="Q1227" s="6" t="s">
        <v>3332</v>
      </c>
      <c r="R1227" s="8" t="s">
        <v>1808</v>
      </c>
      <c r="S1227" s="6"/>
    </row>
    <row r="1228" spans="1:19" ht="25.5" x14ac:dyDescent="0.25">
      <c r="A1228" s="5" t="s">
        <v>3872</v>
      </c>
      <c r="B1228" s="5">
        <v>1227</v>
      </c>
      <c r="C1228" s="6" t="s">
        <v>3033</v>
      </c>
      <c r="D1228" s="6" t="s">
        <v>4862</v>
      </c>
      <c r="E1228" s="6">
        <v>2</v>
      </c>
      <c r="F1228" s="6" t="s">
        <v>1554</v>
      </c>
      <c r="G1228" s="6">
        <v>56</v>
      </c>
      <c r="H1228" s="6" t="s">
        <v>890</v>
      </c>
      <c r="I1228" s="6" t="s">
        <v>5006</v>
      </c>
      <c r="J1228" s="6" t="s">
        <v>4648</v>
      </c>
      <c r="K1228" s="6" t="s">
        <v>3331</v>
      </c>
      <c r="L1228" s="6">
        <v>75078447</v>
      </c>
      <c r="M1228" s="6" t="s">
        <v>858</v>
      </c>
      <c r="N1228" s="6" t="s">
        <v>1559</v>
      </c>
      <c r="O1228" s="6">
        <v>67</v>
      </c>
      <c r="P1228" s="6" t="s">
        <v>173</v>
      </c>
      <c r="Q1228" s="6" t="s">
        <v>3332</v>
      </c>
      <c r="R1228" s="8" t="s">
        <v>1808</v>
      </c>
      <c r="S1228" s="6"/>
    </row>
    <row r="1229" spans="1:19" ht="25.5" x14ac:dyDescent="0.25">
      <c r="A1229" s="5" t="s">
        <v>3872</v>
      </c>
      <c r="B1229" s="5">
        <v>1228</v>
      </c>
      <c r="C1229" s="6" t="s">
        <v>3034</v>
      </c>
      <c r="D1229" s="6" t="s">
        <v>4862</v>
      </c>
      <c r="E1229" s="6">
        <v>27</v>
      </c>
      <c r="F1229" s="6" t="s">
        <v>406</v>
      </c>
      <c r="G1229" s="6">
        <v>344</v>
      </c>
      <c r="H1229" s="6" t="s">
        <v>407</v>
      </c>
      <c r="I1229" s="6" t="s">
        <v>5007</v>
      </c>
      <c r="J1229" s="6" t="s">
        <v>5008</v>
      </c>
      <c r="K1229" s="6" t="s">
        <v>3331</v>
      </c>
      <c r="L1229" s="6">
        <v>10024954</v>
      </c>
      <c r="M1229" s="6" t="s">
        <v>858</v>
      </c>
      <c r="N1229" s="6" t="s">
        <v>1532</v>
      </c>
      <c r="O1229" s="6">
        <v>10</v>
      </c>
      <c r="P1229" s="6" t="s">
        <v>1572</v>
      </c>
      <c r="Q1229" s="6" t="s">
        <v>3332</v>
      </c>
      <c r="R1229" s="8" t="s">
        <v>1808</v>
      </c>
      <c r="S1229" s="6"/>
    </row>
    <row r="1230" spans="1:19" ht="25.5" x14ac:dyDescent="0.25">
      <c r="A1230" s="5" t="s">
        <v>3872</v>
      </c>
      <c r="B1230" s="5">
        <v>1229</v>
      </c>
      <c r="C1230" s="6" t="s">
        <v>3035</v>
      </c>
      <c r="D1230" s="6" t="s">
        <v>4862</v>
      </c>
      <c r="E1230" s="6">
        <v>25</v>
      </c>
      <c r="F1230" s="6" t="s">
        <v>1573</v>
      </c>
      <c r="G1230" s="6">
        <v>389</v>
      </c>
      <c r="H1230" s="6" t="s">
        <v>1441</v>
      </c>
      <c r="I1230" s="6" t="s">
        <v>5009</v>
      </c>
      <c r="J1230" s="6" t="s">
        <v>5010</v>
      </c>
      <c r="K1230" s="6" t="s">
        <v>3331</v>
      </c>
      <c r="L1230" s="6">
        <v>9874289</v>
      </c>
      <c r="M1230" s="6" t="s">
        <v>858</v>
      </c>
      <c r="N1230" s="6" t="s">
        <v>1532</v>
      </c>
      <c r="O1230" s="6">
        <v>118</v>
      </c>
      <c r="P1230" s="6" t="s">
        <v>1574</v>
      </c>
      <c r="Q1230" s="6" t="s">
        <v>3332</v>
      </c>
      <c r="R1230" s="8" t="s">
        <v>1808</v>
      </c>
      <c r="S1230" s="6"/>
    </row>
    <row r="1231" spans="1:19" ht="25.5" x14ac:dyDescent="0.25">
      <c r="A1231" s="5" t="s">
        <v>3872</v>
      </c>
      <c r="B1231" s="5">
        <v>1230</v>
      </c>
      <c r="C1231" s="6" t="s">
        <v>3036</v>
      </c>
      <c r="D1231" s="6" t="s">
        <v>4862</v>
      </c>
      <c r="E1231" s="6">
        <v>25</v>
      </c>
      <c r="F1231" s="6" t="s">
        <v>1573</v>
      </c>
      <c r="G1231" s="6">
        <v>389</v>
      </c>
      <c r="H1231" s="6" t="s">
        <v>1441</v>
      </c>
      <c r="I1231" s="6" t="s">
        <v>5011</v>
      </c>
      <c r="J1231" s="6" t="s">
        <v>4478</v>
      </c>
      <c r="K1231" s="6" t="s">
        <v>3331</v>
      </c>
      <c r="L1231" s="6">
        <v>11706246</v>
      </c>
      <c r="M1231" s="6" t="s">
        <v>858</v>
      </c>
      <c r="N1231" s="6" t="s">
        <v>1532</v>
      </c>
      <c r="O1231" s="6">
        <v>122</v>
      </c>
      <c r="P1231" s="6" t="s">
        <v>1574</v>
      </c>
      <c r="Q1231" s="6" t="s">
        <v>3332</v>
      </c>
      <c r="R1231" s="8" t="s">
        <v>1808</v>
      </c>
      <c r="S1231" s="6"/>
    </row>
    <row r="1232" spans="1:19" ht="25.5" x14ac:dyDescent="0.25">
      <c r="A1232" s="5" t="s">
        <v>3872</v>
      </c>
      <c r="B1232" s="5">
        <v>1231</v>
      </c>
      <c r="C1232" s="6" t="s">
        <v>3037</v>
      </c>
      <c r="D1232" s="6" t="s">
        <v>4862</v>
      </c>
      <c r="E1232" s="6">
        <v>37</v>
      </c>
      <c r="F1232" s="6" t="s">
        <v>1575</v>
      </c>
      <c r="G1232" s="6">
        <v>595</v>
      </c>
      <c r="H1232" s="6" t="s">
        <v>1576</v>
      </c>
      <c r="I1232" s="6" t="s">
        <v>5012</v>
      </c>
      <c r="J1232" s="6" t="s">
        <v>5013</v>
      </c>
      <c r="K1232" s="6" t="s">
        <v>3331</v>
      </c>
      <c r="L1232" s="6">
        <v>10119283</v>
      </c>
      <c r="M1232" s="6" t="s">
        <v>858</v>
      </c>
      <c r="N1232" s="6" t="s">
        <v>1559</v>
      </c>
      <c r="O1232" s="6">
        <v>78</v>
      </c>
      <c r="P1232" s="6" t="s">
        <v>1577</v>
      </c>
      <c r="Q1232" s="6" t="s">
        <v>3332</v>
      </c>
      <c r="R1232" s="8" t="s">
        <v>1808</v>
      </c>
      <c r="S1232" s="6"/>
    </row>
    <row r="1233" spans="1:19" ht="25.5" x14ac:dyDescent="0.25">
      <c r="A1233" s="5" t="s">
        <v>3872</v>
      </c>
      <c r="B1233" s="5">
        <v>1232</v>
      </c>
      <c r="C1233" s="6" t="s">
        <v>3038</v>
      </c>
      <c r="D1233" s="6" t="s">
        <v>4862</v>
      </c>
      <c r="E1233" s="6">
        <v>14</v>
      </c>
      <c r="F1233" s="6" t="s">
        <v>1578</v>
      </c>
      <c r="G1233" s="6">
        <v>343</v>
      </c>
      <c r="H1233" s="6" t="s">
        <v>800</v>
      </c>
      <c r="I1233" s="6" t="s">
        <v>5014</v>
      </c>
      <c r="J1233" s="6" t="s">
        <v>5015</v>
      </c>
      <c r="K1233" s="6" t="s">
        <v>3331</v>
      </c>
      <c r="L1233" s="6">
        <v>42053664</v>
      </c>
      <c r="M1233" s="6" t="s">
        <v>858</v>
      </c>
      <c r="N1233" s="6" t="s">
        <v>1559</v>
      </c>
      <c r="O1233" s="6">
        <v>260</v>
      </c>
      <c r="P1233" s="6" t="s">
        <v>1579</v>
      </c>
      <c r="Q1233" s="6" t="s">
        <v>3332</v>
      </c>
      <c r="R1233" s="8" t="s">
        <v>1808</v>
      </c>
      <c r="S1233" s="6"/>
    </row>
    <row r="1234" spans="1:19" ht="25.5" x14ac:dyDescent="0.25">
      <c r="A1234" s="5" t="s">
        <v>3872</v>
      </c>
      <c r="B1234" s="5">
        <v>1233</v>
      </c>
      <c r="C1234" s="6" t="s">
        <v>3039</v>
      </c>
      <c r="D1234" s="6" t="s">
        <v>4862</v>
      </c>
      <c r="E1234" s="6">
        <v>6</v>
      </c>
      <c r="F1234" s="6" t="s">
        <v>1580</v>
      </c>
      <c r="G1234" s="6">
        <v>185</v>
      </c>
      <c r="H1234" s="6" t="s">
        <v>1515</v>
      </c>
      <c r="I1234" s="6" t="s">
        <v>5016</v>
      </c>
      <c r="J1234" s="6" t="s">
        <v>5017</v>
      </c>
      <c r="K1234" s="6" t="s">
        <v>3331</v>
      </c>
      <c r="L1234" s="6">
        <v>16227917</v>
      </c>
      <c r="M1234" s="6" t="s">
        <v>858</v>
      </c>
      <c r="N1234" s="6" t="s">
        <v>1532</v>
      </c>
      <c r="O1234" s="6">
        <v>147</v>
      </c>
      <c r="P1234" s="6" t="s">
        <v>1581</v>
      </c>
      <c r="Q1234" s="6" t="s">
        <v>3332</v>
      </c>
      <c r="R1234" s="8" t="s">
        <v>1808</v>
      </c>
      <c r="S1234" s="6"/>
    </row>
    <row r="1235" spans="1:19" ht="25.5" x14ac:dyDescent="0.25">
      <c r="A1235" s="5" t="s">
        <v>3872</v>
      </c>
      <c r="B1235" s="5">
        <v>1234</v>
      </c>
      <c r="C1235" s="6" t="s">
        <v>3040</v>
      </c>
      <c r="D1235" s="6" t="s">
        <v>4862</v>
      </c>
      <c r="E1235" s="6">
        <v>12</v>
      </c>
      <c r="F1235" s="6" t="s">
        <v>1582</v>
      </c>
      <c r="G1235" s="6">
        <v>451</v>
      </c>
      <c r="H1235" s="6" t="s">
        <v>1583</v>
      </c>
      <c r="I1235" s="6" t="s">
        <v>5018</v>
      </c>
      <c r="J1235" s="6" t="s">
        <v>4860</v>
      </c>
      <c r="K1235" s="6" t="s">
        <v>3331</v>
      </c>
      <c r="L1235" s="6">
        <v>1088270065</v>
      </c>
      <c r="M1235" s="6" t="s">
        <v>858</v>
      </c>
      <c r="N1235" s="6" t="s">
        <v>1532</v>
      </c>
      <c r="O1235" s="6">
        <v>153</v>
      </c>
      <c r="P1235" s="6" t="s">
        <v>1584</v>
      </c>
      <c r="Q1235" s="6" t="s">
        <v>3332</v>
      </c>
      <c r="R1235" s="8" t="s">
        <v>1808</v>
      </c>
      <c r="S1235" s="6"/>
    </row>
    <row r="1236" spans="1:19" ht="25.5" x14ac:dyDescent="0.25">
      <c r="A1236" s="5" t="s">
        <v>3872</v>
      </c>
      <c r="B1236" s="5">
        <v>1235</v>
      </c>
      <c r="C1236" s="6" t="s">
        <v>3041</v>
      </c>
      <c r="D1236" s="6" t="s">
        <v>4862</v>
      </c>
      <c r="E1236" s="6">
        <v>18</v>
      </c>
      <c r="F1236" s="6" t="s">
        <v>1585</v>
      </c>
      <c r="G1236" s="6">
        <v>699</v>
      </c>
      <c r="H1236" s="6" t="s">
        <v>566</v>
      </c>
      <c r="I1236" s="6" t="s">
        <v>5019</v>
      </c>
      <c r="J1236" s="6" t="s">
        <v>5020</v>
      </c>
      <c r="K1236" s="6" t="s">
        <v>3331</v>
      </c>
      <c r="L1236" s="6">
        <v>10020411</v>
      </c>
      <c r="M1236" s="6" t="s">
        <v>858</v>
      </c>
      <c r="N1236" s="6" t="s">
        <v>1532</v>
      </c>
      <c r="O1236" s="6">
        <v>142</v>
      </c>
      <c r="P1236" s="6" t="s">
        <v>1586</v>
      </c>
      <c r="Q1236" s="6" t="s">
        <v>3332</v>
      </c>
      <c r="R1236" s="8" t="s">
        <v>1808</v>
      </c>
      <c r="S1236" s="6"/>
    </row>
    <row r="1237" spans="1:19" ht="25.5" x14ac:dyDescent="0.25">
      <c r="A1237" s="5" t="s">
        <v>3872</v>
      </c>
      <c r="B1237" s="5">
        <v>1236</v>
      </c>
      <c r="C1237" s="6" t="s">
        <v>3042</v>
      </c>
      <c r="D1237" s="6" t="s">
        <v>4862</v>
      </c>
      <c r="E1237" s="6">
        <v>35</v>
      </c>
      <c r="F1237" s="6" t="s">
        <v>1587</v>
      </c>
      <c r="G1237" s="6">
        <v>1287</v>
      </c>
      <c r="H1237" s="6" t="s">
        <v>535</v>
      </c>
      <c r="I1237" s="6" t="s">
        <v>5021</v>
      </c>
      <c r="J1237" s="6" t="s">
        <v>5022</v>
      </c>
      <c r="K1237" s="6" t="s">
        <v>3331</v>
      </c>
      <c r="L1237" s="6">
        <v>10104510</v>
      </c>
      <c r="M1237" s="6" t="s">
        <v>858</v>
      </c>
      <c r="N1237" s="6" t="s">
        <v>1532</v>
      </c>
      <c r="O1237" s="6">
        <v>74</v>
      </c>
      <c r="P1237" s="6" t="s">
        <v>1475</v>
      </c>
      <c r="Q1237" s="6" t="s">
        <v>3332</v>
      </c>
      <c r="R1237" s="8" t="s">
        <v>1808</v>
      </c>
      <c r="S1237" s="6"/>
    </row>
    <row r="1238" spans="1:19" ht="25.5" x14ac:dyDescent="0.25">
      <c r="A1238" s="5" t="s">
        <v>3872</v>
      </c>
      <c r="B1238" s="5">
        <v>1237</v>
      </c>
      <c r="C1238" s="6" t="s">
        <v>3043</v>
      </c>
      <c r="D1238" s="6" t="s">
        <v>4862</v>
      </c>
      <c r="E1238" s="6">
        <v>39</v>
      </c>
      <c r="F1238" s="6" t="s">
        <v>1588</v>
      </c>
      <c r="G1238" s="6">
        <v>1434</v>
      </c>
      <c r="H1238" s="6" t="s">
        <v>1589</v>
      </c>
      <c r="I1238" s="6" t="s">
        <v>5023</v>
      </c>
      <c r="J1238" s="6" t="s">
        <v>5024</v>
      </c>
      <c r="K1238" s="6" t="s">
        <v>3331</v>
      </c>
      <c r="L1238" s="6">
        <v>42115182</v>
      </c>
      <c r="M1238" s="6" t="s">
        <v>858</v>
      </c>
      <c r="N1238" s="6" t="s">
        <v>1532</v>
      </c>
      <c r="O1238" s="6">
        <v>463</v>
      </c>
      <c r="P1238" s="6" t="s">
        <v>1590</v>
      </c>
      <c r="Q1238" s="6" t="s">
        <v>3332</v>
      </c>
      <c r="R1238" s="8" t="s">
        <v>1808</v>
      </c>
      <c r="S1238" s="6"/>
    </row>
    <row r="1239" spans="1:19" ht="25.5" x14ac:dyDescent="0.25">
      <c r="A1239" s="5" t="s">
        <v>3872</v>
      </c>
      <c r="B1239" s="5">
        <v>1238</v>
      </c>
      <c r="C1239" s="6" t="s">
        <v>3044</v>
      </c>
      <c r="D1239" s="6" t="s">
        <v>4862</v>
      </c>
      <c r="E1239" s="6">
        <v>24</v>
      </c>
      <c r="F1239" s="6" t="s">
        <v>145</v>
      </c>
      <c r="G1239" s="6">
        <v>793</v>
      </c>
      <c r="H1239" s="6" t="s">
        <v>146</v>
      </c>
      <c r="I1239" s="6" t="s">
        <v>5025</v>
      </c>
      <c r="J1239" s="6" t="s">
        <v>3943</v>
      </c>
      <c r="K1239" s="6" t="s">
        <v>3331</v>
      </c>
      <c r="L1239" s="6">
        <v>4517210</v>
      </c>
      <c r="M1239" s="6" t="s">
        <v>858</v>
      </c>
      <c r="N1239" s="6" t="s">
        <v>1591</v>
      </c>
      <c r="O1239" s="6">
        <v>129</v>
      </c>
      <c r="P1239" s="6" t="s">
        <v>1592</v>
      </c>
      <c r="Q1239" s="6" t="s">
        <v>3332</v>
      </c>
      <c r="R1239" s="8" t="s">
        <v>1808</v>
      </c>
      <c r="S1239" s="6"/>
    </row>
    <row r="1240" spans="1:19" ht="25.5" x14ac:dyDescent="0.25">
      <c r="A1240" s="5" t="s">
        <v>3872</v>
      </c>
      <c r="B1240" s="5">
        <v>1239</v>
      </c>
      <c r="C1240" s="6" t="s">
        <v>3045</v>
      </c>
      <c r="D1240" s="6" t="s">
        <v>4862</v>
      </c>
      <c r="E1240" s="6">
        <v>15</v>
      </c>
      <c r="F1240" s="6" t="s">
        <v>906</v>
      </c>
      <c r="G1240" s="6">
        <v>514</v>
      </c>
      <c r="H1240" s="6" t="s">
        <v>907</v>
      </c>
      <c r="I1240" s="6" t="s">
        <v>5026</v>
      </c>
      <c r="J1240" s="6" t="s">
        <v>5027</v>
      </c>
      <c r="K1240" s="6" t="s">
        <v>3331</v>
      </c>
      <c r="L1240" s="6">
        <v>10192266</v>
      </c>
      <c r="M1240" s="6" t="s">
        <v>858</v>
      </c>
      <c r="N1240" s="6" t="s">
        <v>1593</v>
      </c>
      <c r="O1240" s="6">
        <v>71</v>
      </c>
      <c r="P1240" s="6" t="s">
        <v>173</v>
      </c>
      <c r="Q1240" s="6" t="s">
        <v>3332</v>
      </c>
      <c r="R1240" s="8" t="s">
        <v>1808</v>
      </c>
      <c r="S1240" s="6"/>
    </row>
    <row r="1241" spans="1:19" ht="25.5" x14ac:dyDescent="0.25">
      <c r="A1241" s="5" t="s">
        <v>3872</v>
      </c>
      <c r="B1241" s="5">
        <v>1240</v>
      </c>
      <c r="C1241" s="6" t="s">
        <v>3046</v>
      </c>
      <c r="D1241" s="6" t="s">
        <v>4862</v>
      </c>
      <c r="E1241" s="6">
        <v>15</v>
      </c>
      <c r="F1241" s="6" t="s">
        <v>906</v>
      </c>
      <c r="G1241" s="6">
        <v>514</v>
      </c>
      <c r="H1241" s="6" t="s">
        <v>907</v>
      </c>
      <c r="I1241" s="6" t="s">
        <v>5028</v>
      </c>
      <c r="J1241" s="6" t="s">
        <v>3600</v>
      </c>
      <c r="K1241" s="6" t="s">
        <v>3331</v>
      </c>
      <c r="L1241" s="6">
        <v>42021357</v>
      </c>
      <c r="M1241" s="6" t="s">
        <v>858</v>
      </c>
      <c r="N1241" s="6" t="s">
        <v>1532</v>
      </c>
      <c r="O1241" s="6">
        <v>287</v>
      </c>
      <c r="P1241" s="6" t="s">
        <v>1594</v>
      </c>
      <c r="Q1241" s="6" t="s">
        <v>3332</v>
      </c>
      <c r="R1241" s="8" t="s">
        <v>1808</v>
      </c>
      <c r="S1241" s="6"/>
    </row>
    <row r="1242" spans="1:19" ht="25.5" x14ac:dyDescent="0.25">
      <c r="A1242" s="5" t="s">
        <v>3872</v>
      </c>
      <c r="B1242" s="5">
        <v>1241</v>
      </c>
      <c r="C1242" s="6" t="s">
        <v>3047</v>
      </c>
      <c r="D1242" s="6" t="s">
        <v>4862</v>
      </c>
      <c r="E1242" s="6">
        <v>36</v>
      </c>
      <c r="F1242" s="6" t="s">
        <v>915</v>
      </c>
      <c r="G1242" s="6">
        <v>1220</v>
      </c>
      <c r="H1242" s="6" t="s">
        <v>916</v>
      </c>
      <c r="I1242" s="6" t="s">
        <v>5029</v>
      </c>
      <c r="J1242" s="6" t="s">
        <v>5030</v>
      </c>
      <c r="K1242" s="6" t="s">
        <v>3331</v>
      </c>
      <c r="L1242" s="6">
        <v>9816739</v>
      </c>
      <c r="M1242" s="6" t="s">
        <v>858</v>
      </c>
      <c r="N1242" s="6" t="s">
        <v>1532</v>
      </c>
      <c r="O1242" s="6">
        <v>159</v>
      </c>
      <c r="P1242" s="6" t="s">
        <v>207</v>
      </c>
      <c r="Q1242" s="6" t="s">
        <v>3332</v>
      </c>
      <c r="R1242" s="8" t="s">
        <v>1808</v>
      </c>
      <c r="S1242" s="6"/>
    </row>
    <row r="1243" spans="1:19" ht="25.5" x14ac:dyDescent="0.25">
      <c r="A1243" s="5" t="s">
        <v>3872</v>
      </c>
      <c r="B1243" s="5">
        <v>1242</v>
      </c>
      <c r="C1243" s="6" t="s">
        <v>3048</v>
      </c>
      <c r="D1243" s="6" t="s">
        <v>4862</v>
      </c>
      <c r="E1243" s="6">
        <v>55</v>
      </c>
      <c r="F1243" s="6" t="s">
        <v>708</v>
      </c>
      <c r="G1243" s="6">
        <v>1879</v>
      </c>
      <c r="H1243" s="6" t="s">
        <v>215</v>
      </c>
      <c r="I1243" s="6" t="s">
        <v>5031</v>
      </c>
      <c r="J1243" s="6" t="s">
        <v>4130</v>
      </c>
      <c r="K1243" s="6" t="s">
        <v>3331</v>
      </c>
      <c r="L1243" s="6">
        <v>42079994</v>
      </c>
      <c r="M1243" s="6" t="s">
        <v>858</v>
      </c>
      <c r="N1243" s="6" t="s">
        <v>1532</v>
      </c>
      <c r="O1243" s="6" t="s">
        <v>5032</v>
      </c>
      <c r="P1243" s="6" t="s">
        <v>1595</v>
      </c>
      <c r="Q1243" s="6" t="s">
        <v>3332</v>
      </c>
      <c r="R1243" s="8" t="s">
        <v>1808</v>
      </c>
      <c r="S1243" s="6"/>
    </row>
    <row r="1244" spans="1:19" ht="25.5" x14ac:dyDescent="0.25">
      <c r="A1244" s="5" t="s">
        <v>3872</v>
      </c>
      <c r="B1244" s="5">
        <v>1243</v>
      </c>
      <c r="C1244" s="6" t="s">
        <v>3049</v>
      </c>
      <c r="D1244" s="6" t="s">
        <v>4862</v>
      </c>
      <c r="E1244" s="6">
        <v>18</v>
      </c>
      <c r="F1244" s="6" t="s">
        <v>640</v>
      </c>
      <c r="G1244" s="6">
        <v>587</v>
      </c>
      <c r="H1244" s="6" t="s">
        <v>1596</v>
      </c>
      <c r="I1244" s="6" t="s">
        <v>5033</v>
      </c>
      <c r="J1244" s="6" t="s">
        <v>3584</v>
      </c>
      <c r="K1244" s="6" t="s">
        <v>3331</v>
      </c>
      <c r="L1244" s="6">
        <v>42164977</v>
      </c>
      <c r="M1244" s="6" t="s">
        <v>858</v>
      </c>
      <c r="N1244" s="6" t="s">
        <v>1532</v>
      </c>
      <c r="O1244" s="6">
        <v>149</v>
      </c>
      <c r="P1244" s="6" t="s">
        <v>1584</v>
      </c>
      <c r="Q1244" s="6" t="s">
        <v>3332</v>
      </c>
      <c r="R1244" s="8" t="s">
        <v>1808</v>
      </c>
      <c r="S1244" s="6"/>
    </row>
    <row r="1245" spans="1:19" ht="25.5" x14ac:dyDescent="0.25">
      <c r="A1245" s="5" t="s">
        <v>3872</v>
      </c>
      <c r="B1245" s="5">
        <v>1244</v>
      </c>
      <c r="C1245" s="6" t="s">
        <v>3050</v>
      </c>
      <c r="D1245" s="6" t="s">
        <v>4862</v>
      </c>
      <c r="E1245" s="6">
        <v>35</v>
      </c>
      <c r="F1245" s="6" t="s">
        <v>1597</v>
      </c>
      <c r="G1245" s="6">
        <v>1158</v>
      </c>
      <c r="H1245" s="6" t="s">
        <v>1598</v>
      </c>
      <c r="I1245" s="6" t="s">
        <v>5034</v>
      </c>
      <c r="J1245" s="6" t="s">
        <v>3694</v>
      </c>
      <c r="K1245" s="6" t="s">
        <v>3331</v>
      </c>
      <c r="L1245" s="6">
        <v>1088010318</v>
      </c>
      <c r="M1245" s="6" t="s">
        <v>858</v>
      </c>
      <c r="N1245" s="6" t="s">
        <v>1532</v>
      </c>
      <c r="O1245" s="6">
        <v>175</v>
      </c>
      <c r="P1245" s="6" t="s">
        <v>1599</v>
      </c>
      <c r="Q1245" s="6" t="s">
        <v>3332</v>
      </c>
      <c r="R1245" s="8" t="s">
        <v>1808</v>
      </c>
      <c r="S1245" s="6"/>
    </row>
    <row r="1246" spans="1:19" ht="25.5" x14ac:dyDescent="0.25">
      <c r="A1246" s="5" t="s">
        <v>3872</v>
      </c>
      <c r="B1246" s="5">
        <v>1245</v>
      </c>
      <c r="C1246" s="6" t="s">
        <v>3051</v>
      </c>
      <c r="D1246" s="6" t="s">
        <v>4862</v>
      </c>
      <c r="E1246" s="6">
        <v>35</v>
      </c>
      <c r="F1246" s="6" t="s">
        <v>1597</v>
      </c>
      <c r="G1246" s="6">
        <v>1158</v>
      </c>
      <c r="H1246" s="6" t="s">
        <v>1598</v>
      </c>
      <c r="I1246" s="6" t="s">
        <v>5035</v>
      </c>
      <c r="J1246" s="6" t="s">
        <v>5036</v>
      </c>
      <c r="K1246" s="6" t="s">
        <v>3331</v>
      </c>
      <c r="L1246" s="6">
        <v>4515995</v>
      </c>
      <c r="M1246" s="6" t="s">
        <v>858</v>
      </c>
      <c r="N1246" s="6" t="s">
        <v>1532</v>
      </c>
      <c r="O1246" s="6">
        <v>110</v>
      </c>
      <c r="P1246" s="6" t="s">
        <v>1568</v>
      </c>
      <c r="Q1246" s="6" t="s">
        <v>3332</v>
      </c>
      <c r="R1246" s="8" t="s">
        <v>1808</v>
      </c>
      <c r="S1246" s="6"/>
    </row>
    <row r="1247" spans="1:19" ht="25.5" x14ac:dyDescent="0.25">
      <c r="A1247" s="5" t="s">
        <v>3872</v>
      </c>
      <c r="B1247" s="5">
        <v>1246</v>
      </c>
      <c r="C1247" s="6" t="s">
        <v>3052</v>
      </c>
      <c r="D1247" s="6" t="s">
        <v>4862</v>
      </c>
      <c r="E1247" s="6">
        <v>54</v>
      </c>
      <c r="F1247" s="6" t="s">
        <v>1600</v>
      </c>
      <c r="G1247" s="6">
        <v>1625</v>
      </c>
      <c r="H1247" s="6" t="s">
        <v>1601</v>
      </c>
      <c r="I1247" s="6" t="s">
        <v>5037</v>
      </c>
      <c r="J1247" s="6" t="s">
        <v>5038</v>
      </c>
      <c r="K1247" s="6" t="s">
        <v>3331</v>
      </c>
      <c r="L1247" s="6">
        <v>10118674</v>
      </c>
      <c r="M1247" s="6" t="s">
        <v>858</v>
      </c>
      <c r="N1247" s="6" t="s">
        <v>1593</v>
      </c>
      <c r="O1247" s="6">
        <v>91</v>
      </c>
      <c r="P1247" s="6" t="s">
        <v>1602</v>
      </c>
      <c r="Q1247" s="6" t="s">
        <v>3332</v>
      </c>
      <c r="R1247" s="8" t="s">
        <v>1808</v>
      </c>
      <c r="S1247" s="6"/>
    </row>
    <row r="1248" spans="1:19" ht="25.5" x14ac:dyDescent="0.25">
      <c r="A1248" s="5" t="s">
        <v>3872</v>
      </c>
      <c r="B1248" s="5">
        <v>1247</v>
      </c>
      <c r="C1248" s="6" t="s">
        <v>3053</v>
      </c>
      <c r="D1248" s="6" t="s">
        <v>4862</v>
      </c>
      <c r="E1248" s="6">
        <v>57</v>
      </c>
      <c r="F1248" s="6" t="s">
        <v>1603</v>
      </c>
      <c r="G1248" s="6">
        <v>1709</v>
      </c>
      <c r="H1248" s="6" t="s">
        <v>224</v>
      </c>
      <c r="I1248" s="6" t="s">
        <v>5039</v>
      </c>
      <c r="J1248" s="6" t="s">
        <v>4221</v>
      </c>
      <c r="K1248" s="6" t="s">
        <v>3331</v>
      </c>
      <c r="L1248" s="6">
        <v>10033930</v>
      </c>
      <c r="M1248" s="6" t="s">
        <v>858</v>
      </c>
      <c r="N1248" s="6" t="s">
        <v>1532</v>
      </c>
      <c r="O1248" s="6">
        <v>182</v>
      </c>
      <c r="P1248" s="6" t="s">
        <v>1604</v>
      </c>
      <c r="Q1248" s="6" t="s">
        <v>3332</v>
      </c>
      <c r="R1248" s="8" t="s">
        <v>1808</v>
      </c>
      <c r="S1248" s="6"/>
    </row>
    <row r="1249" spans="1:19" ht="25.5" x14ac:dyDescent="0.25">
      <c r="A1249" s="5" t="s">
        <v>3872</v>
      </c>
      <c r="B1249" s="5">
        <v>1248</v>
      </c>
      <c r="C1249" s="6" t="s">
        <v>3054</v>
      </c>
      <c r="D1249" s="6" t="s">
        <v>4862</v>
      </c>
      <c r="E1249" s="6">
        <v>74</v>
      </c>
      <c r="F1249" s="6" t="s">
        <v>1605</v>
      </c>
      <c r="G1249" s="6">
        <v>2241</v>
      </c>
      <c r="H1249" s="6" t="s">
        <v>946</v>
      </c>
      <c r="I1249" s="6" t="s">
        <v>5040</v>
      </c>
      <c r="J1249" s="6" t="s">
        <v>5041</v>
      </c>
      <c r="K1249" s="6" t="s">
        <v>3331</v>
      </c>
      <c r="L1249" s="6">
        <v>1088250391</v>
      </c>
      <c r="M1249" s="6" t="s">
        <v>858</v>
      </c>
      <c r="N1249" s="6" t="s">
        <v>1532</v>
      </c>
      <c r="O1249" s="6">
        <v>145</v>
      </c>
      <c r="P1249" s="6" t="s">
        <v>1586</v>
      </c>
      <c r="Q1249" s="6" t="s">
        <v>3332</v>
      </c>
      <c r="R1249" s="8" t="s">
        <v>1808</v>
      </c>
      <c r="S1249" s="6"/>
    </row>
    <row r="1250" spans="1:19" ht="25.5" x14ac:dyDescent="0.25">
      <c r="A1250" s="5" t="s">
        <v>3872</v>
      </c>
      <c r="B1250" s="5">
        <v>1249</v>
      </c>
      <c r="C1250" s="6" t="s">
        <v>3055</v>
      </c>
      <c r="D1250" s="6" t="s">
        <v>4862</v>
      </c>
      <c r="E1250" s="6">
        <v>74</v>
      </c>
      <c r="F1250" s="6" t="s">
        <v>1605</v>
      </c>
      <c r="G1250" s="6">
        <v>2241</v>
      </c>
      <c r="H1250" s="6" t="s">
        <v>946</v>
      </c>
      <c r="I1250" s="6" t="s">
        <v>5042</v>
      </c>
      <c r="J1250" s="6" t="s">
        <v>5043</v>
      </c>
      <c r="K1250" s="6" t="s">
        <v>3331</v>
      </c>
      <c r="L1250" s="6">
        <v>1088254006</v>
      </c>
      <c r="M1250" s="6" t="s">
        <v>858</v>
      </c>
      <c r="N1250" s="6" t="s">
        <v>1532</v>
      </c>
      <c r="O1250" s="6">
        <v>143</v>
      </c>
      <c r="P1250" s="6" t="s">
        <v>1586</v>
      </c>
      <c r="Q1250" s="6" t="s">
        <v>3332</v>
      </c>
      <c r="R1250" s="8" t="s">
        <v>1808</v>
      </c>
      <c r="S1250" s="6"/>
    </row>
    <row r="1251" spans="1:19" ht="25.5" x14ac:dyDescent="0.25">
      <c r="A1251" s="5" t="s">
        <v>3872</v>
      </c>
      <c r="B1251" s="5">
        <v>1250</v>
      </c>
      <c r="C1251" s="6" t="s">
        <v>3056</v>
      </c>
      <c r="D1251" s="6" t="s">
        <v>4862</v>
      </c>
      <c r="E1251" s="6">
        <v>12</v>
      </c>
      <c r="F1251" s="6" t="s">
        <v>1606</v>
      </c>
      <c r="G1251" s="6">
        <v>365</v>
      </c>
      <c r="H1251" s="6" t="s">
        <v>1010</v>
      </c>
      <c r="I1251" s="6" t="s">
        <v>5044</v>
      </c>
      <c r="J1251" s="6" t="s">
        <v>3455</v>
      </c>
      <c r="K1251" s="6" t="s">
        <v>3331</v>
      </c>
      <c r="L1251" s="6">
        <v>42110684</v>
      </c>
      <c r="M1251" s="6" t="s">
        <v>858</v>
      </c>
      <c r="N1251" s="6" t="s">
        <v>1532</v>
      </c>
      <c r="O1251" s="6" t="s">
        <v>5045</v>
      </c>
      <c r="P1251" s="6" t="s">
        <v>1571</v>
      </c>
      <c r="Q1251" s="6" t="s">
        <v>3332</v>
      </c>
      <c r="R1251" s="8" t="s">
        <v>1808</v>
      </c>
      <c r="S1251" s="6"/>
    </row>
    <row r="1252" spans="1:19" ht="25.5" x14ac:dyDescent="0.25">
      <c r="A1252" s="5" t="s">
        <v>3872</v>
      </c>
      <c r="B1252" s="5">
        <v>1251</v>
      </c>
      <c r="C1252" s="6" t="s">
        <v>3057</v>
      </c>
      <c r="D1252" s="6" t="s">
        <v>4862</v>
      </c>
      <c r="E1252" s="6">
        <v>12</v>
      </c>
      <c r="F1252" s="6" t="s">
        <v>1606</v>
      </c>
      <c r="G1252" s="6">
        <v>365</v>
      </c>
      <c r="H1252" s="6" t="s">
        <v>1010</v>
      </c>
      <c r="I1252" s="6" t="s">
        <v>5046</v>
      </c>
      <c r="J1252" s="6" t="s">
        <v>5047</v>
      </c>
      <c r="K1252" s="6" t="s">
        <v>3331</v>
      </c>
      <c r="L1252" s="6">
        <v>34044119</v>
      </c>
      <c r="M1252" s="6" t="s">
        <v>858</v>
      </c>
      <c r="N1252" s="6" t="s">
        <v>1532</v>
      </c>
      <c r="O1252" s="6" t="s">
        <v>5045</v>
      </c>
      <c r="P1252" s="6" t="s">
        <v>1607</v>
      </c>
      <c r="Q1252" s="6" t="s">
        <v>3332</v>
      </c>
      <c r="R1252" s="8" t="s">
        <v>1808</v>
      </c>
      <c r="S1252" s="6"/>
    </row>
    <row r="1253" spans="1:19" ht="25.5" x14ac:dyDescent="0.25">
      <c r="A1253" s="5" t="s">
        <v>3872</v>
      </c>
      <c r="B1253" s="5">
        <v>1252</v>
      </c>
      <c r="C1253" s="6" t="s">
        <v>3058</v>
      </c>
      <c r="D1253" s="6" t="s">
        <v>4862</v>
      </c>
      <c r="E1253" s="6">
        <v>12</v>
      </c>
      <c r="F1253" s="6" t="s">
        <v>1606</v>
      </c>
      <c r="G1253" s="6">
        <v>365</v>
      </c>
      <c r="H1253" s="6" t="s">
        <v>1010</v>
      </c>
      <c r="I1253" s="6" t="s">
        <v>5048</v>
      </c>
      <c r="J1253" s="6" t="s">
        <v>3733</v>
      </c>
      <c r="K1253" s="6" t="s">
        <v>3331</v>
      </c>
      <c r="L1253" s="6">
        <v>42105274</v>
      </c>
      <c r="M1253" s="6" t="s">
        <v>858</v>
      </c>
      <c r="N1253" s="6" t="s">
        <v>1532</v>
      </c>
      <c r="O1253" s="6" t="s">
        <v>5045</v>
      </c>
      <c r="P1253" s="6" t="s">
        <v>1608</v>
      </c>
      <c r="Q1253" s="6" t="s">
        <v>3332</v>
      </c>
      <c r="R1253" s="8" t="s">
        <v>1808</v>
      </c>
      <c r="S1253" s="6"/>
    </row>
    <row r="1254" spans="1:19" ht="25.5" x14ac:dyDescent="0.25">
      <c r="A1254" s="5" t="s">
        <v>3872</v>
      </c>
      <c r="B1254" s="5">
        <v>1253</v>
      </c>
      <c r="C1254" s="6" t="s">
        <v>3059</v>
      </c>
      <c r="D1254" s="6" t="s">
        <v>4862</v>
      </c>
      <c r="E1254" s="6">
        <v>46</v>
      </c>
      <c r="F1254" s="6" t="s">
        <v>1609</v>
      </c>
      <c r="G1254" s="6">
        <v>1352</v>
      </c>
      <c r="H1254" s="6" t="s">
        <v>739</v>
      </c>
      <c r="I1254" s="6" t="s">
        <v>4944</v>
      </c>
      <c r="J1254" s="6" t="s">
        <v>4451</v>
      </c>
      <c r="K1254" s="6" t="s">
        <v>3331</v>
      </c>
      <c r="L1254" s="6">
        <v>42071450</v>
      </c>
      <c r="M1254" s="6" t="s">
        <v>858</v>
      </c>
      <c r="N1254" s="6" t="s">
        <v>1532</v>
      </c>
      <c r="O1254" s="6">
        <v>280</v>
      </c>
      <c r="P1254" s="6" t="s">
        <v>1610</v>
      </c>
      <c r="Q1254" s="6" t="s">
        <v>3332</v>
      </c>
      <c r="R1254" s="8" t="s">
        <v>1808</v>
      </c>
      <c r="S1254" s="6"/>
    </row>
    <row r="1255" spans="1:19" ht="25.5" x14ac:dyDescent="0.25">
      <c r="A1255" s="5" t="s">
        <v>3872</v>
      </c>
      <c r="B1255" s="5">
        <v>1254</v>
      </c>
      <c r="C1255" s="6" t="s">
        <v>3060</v>
      </c>
      <c r="D1255" s="6" t="s">
        <v>4862</v>
      </c>
      <c r="E1255" s="6">
        <v>54</v>
      </c>
      <c r="F1255" s="6" t="s">
        <v>1463</v>
      </c>
      <c r="G1255" s="6">
        <v>1539</v>
      </c>
      <c r="H1255" s="6" t="s">
        <v>1464</v>
      </c>
      <c r="I1255" s="6" t="s">
        <v>5049</v>
      </c>
      <c r="J1255" s="6" t="s">
        <v>5050</v>
      </c>
      <c r="K1255" s="6" t="s">
        <v>3331</v>
      </c>
      <c r="L1255" s="6">
        <v>10134966</v>
      </c>
      <c r="M1255" s="6" t="s">
        <v>858</v>
      </c>
      <c r="N1255" s="6" t="s">
        <v>1532</v>
      </c>
      <c r="O1255" s="6">
        <v>70</v>
      </c>
      <c r="P1255" s="6" t="s">
        <v>173</v>
      </c>
      <c r="Q1255" s="6" t="s">
        <v>3332</v>
      </c>
      <c r="R1255" s="8" t="s">
        <v>1808</v>
      </c>
      <c r="S1255" s="6"/>
    </row>
    <row r="1256" spans="1:19" ht="25.5" x14ac:dyDescent="0.25">
      <c r="A1256" s="5" t="s">
        <v>3872</v>
      </c>
      <c r="B1256" s="5">
        <v>1255</v>
      </c>
      <c r="C1256" s="6" t="s">
        <v>3061</v>
      </c>
      <c r="D1256" s="6" t="s">
        <v>4862</v>
      </c>
      <c r="E1256" s="6">
        <v>61</v>
      </c>
      <c r="F1256" s="6" t="s">
        <v>1611</v>
      </c>
      <c r="G1256" s="6">
        <v>1732</v>
      </c>
      <c r="H1256" s="6" t="s">
        <v>170</v>
      </c>
      <c r="I1256" s="6" t="s">
        <v>5051</v>
      </c>
      <c r="J1256" s="6" t="s">
        <v>5052</v>
      </c>
      <c r="K1256" s="6" t="s">
        <v>3331</v>
      </c>
      <c r="L1256" s="6">
        <v>9869270</v>
      </c>
      <c r="M1256" s="6" t="s">
        <v>858</v>
      </c>
      <c r="N1256" s="6" t="s">
        <v>1532</v>
      </c>
      <c r="O1256" s="6">
        <v>131</v>
      </c>
      <c r="P1256" s="6" t="s">
        <v>1612</v>
      </c>
      <c r="Q1256" s="6" t="s">
        <v>3332</v>
      </c>
      <c r="R1256" s="8" t="s">
        <v>1808</v>
      </c>
      <c r="S1256" s="6"/>
    </row>
    <row r="1257" spans="1:19" ht="25.5" x14ac:dyDescent="0.25">
      <c r="A1257" s="5" t="s">
        <v>3872</v>
      </c>
      <c r="B1257" s="5">
        <v>1256</v>
      </c>
      <c r="C1257" s="6" t="s">
        <v>3062</v>
      </c>
      <c r="D1257" s="6" t="s">
        <v>4862</v>
      </c>
      <c r="E1257" s="6">
        <v>12</v>
      </c>
      <c r="F1257" s="6" t="s">
        <v>1613</v>
      </c>
      <c r="G1257" s="6">
        <v>368</v>
      </c>
      <c r="H1257" s="6" t="s">
        <v>255</v>
      </c>
      <c r="I1257" s="6" t="s">
        <v>5053</v>
      </c>
      <c r="J1257" s="6" t="s">
        <v>3385</v>
      </c>
      <c r="K1257" s="6" t="s">
        <v>3331</v>
      </c>
      <c r="L1257" s="6">
        <v>25058120</v>
      </c>
      <c r="M1257" s="6" t="s">
        <v>858</v>
      </c>
      <c r="N1257" s="6" t="s">
        <v>1532</v>
      </c>
      <c r="O1257" s="6">
        <v>192</v>
      </c>
      <c r="P1257" s="6" t="s">
        <v>1614</v>
      </c>
      <c r="Q1257" s="6" t="s">
        <v>3332</v>
      </c>
      <c r="R1257" s="8" t="s">
        <v>1808</v>
      </c>
      <c r="S1257" s="6"/>
    </row>
    <row r="1258" spans="1:19" ht="25.5" x14ac:dyDescent="0.25">
      <c r="A1258" s="5" t="s">
        <v>3872</v>
      </c>
      <c r="B1258" s="5">
        <v>1257</v>
      </c>
      <c r="C1258" s="6" t="s">
        <v>3063</v>
      </c>
      <c r="D1258" s="6" t="s">
        <v>4862</v>
      </c>
      <c r="E1258" s="6">
        <v>16</v>
      </c>
      <c r="F1258" s="6" t="s">
        <v>1615</v>
      </c>
      <c r="G1258" s="6">
        <v>444</v>
      </c>
      <c r="H1258" s="6" t="s">
        <v>258</v>
      </c>
      <c r="I1258" s="6" t="s">
        <v>5054</v>
      </c>
      <c r="J1258" s="6" t="s">
        <v>3663</v>
      </c>
      <c r="K1258" s="6" t="s">
        <v>5055</v>
      </c>
      <c r="L1258" s="6">
        <v>10024095</v>
      </c>
      <c r="M1258" s="6" t="s">
        <v>858</v>
      </c>
      <c r="N1258" s="6" t="s">
        <v>1532</v>
      </c>
      <c r="O1258" s="6" t="s">
        <v>5045</v>
      </c>
      <c r="P1258" s="6" t="s">
        <v>1616</v>
      </c>
      <c r="Q1258" s="6" t="s">
        <v>3332</v>
      </c>
      <c r="R1258" s="8" t="s">
        <v>1808</v>
      </c>
      <c r="S1258" s="6"/>
    </row>
    <row r="1259" spans="1:19" ht="25.5" x14ac:dyDescent="0.25">
      <c r="A1259" s="5" t="s">
        <v>3872</v>
      </c>
      <c r="B1259" s="5">
        <v>1258</v>
      </c>
      <c r="C1259" s="6" t="s">
        <v>3064</v>
      </c>
      <c r="D1259" s="6" t="s">
        <v>4862</v>
      </c>
      <c r="E1259" s="6">
        <v>24</v>
      </c>
      <c r="F1259" s="6" t="s">
        <v>1617</v>
      </c>
      <c r="G1259" s="6">
        <v>584</v>
      </c>
      <c r="H1259" s="6" t="s">
        <v>262</v>
      </c>
      <c r="I1259" s="6" t="s">
        <v>5056</v>
      </c>
      <c r="J1259" s="6" t="s">
        <v>4945</v>
      </c>
      <c r="K1259" s="6" t="s">
        <v>3331</v>
      </c>
      <c r="L1259" s="6">
        <v>18610838</v>
      </c>
      <c r="M1259" s="6" t="s">
        <v>858</v>
      </c>
      <c r="N1259" s="6" t="s">
        <v>1593</v>
      </c>
      <c r="O1259" s="6">
        <v>86</v>
      </c>
      <c r="P1259" s="6" t="s">
        <v>1191</v>
      </c>
      <c r="Q1259" s="6" t="s">
        <v>3332</v>
      </c>
      <c r="R1259" s="8" t="s">
        <v>1808</v>
      </c>
      <c r="S1259" s="6"/>
    </row>
    <row r="1260" spans="1:19" ht="25.5" x14ac:dyDescent="0.25">
      <c r="A1260" s="5" t="s">
        <v>3872</v>
      </c>
      <c r="B1260" s="5">
        <v>1259</v>
      </c>
      <c r="C1260" s="6" t="s">
        <v>3065</v>
      </c>
      <c r="D1260" s="6" t="s">
        <v>4862</v>
      </c>
      <c r="E1260" s="6">
        <v>13</v>
      </c>
      <c r="F1260" s="6" t="s">
        <v>508</v>
      </c>
      <c r="G1260" s="6">
        <v>1618</v>
      </c>
      <c r="H1260" s="6" t="s">
        <v>509</v>
      </c>
      <c r="I1260" s="6" t="s">
        <v>5057</v>
      </c>
      <c r="J1260" s="6" t="s">
        <v>3470</v>
      </c>
      <c r="K1260" s="6" t="s">
        <v>3331</v>
      </c>
      <c r="L1260" s="6">
        <v>4453386</v>
      </c>
      <c r="M1260" s="6" t="s">
        <v>1531</v>
      </c>
      <c r="N1260" s="6" t="s">
        <v>1559</v>
      </c>
      <c r="O1260" s="12" t="s">
        <v>21</v>
      </c>
      <c r="P1260" s="6" t="s">
        <v>21</v>
      </c>
      <c r="Q1260" s="6" t="s">
        <v>3332</v>
      </c>
      <c r="R1260" s="8" t="s">
        <v>1808</v>
      </c>
      <c r="S1260" s="6"/>
    </row>
    <row r="1261" spans="1:19" ht="25.5" x14ac:dyDescent="0.25">
      <c r="A1261" s="5" t="s">
        <v>3872</v>
      </c>
      <c r="B1261" s="5">
        <v>1260</v>
      </c>
      <c r="C1261" s="6" t="s">
        <v>3066</v>
      </c>
      <c r="D1261" s="6" t="s">
        <v>4862</v>
      </c>
      <c r="E1261" s="6">
        <v>16</v>
      </c>
      <c r="F1261" s="6" t="s">
        <v>1561</v>
      </c>
      <c r="G1261" s="6">
        <v>2693</v>
      </c>
      <c r="H1261" s="6" t="s">
        <v>962</v>
      </c>
      <c r="I1261" s="6" t="s">
        <v>5058</v>
      </c>
      <c r="J1261" s="6" t="s">
        <v>3731</v>
      </c>
      <c r="K1261" s="6" t="s">
        <v>3331</v>
      </c>
      <c r="L1261" s="6">
        <v>42067738</v>
      </c>
      <c r="M1261" s="6" t="s">
        <v>1531</v>
      </c>
      <c r="N1261" s="6" t="s">
        <v>1559</v>
      </c>
      <c r="O1261" s="6" t="s">
        <v>21</v>
      </c>
      <c r="P1261" s="6" t="s">
        <v>1618</v>
      </c>
      <c r="Q1261" s="6" t="s">
        <v>3332</v>
      </c>
      <c r="R1261" s="8" t="s">
        <v>1808</v>
      </c>
      <c r="S1261" s="6"/>
    </row>
    <row r="1262" spans="1:19" ht="25.5" x14ac:dyDescent="0.25">
      <c r="A1262" s="5" t="s">
        <v>3872</v>
      </c>
      <c r="B1262" s="5">
        <v>1261</v>
      </c>
      <c r="C1262" s="6" t="s">
        <v>3067</v>
      </c>
      <c r="D1262" s="6" t="s">
        <v>4862</v>
      </c>
      <c r="E1262" s="6">
        <v>2</v>
      </c>
      <c r="F1262" s="6" t="s">
        <v>1619</v>
      </c>
      <c r="G1262" s="6">
        <v>2823</v>
      </c>
      <c r="H1262" s="6" t="s">
        <v>1620</v>
      </c>
      <c r="I1262" s="6" t="s">
        <v>5059</v>
      </c>
      <c r="J1262" s="6" t="s">
        <v>3393</v>
      </c>
      <c r="K1262" s="6" t="s">
        <v>3331</v>
      </c>
      <c r="L1262" s="6">
        <v>43095443</v>
      </c>
      <c r="M1262" s="6" t="s">
        <v>1531</v>
      </c>
      <c r="N1262" s="6" t="s">
        <v>1532</v>
      </c>
      <c r="O1262" s="6" t="s">
        <v>21</v>
      </c>
      <c r="P1262" s="6" t="s">
        <v>1621</v>
      </c>
      <c r="Q1262" s="6" t="s">
        <v>3332</v>
      </c>
      <c r="R1262" s="8" t="s">
        <v>1808</v>
      </c>
      <c r="S1262" s="6"/>
    </row>
    <row r="1263" spans="1:19" ht="25.5" x14ac:dyDescent="0.25">
      <c r="A1263" s="5" t="s">
        <v>3872</v>
      </c>
      <c r="B1263" s="5">
        <v>1262</v>
      </c>
      <c r="C1263" s="6" t="s">
        <v>3068</v>
      </c>
      <c r="D1263" s="6" t="s">
        <v>4862</v>
      </c>
      <c r="E1263" s="6">
        <v>28</v>
      </c>
      <c r="F1263" s="6" t="s">
        <v>1622</v>
      </c>
      <c r="G1263" s="6">
        <v>681</v>
      </c>
      <c r="H1263" s="6" t="s">
        <v>337</v>
      </c>
      <c r="I1263" s="6" t="s">
        <v>5060</v>
      </c>
      <c r="J1263" s="6" t="s">
        <v>5061</v>
      </c>
      <c r="K1263" s="6" t="s">
        <v>3331</v>
      </c>
      <c r="L1263" s="6">
        <v>77011017</v>
      </c>
      <c r="M1263" s="6" t="s">
        <v>1531</v>
      </c>
      <c r="N1263" s="6" t="s">
        <v>1532</v>
      </c>
      <c r="O1263" s="12">
        <v>114</v>
      </c>
      <c r="P1263" s="6" t="s">
        <v>1623</v>
      </c>
      <c r="Q1263" s="6" t="s">
        <v>3332</v>
      </c>
      <c r="R1263" s="8" t="s">
        <v>1808</v>
      </c>
      <c r="S1263" s="6"/>
    </row>
    <row r="1264" spans="1:19" ht="25.5" x14ac:dyDescent="0.25">
      <c r="A1264" s="5" t="s">
        <v>3872</v>
      </c>
      <c r="B1264" s="5">
        <v>1263</v>
      </c>
      <c r="C1264" s="6" t="s">
        <v>3069</v>
      </c>
      <c r="D1264" s="6" t="s">
        <v>5062</v>
      </c>
      <c r="E1264" s="6">
        <v>2914</v>
      </c>
      <c r="F1264" s="6" t="s">
        <v>1624</v>
      </c>
      <c r="G1264" s="6">
        <v>551</v>
      </c>
      <c r="H1264" s="6" t="s">
        <v>1625</v>
      </c>
      <c r="I1264" s="6" t="s">
        <v>5063</v>
      </c>
      <c r="J1264" s="6" t="s">
        <v>3334</v>
      </c>
      <c r="K1264" s="6" t="s">
        <v>3331</v>
      </c>
      <c r="L1264" s="6">
        <v>63281465</v>
      </c>
      <c r="M1264" s="6" t="s">
        <v>1626</v>
      </c>
      <c r="N1264" s="6" t="s">
        <v>1627</v>
      </c>
      <c r="O1264" s="6" t="s">
        <v>21</v>
      </c>
      <c r="P1264" s="6" t="s">
        <v>21</v>
      </c>
      <c r="Q1264" s="6" t="s">
        <v>3332</v>
      </c>
      <c r="R1264" s="8" t="s">
        <v>1808</v>
      </c>
      <c r="S1264" s="6"/>
    </row>
    <row r="1265" spans="1:19" ht="25.5" x14ac:dyDescent="0.25">
      <c r="A1265" s="5" t="s">
        <v>3872</v>
      </c>
      <c r="B1265" s="5">
        <v>1264</v>
      </c>
      <c r="C1265" s="6" t="s">
        <v>3070</v>
      </c>
      <c r="D1265" s="6" t="s">
        <v>5062</v>
      </c>
      <c r="E1265" s="6">
        <v>3071</v>
      </c>
      <c r="F1265" s="6" t="s">
        <v>1628</v>
      </c>
      <c r="G1265" s="6">
        <v>1365</v>
      </c>
      <c r="H1265" s="6" t="s">
        <v>373</v>
      </c>
      <c r="I1265" s="6" t="s">
        <v>5064</v>
      </c>
      <c r="J1265" s="6" t="s">
        <v>5065</v>
      </c>
      <c r="K1265" s="6" t="s">
        <v>3331</v>
      </c>
      <c r="L1265" s="6">
        <v>63277709</v>
      </c>
      <c r="M1265" s="6" t="s">
        <v>41</v>
      </c>
      <c r="N1265" s="6" t="s">
        <v>1629</v>
      </c>
      <c r="O1265" s="6" t="s">
        <v>21</v>
      </c>
      <c r="P1265" s="6" t="s">
        <v>21</v>
      </c>
      <c r="Q1265" s="6" t="s">
        <v>3332</v>
      </c>
      <c r="R1265" s="8" t="s">
        <v>1808</v>
      </c>
      <c r="S1265" s="6"/>
    </row>
    <row r="1266" spans="1:19" ht="25.5" x14ac:dyDescent="0.25">
      <c r="A1266" s="5" t="s">
        <v>3872</v>
      </c>
      <c r="B1266" s="5">
        <v>1265</v>
      </c>
      <c r="C1266" s="6" t="s">
        <v>3071</v>
      </c>
      <c r="D1266" s="6" t="s">
        <v>5062</v>
      </c>
      <c r="E1266" s="6">
        <v>44</v>
      </c>
      <c r="F1266" s="6" t="s">
        <v>629</v>
      </c>
      <c r="G1266" s="6">
        <v>1383</v>
      </c>
      <c r="H1266" s="6" t="s">
        <v>443</v>
      </c>
      <c r="I1266" s="6" t="s">
        <v>5066</v>
      </c>
      <c r="J1266" s="6" t="s">
        <v>3765</v>
      </c>
      <c r="K1266" s="6" t="s">
        <v>3331</v>
      </c>
      <c r="L1266" s="6">
        <v>91221113</v>
      </c>
      <c r="M1266" s="6" t="s">
        <v>41</v>
      </c>
      <c r="N1266" s="6" t="s">
        <v>1629</v>
      </c>
      <c r="O1266" s="12">
        <v>9405</v>
      </c>
      <c r="P1266" s="6" t="s">
        <v>1630</v>
      </c>
      <c r="Q1266" s="6" t="s">
        <v>3332</v>
      </c>
      <c r="R1266" s="8" t="s">
        <v>1808</v>
      </c>
      <c r="S1266" s="6"/>
    </row>
    <row r="1267" spans="1:19" ht="25.5" x14ac:dyDescent="0.25">
      <c r="A1267" s="5" t="s">
        <v>3872</v>
      </c>
      <c r="B1267" s="5">
        <v>1266</v>
      </c>
      <c r="C1267" s="6" t="s">
        <v>3072</v>
      </c>
      <c r="D1267" s="6" t="s">
        <v>5062</v>
      </c>
      <c r="E1267" s="6">
        <v>95</v>
      </c>
      <c r="F1267" s="6" t="s">
        <v>1208</v>
      </c>
      <c r="G1267" s="6">
        <v>2241</v>
      </c>
      <c r="H1267" s="6" t="s">
        <v>946</v>
      </c>
      <c r="I1267" s="6" t="s">
        <v>5067</v>
      </c>
      <c r="J1267" s="6" t="s">
        <v>5068</v>
      </c>
      <c r="K1267" s="6" t="s">
        <v>3331</v>
      </c>
      <c r="L1267" s="6">
        <v>9266041</v>
      </c>
      <c r="M1267" s="6" t="s">
        <v>269</v>
      </c>
      <c r="N1267" s="6" t="s">
        <v>270</v>
      </c>
      <c r="O1267" s="6">
        <v>2941340</v>
      </c>
      <c r="P1267" s="6" t="s">
        <v>1632</v>
      </c>
      <c r="Q1267" s="6" t="s">
        <v>3332</v>
      </c>
      <c r="R1267" s="8" t="s">
        <v>1808</v>
      </c>
      <c r="S1267" s="6"/>
    </row>
    <row r="1268" spans="1:19" ht="25.5" x14ac:dyDescent="0.25">
      <c r="A1268" s="5" t="s">
        <v>3872</v>
      </c>
      <c r="B1268" s="5">
        <v>1267</v>
      </c>
      <c r="C1268" s="6" t="s">
        <v>3073</v>
      </c>
      <c r="D1268" s="6" t="s">
        <v>5062</v>
      </c>
      <c r="E1268" s="6">
        <v>100</v>
      </c>
      <c r="F1268" s="6" t="s">
        <v>229</v>
      </c>
      <c r="G1268" s="6">
        <v>2273</v>
      </c>
      <c r="H1268" s="6" t="s">
        <v>230</v>
      </c>
      <c r="I1268" s="6" t="s">
        <v>5069</v>
      </c>
      <c r="J1268" s="6" t="s">
        <v>5070</v>
      </c>
      <c r="K1268" s="6" t="s">
        <v>3331</v>
      </c>
      <c r="L1268" s="6">
        <v>1098733732</v>
      </c>
      <c r="M1268" s="6" t="s">
        <v>269</v>
      </c>
      <c r="N1268" s="6" t="s">
        <v>270</v>
      </c>
      <c r="O1268" s="6">
        <v>2836511</v>
      </c>
      <c r="P1268" s="6" t="s">
        <v>1633</v>
      </c>
      <c r="Q1268" s="6" t="s">
        <v>3332</v>
      </c>
      <c r="R1268" s="8" t="s">
        <v>1808</v>
      </c>
      <c r="S1268" s="6"/>
    </row>
    <row r="1269" spans="1:19" ht="25.5" x14ac:dyDescent="0.25">
      <c r="A1269" s="5" t="s">
        <v>3872</v>
      </c>
      <c r="B1269" s="5">
        <v>1268</v>
      </c>
      <c r="C1269" s="6" t="s">
        <v>3074</v>
      </c>
      <c r="D1269" s="6" t="s">
        <v>5062</v>
      </c>
      <c r="E1269" s="6">
        <v>100</v>
      </c>
      <c r="F1269" s="6" t="s">
        <v>229</v>
      </c>
      <c r="G1269" s="6">
        <v>2273</v>
      </c>
      <c r="H1269" s="6" t="s">
        <v>230</v>
      </c>
      <c r="I1269" s="6" t="s">
        <v>5071</v>
      </c>
      <c r="J1269" s="6" t="s">
        <v>5072</v>
      </c>
      <c r="K1269" s="6" t="s">
        <v>3331</v>
      </c>
      <c r="L1269" s="6">
        <v>1102368130</v>
      </c>
      <c r="M1269" s="6" t="s">
        <v>269</v>
      </c>
      <c r="N1269" s="6" t="s">
        <v>270</v>
      </c>
      <c r="O1269" s="6">
        <v>88092</v>
      </c>
      <c r="P1269" s="6" t="s">
        <v>1634</v>
      </c>
      <c r="Q1269" s="6" t="s">
        <v>3332</v>
      </c>
      <c r="R1269" s="8" t="s">
        <v>1808</v>
      </c>
      <c r="S1269" s="6"/>
    </row>
    <row r="1270" spans="1:19" ht="25.5" x14ac:dyDescent="0.25">
      <c r="A1270" s="5" t="s">
        <v>3872</v>
      </c>
      <c r="B1270" s="5">
        <v>1269</v>
      </c>
      <c r="C1270" s="6" t="s">
        <v>3075</v>
      </c>
      <c r="D1270" s="6" t="s">
        <v>5062</v>
      </c>
      <c r="E1270" s="6">
        <v>100</v>
      </c>
      <c r="F1270" s="6" t="s">
        <v>229</v>
      </c>
      <c r="G1270" s="6">
        <v>2273</v>
      </c>
      <c r="H1270" s="6" t="s">
        <v>230</v>
      </c>
      <c r="I1270" s="6" t="s">
        <v>5073</v>
      </c>
      <c r="J1270" s="6" t="s">
        <v>4478</v>
      </c>
      <c r="K1270" s="6" t="s">
        <v>3331</v>
      </c>
      <c r="L1270" s="6">
        <v>1098669933</v>
      </c>
      <c r="M1270" s="6" t="s">
        <v>269</v>
      </c>
      <c r="N1270" s="6" t="s">
        <v>270</v>
      </c>
      <c r="O1270" s="6">
        <v>2869975</v>
      </c>
      <c r="P1270" s="6" t="s">
        <v>1633</v>
      </c>
      <c r="Q1270" s="6" t="s">
        <v>3332</v>
      </c>
      <c r="R1270" s="8" t="s">
        <v>1808</v>
      </c>
      <c r="S1270" s="6"/>
    </row>
    <row r="1271" spans="1:19" ht="25.5" x14ac:dyDescent="0.25">
      <c r="A1271" s="5" t="s">
        <v>3872</v>
      </c>
      <c r="B1271" s="5">
        <v>1270</v>
      </c>
      <c r="C1271" s="6" t="s">
        <v>3076</v>
      </c>
      <c r="D1271" s="6" t="s">
        <v>5062</v>
      </c>
      <c r="E1271" s="6">
        <v>2940</v>
      </c>
      <c r="F1271" s="6" t="s">
        <v>1635</v>
      </c>
      <c r="G1271" s="6">
        <v>678</v>
      </c>
      <c r="H1271" s="6" t="s">
        <v>882</v>
      </c>
      <c r="I1271" s="6" t="s">
        <v>5074</v>
      </c>
      <c r="J1271" s="6" t="s">
        <v>3807</v>
      </c>
      <c r="K1271" s="6" t="s">
        <v>3331</v>
      </c>
      <c r="L1271" s="6">
        <v>63300272</v>
      </c>
      <c r="M1271" s="6" t="s">
        <v>41</v>
      </c>
      <c r="N1271" s="6" t="s">
        <v>1629</v>
      </c>
      <c r="O1271" s="6" t="s">
        <v>21</v>
      </c>
      <c r="P1271" s="6" t="s">
        <v>21</v>
      </c>
      <c r="Q1271" s="6" t="s">
        <v>3332</v>
      </c>
      <c r="R1271" s="8" t="s">
        <v>1808</v>
      </c>
      <c r="S1271" s="6"/>
    </row>
    <row r="1272" spans="1:19" ht="25.5" x14ac:dyDescent="0.25">
      <c r="A1272" s="5" t="s">
        <v>3872</v>
      </c>
      <c r="B1272" s="5">
        <v>1271</v>
      </c>
      <c r="C1272" s="6" t="s">
        <v>3077</v>
      </c>
      <c r="D1272" s="6" t="s">
        <v>5062</v>
      </c>
      <c r="E1272" s="6">
        <v>2958</v>
      </c>
      <c r="F1272" s="6" t="s">
        <v>1636</v>
      </c>
      <c r="G1272" s="6">
        <v>795</v>
      </c>
      <c r="H1272" s="6" t="s">
        <v>105</v>
      </c>
      <c r="I1272" s="6" t="s">
        <v>5075</v>
      </c>
      <c r="J1272" s="6" t="s">
        <v>4698</v>
      </c>
      <c r="K1272" s="6" t="s">
        <v>3331</v>
      </c>
      <c r="L1272" s="6">
        <v>91226442</v>
      </c>
      <c r="M1272" s="6" t="s">
        <v>41</v>
      </c>
      <c r="N1272" s="6" t="s">
        <v>1629</v>
      </c>
      <c r="O1272" s="6" t="s">
        <v>21</v>
      </c>
      <c r="P1272" s="6" t="s">
        <v>21</v>
      </c>
      <c r="Q1272" s="6" t="s">
        <v>3332</v>
      </c>
      <c r="R1272" s="8" t="s">
        <v>1808</v>
      </c>
      <c r="S1272" s="6"/>
    </row>
    <row r="1273" spans="1:19" ht="25.5" x14ac:dyDescent="0.25">
      <c r="A1273" s="5" t="s">
        <v>3872</v>
      </c>
      <c r="B1273" s="5">
        <v>1272</v>
      </c>
      <c r="C1273" s="6" t="s">
        <v>3078</v>
      </c>
      <c r="D1273" s="6" t="s">
        <v>5062</v>
      </c>
      <c r="E1273" s="6">
        <v>2963</v>
      </c>
      <c r="F1273" s="6" t="s">
        <v>1085</v>
      </c>
      <c r="G1273" s="6">
        <v>820</v>
      </c>
      <c r="H1273" s="6" t="s">
        <v>779</v>
      </c>
      <c r="I1273" s="6" t="s">
        <v>5076</v>
      </c>
      <c r="J1273" s="6" t="s">
        <v>5077</v>
      </c>
      <c r="K1273" s="6" t="s">
        <v>3331</v>
      </c>
      <c r="L1273" s="6">
        <v>63302831</v>
      </c>
      <c r="M1273" s="6" t="s">
        <v>41</v>
      </c>
      <c r="N1273" s="6" t="s">
        <v>1629</v>
      </c>
      <c r="O1273" s="6" t="s">
        <v>21</v>
      </c>
      <c r="P1273" s="6" t="s">
        <v>21</v>
      </c>
      <c r="Q1273" s="6" t="s">
        <v>3332</v>
      </c>
      <c r="R1273" s="8" t="s">
        <v>1808</v>
      </c>
      <c r="S1273" s="6"/>
    </row>
    <row r="1274" spans="1:19" ht="25.5" x14ac:dyDescent="0.25">
      <c r="A1274" s="5" t="s">
        <v>3872</v>
      </c>
      <c r="B1274" s="5">
        <v>1273</v>
      </c>
      <c r="C1274" s="6" t="s">
        <v>3079</v>
      </c>
      <c r="D1274" s="6" t="s">
        <v>5062</v>
      </c>
      <c r="E1274" s="6">
        <v>3000</v>
      </c>
      <c r="F1274" s="6" t="s">
        <v>1637</v>
      </c>
      <c r="G1274" s="6">
        <v>1038</v>
      </c>
      <c r="H1274" s="6" t="s">
        <v>1090</v>
      </c>
      <c r="I1274" s="6" t="s">
        <v>5078</v>
      </c>
      <c r="J1274" s="6" t="s">
        <v>4773</v>
      </c>
      <c r="K1274" s="6" t="s">
        <v>3331</v>
      </c>
      <c r="L1274" s="6">
        <v>13922527</v>
      </c>
      <c r="M1274" s="6" t="s">
        <v>41</v>
      </c>
      <c r="N1274" s="6" t="s">
        <v>1629</v>
      </c>
      <c r="O1274" s="6" t="s">
        <v>21</v>
      </c>
      <c r="P1274" s="6" t="s">
        <v>21</v>
      </c>
      <c r="Q1274" s="6" t="s">
        <v>3332</v>
      </c>
      <c r="R1274" s="8" t="s">
        <v>1808</v>
      </c>
      <c r="S1274" s="6"/>
    </row>
    <row r="1275" spans="1:19" ht="25.5" x14ac:dyDescent="0.25">
      <c r="A1275" s="5" t="s">
        <v>3872</v>
      </c>
      <c r="B1275" s="5">
        <v>1274</v>
      </c>
      <c r="C1275" s="6" t="s">
        <v>3080</v>
      </c>
      <c r="D1275" s="6" t="s">
        <v>5062</v>
      </c>
      <c r="E1275" s="6">
        <v>2973</v>
      </c>
      <c r="F1275" s="6" t="s">
        <v>885</v>
      </c>
      <c r="G1275" s="6">
        <v>872</v>
      </c>
      <c r="H1275" s="6" t="s">
        <v>346</v>
      </c>
      <c r="I1275" s="6" t="s">
        <v>5079</v>
      </c>
      <c r="J1275" s="6" t="s">
        <v>3409</v>
      </c>
      <c r="K1275" s="6" t="s">
        <v>3331</v>
      </c>
      <c r="L1275" s="6">
        <v>63495052</v>
      </c>
      <c r="M1275" s="6" t="s">
        <v>1638</v>
      </c>
      <c r="N1275" s="6" t="s">
        <v>1639</v>
      </c>
      <c r="O1275" s="6" t="s">
        <v>21</v>
      </c>
      <c r="P1275" s="6" t="s">
        <v>21</v>
      </c>
      <c r="Q1275" s="6" t="s">
        <v>3332</v>
      </c>
      <c r="R1275" s="8" t="s">
        <v>1808</v>
      </c>
      <c r="S1275" s="6"/>
    </row>
    <row r="1276" spans="1:19" ht="25.5" x14ac:dyDescent="0.25">
      <c r="A1276" s="5" t="s">
        <v>3872</v>
      </c>
      <c r="B1276" s="5">
        <v>1275</v>
      </c>
      <c r="C1276" s="6" t="s">
        <v>3081</v>
      </c>
      <c r="D1276" s="6" t="s">
        <v>5062</v>
      </c>
      <c r="E1276" s="6">
        <v>2994</v>
      </c>
      <c r="F1276" s="6" t="s">
        <v>1640</v>
      </c>
      <c r="G1276" s="6">
        <v>984</v>
      </c>
      <c r="H1276" s="6" t="s">
        <v>1143</v>
      </c>
      <c r="I1276" s="6" t="s">
        <v>5080</v>
      </c>
      <c r="J1276" s="6" t="s">
        <v>4039</v>
      </c>
      <c r="K1276" s="6" t="s">
        <v>3331</v>
      </c>
      <c r="L1276" s="6">
        <v>63485372</v>
      </c>
      <c r="M1276" s="6" t="s">
        <v>1638</v>
      </c>
      <c r="N1276" s="6" t="s">
        <v>1627</v>
      </c>
      <c r="O1276" s="6" t="s">
        <v>21</v>
      </c>
      <c r="P1276" s="6" t="s">
        <v>21</v>
      </c>
      <c r="Q1276" s="6" t="s">
        <v>3332</v>
      </c>
      <c r="R1276" s="8" t="s">
        <v>1808</v>
      </c>
      <c r="S1276" s="6"/>
    </row>
    <row r="1277" spans="1:19" ht="25.5" x14ac:dyDescent="0.25">
      <c r="A1277" s="5" t="s">
        <v>3872</v>
      </c>
      <c r="B1277" s="5">
        <v>1276</v>
      </c>
      <c r="C1277" s="6" t="s">
        <v>3082</v>
      </c>
      <c r="D1277" s="6" t="s">
        <v>5062</v>
      </c>
      <c r="E1277" s="6">
        <v>3017</v>
      </c>
      <c r="F1277" s="6" t="s">
        <v>1091</v>
      </c>
      <c r="G1277" s="6">
        <v>1101</v>
      </c>
      <c r="H1277" s="6" t="s">
        <v>119</v>
      </c>
      <c r="I1277" s="6" t="s">
        <v>5081</v>
      </c>
      <c r="J1277" s="6" t="s">
        <v>5082</v>
      </c>
      <c r="K1277" s="6" t="s">
        <v>3331</v>
      </c>
      <c r="L1277" s="6">
        <v>63491209</v>
      </c>
      <c r="M1277" s="6" t="s">
        <v>1638</v>
      </c>
      <c r="N1277" s="6" t="s">
        <v>1639</v>
      </c>
      <c r="O1277" s="12" t="s">
        <v>21</v>
      </c>
      <c r="P1277" s="6" t="s">
        <v>21</v>
      </c>
      <c r="Q1277" s="6" t="s">
        <v>3332</v>
      </c>
      <c r="R1277" s="8" t="s">
        <v>1808</v>
      </c>
      <c r="S1277" s="6"/>
    </row>
    <row r="1278" spans="1:19" ht="25.5" x14ac:dyDescent="0.25">
      <c r="A1278" s="5" t="s">
        <v>3872</v>
      </c>
      <c r="B1278" s="5">
        <v>1277</v>
      </c>
      <c r="C1278" s="6" t="s">
        <v>3083</v>
      </c>
      <c r="D1278" s="6" t="s">
        <v>5062</v>
      </c>
      <c r="E1278" s="6">
        <v>2949</v>
      </c>
      <c r="F1278" s="6" t="s">
        <v>1641</v>
      </c>
      <c r="G1278" s="6">
        <v>739</v>
      </c>
      <c r="H1278" s="6" t="s">
        <v>100</v>
      </c>
      <c r="I1278" s="6" t="s">
        <v>5083</v>
      </c>
      <c r="J1278" s="6" t="s">
        <v>4008</v>
      </c>
      <c r="K1278" s="6" t="s">
        <v>3331</v>
      </c>
      <c r="L1278" s="6">
        <v>37815877</v>
      </c>
      <c r="M1278" s="6" t="s">
        <v>502</v>
      </c>
      <c r="N1278" s="6" t="s">
        <v>1629</v>
      </c>
      <c r="O1278" s="6" t="s">
        <v>21</v>
      </c>
      <c r="P1278" s="6" t="s">
        <v>21</v>
      </c>
      <c r="Q1278" s="6" t="s">
        <v>3332</v>
      </c>
      <c r="R1278" s="8" t="s">
        <v>1808</v>
      </c>
      <c r="S1278" s="6"/>
    </row>
    <row r="1279" spans="1:19" ht="25.5" x14ac:dyDescent="0.25">
      <c r="A1279" s="5" t="s">
        <v>3872</v>
      </c>
      <c r="B1279" s="5">
        <v>1278</v>
      </c>
      <c r="C1279" s="6" t="s">
        <v>3084</v>
      </c>
      <c r="D1279" s="6" t="s">
        <v>5062</v>
      </c>
      <c r="E1279" s="6">
        <v>2968</v>
      </c>
      <c r="F1279" s="6" t="s">
        <v>345</v>
      </c>
      <c r="G1279" s="6">
        <v>844</v>
      </c>
      <c r="H1279" s="6" t="s">
        <v>107</v>
      </c>
      <c r="I1279" s="6" t="s">
        <v>5084</v>
      </c>
      <c r="J1279" s="6" t="s">
        <v>3398</v>
      </c>
      <c r="K1279" s="6" t="s">
        <v>3331</v>
      </c>
      <c r="L1279" s="6">
        <v>37812156</v>
      </c>
      <c r="M1279" s="6" t="s">
        <v>502</v>
      </c>
      <c r="N1279" s="6" t="s">
        <v>1629</v>
      </c>
      <c r="O1279" s="6" t="s">
        <v>21</v>
      </c>
      <c r="P1279" s="6" t="s">
        <v>21</v>
      </c>
      <c r="Q1279" s="6" t="s">
        <v>3332</v>
      </c>
      <c r="R1279" s="8" t="s">
        <v>1808</v>
      </c>
      <c r="S1279" s="6"/>
    </row>
    <row r="1280" spans="1:19" ht="25.5" x14ac:dyDescent="0.25">
      <c r="A1280" s="5" t="s">
        <v>3872</v>
      </c>
      <c r="B1280" s="5">
        <v>1279</v>
      </c>
      <c r="C1280" s="6" t="s">
        <v>3085</v>
      </c>
      <c r="D1280" s="6" t="s">
        <v>5062</v>
      </c>
      <c r="E1280" s="6">
        <v>3112</v>
      </c>
      <c r="F1280" s="6" t="s">
        <v>1642</v>
      </c>
      <c r="G1280" s="6">
        <v>1619</v>
      </c>
      <c r="H1280" s="6" t="s">
        <v>509</v>
      </c>
      <c r="I1280" s="6" t="s">
        <v>5085</v>
      </c>
      <c r="J1280" s="6" t="s">
        <v>5086</v>
      </c>
      <c r="K1280" s="6" t="s">
        <v>3331</v>
      </c>
      <c r="L1280" s="6">
        <v>91213012</v>
      </c>
      <c r="M1280" s="6" t="s">
        <v>41</v>
      </c>
      <c r="N1280" s="6" t="s">
        <v>1629</v>
      </c>
      <c r="O1280" s="12" t="s">
        <v>21</v>
      </c>
      <c r="P1280" s="6" t="s">
        <v>21</v>
      </c>
      <c r="Q1280" s="6" t="s">
        <v>3332</v>
      </c>
      <c r="R1280" s="8" t="s">
        <v>1808</v>
      </c>
      <c r="S1280" s="6"/>
    </row>
    <row r="1281" spans="1:19" ht="25.5" x14ac:dyDescent="0.25">
      <c r="A1281" s="5" t="s">
        <v>3872</v>
      </c>
      <c r="B1281" s="5">
        <v>1280</v>
      </c>
      <c r="C1281" s="6" t="s">
        <v>3086</v>
      </c>
      <c r="D1281" s="6" t="s">
        <v>5062</v>
      </c>
      <c r="E1281" s="6">
        <v>3112</v>
      </c>
      <c r="F1281" s="6" t="s">
        <v>1642</v>
      </c>
      <c r="G1281" s="6">
        <v>1619</v>
      </c>
      <c r="H1281" s="6" t="s">
        <v>509</v>
      </c>
      <c r="I1281" s="6" t="s">
        <v>5087</v>
      </c>
      <c r="J1281" s="6" t="s">
        <v>5088</v>
      </c>
      <c r="K1281" s="6" t="s">
        <v>3331</v>
      </c>
      <c r="L1281" s="6">
        <v>63314645</v>
      </c>
      <c r="M1281" s="6" t="s">
        <v>41</v>
      </c>
      <c r="N1281" s="6" t="s">
        <v>1629</v>
      </c>
      <c r="O1281" s="6" t="s">
        <v>21</v>
      </c>
      <c r="P1281" s="6" t="s">
        <v>21</v>
      </c>
      <c r="Q1281" s="6" t="s">
        <v>3332</v>
      </c>
      <c r="R1281" s="8" t="s">
        <v>1808</v>
      </c>
      <c r="S1281" s="6"/>
    </row>
    <row r="1282" spans="1:19" ht="25.5" x14ac:dyDescent="0.25">
      <c r="A1282" s="5" t="s">
        <v>3872</v>
      </c>
      <c r="B1282" s="5">
        <v>1281</v>
      </c>
      <c r="C1282" s="6" t="s">
        <v>3087</v>
      </c>
      <c r="D1282" s="6" t="s">
        <v>5062</v>
      </c>
      <c r="E1282" s="6">
        <v>3128</v>
      </c>
      <c r="F1282" s="6" t="s">
        <v>435</v>
      </c>
      <c r="G1282" s="6">
        <v>1884</v>
      </c>
      <c r="H1282" s="6" t="s">
        <v>436</v>
      </c>
      <c r="I1282" s="6" t="s">
        <v>5089</v>
      </c>
      <c r="J1282" s="6" t="s">
        <v>5090</v>
      </c>
      <c r="K1282" s="6" t="s">
        <v>3331</v>
      </c>
      <c r="L1282" s="6">
        <v>91219259</v>
      </c>
      <c r="M1282" s="6" t="s">
        <v>1643</v>
      </c>
      <c r="N1282" s="6" t="s">
        <v>1629</v>
      </c>
      <c r="O1282" s="6" t="s">
        <v>21</v>
      </c>
      <c r="P1282" s="6" t="s">
        <v>21</v>
      </c>
      <c r="Q1282" s="6" t="s">
        <v>3332</v>
      </c>
      <c r="R1282" s="8" t="s">
        <v>1808</v>
      </c>
      <c r="S1282" s="6"/>
    </row>
    <row r="1283" spans="1:19" ht="25.5" x14ac:dyDescent="0.25">
      <c r="A1283" s="5" t="s">
        <v>3872</v>
      </c>
      <c r="B1283" s="5">
        <v>1282</v>
      </c>
      <c r="C1283" s="6" t="s">
        <v>3088</v>
      </c>
      <c r="D1283" s="6" t="s">
        <v>5062</v>
      </c>
      <c r="E1283" s="6">
        <v>64</v>
      </c>
      <c r="F1283" s="6" t="s">
        <v>1644</v>
      </c>
      <c r="G1283" s="6">
        <v>1407</v>
      </c>
      <c r="H1283" s="6" t="s">
        <v>166</v>
      </c>
      <c r="I1283" s="6" t="s">
        <v>5091</v>
      </c>
      <c r="J1283" s="6" t="s">
        <v>5092</v>
      </c>
      <c r="K1283" s="6" t="s">
        <v>3331</v>
      </c>
      <c r="L1283" s="6">
        <v>37809412</v>
      </c>
      <c r="M1283" s="6" t="s">
        <v>502</v>
      </c>
      <c r="N1283" s="6" t="s">
        <v>1629</v>
      </c>
      <c r="O1283" s="12">
        <v>3367</v>
      </c>
      <c r="P1283" s="6" t="s">
        <v>1645</v>
      </c>
      <c r="Q1283" s="6" t="s">
        <v>3332</v>
      </c>
      <c r="R1283" s="8" t="s">
        <v>1808</v>
      </c>
      <c r="S1283" s="6"/>
    </row>
    <row r="1284" spans="1:19" ht="25.5" x14ac:dyDescent="0.25">
      <c r="A1284" s="5" t="s">
        <v>3872</v>
      </c>
      <c r="B1284" s="5">
        <v>1283</v>
      </c>
      <c r="C1284" s="6" t="s">
        <v>3089</v>
      </c>
      <c r="D1284" s="6" t="s">
        <v>5062</v>
      </c>
      <c r="E1284" s="6">
        <v>95</v>
      </c>
      <c r="F1284" s="6" t="s">
        <v>1208</v>
      </c>
      <c r="G1284" s="6">
        <v>2241</v>
      </c>
      <c r="H1284" s="6" t="s">
        <v>946</v>
      </c>
      <c r="I1284" s="6" t="s">
        <v>5093</v>
      </c>
      <c r="J1284" s="6" t="s">
        <v>5094</v>
      </c>
      <c r="K1284" s="6" t="s">
        <v>3331</v>
      </c>
      <c r="L1284" s="6">
        <v>37834234</v>
      </c>
      <c r="M1284" s="6" t="s">
        <v>502</v>
      </c>
      <c r="N1284" s="6" t="s">
        <v>1629</v>
      </c>
      <c r="O1284" s="6">
        <v>4247</v>
      </c>
      <c r="P1284" s="6" t="s">
        <v>1646</v>
      </c>
      <c r="Q1284" s="6" t="s">
        <v>3332</v>
      </c>
      <c r="R1284" s="8" t="s">
        <v>1808</v>
      </c>
      <c r="S1284" s="6"/>
    </row>
    <row r="1285" spans="1:19" ht="25.5" x14ac:dyDescent="0.25">
      <c r="A1285" s="5" t="s">
        <v>3872</v>
      </c>
      <c r="B1285" s="5">
        <v>1284</v>
      </c>
      <c r="C1285" s="6" t="s">
        <v>3090</v>
      </c>
      <c r="D1285" s="6" t="s">
        <v>5062</v>
      </c>
      <c r="E1285" s="6">
        <v>3125</v>
      </c>
      <c r="F1285" s="6" t="s">
        <v>1647</v>
      </c>
      <c r="G1285" s="6">
        <v>1853</v>
      </c>
      <c r="H1285" s="6" t="s">
        <v>498</v>
      </c>
      <c r="I1285" s="6" t="s">
        <v>5095</v>
      </c>
      <c r="J1285" s="6" t="s">
        <v>4930</v>
      </c>
      <c r="K1285" s="6" t="s">
        <v>3331</v>
      </c>
      <c r="L1285" s="6">
        <v>91222492</v>
      </c>
      <c r="M1285" s="6" t="s">
        <v>41</v>
      </c>
      <c r="N1285" s="6" t="s">
        <v>1629</v>
      </c>
      <c r="O1285" s="6" t="s">
        <v>21</v>
      </c>
      <c r="P1285" s="6" t="s">
        <v>21</v>
      </c>
      <c r="Q1285" s="6" t="s">
        <v>3332</v>
      </c>
      <c r="R1285" s="8" t="s">
        <v>1808</v>
      </c>
      <c r="S1285" s="6"/>
    </row>
    <row r="1286" spans="1:19" ht="25.5" x14ac:dyDescent="0.25">
      <c r="A1286" s="5" t="s">
        <v>3872</v>
      </c>
      <c r="B1286" s="5">
        <v>1285</v>
      </c>
      <c r="C1286" s="6" t="s">
        <v>3091</v>
      </c>
      <c r="D1286" s="6" t="s">
        <v>5096</v>
      </c>
      <c r="E1286" s="6">
        <v>4</v>
      </c>
      <c r="F1286" s="6" t="s">
        <v>1648</v>
      </c>
      <c r="G1286" s="6">
        <v>51</v>
      </c>
      <c r="H1286" s="6" t="s">
        <v>646</v>
      </c>
      <c r="I1286" s="6" t="s">
        <v>5097</v>
      </c>
      <c r="J1286" s="6" t="s">
        <v>3655</v>
      </c>
      <c r="K1286" s="6" t="s">
        <v>3331</v>
      </c>
      <c r="L1286" s="6">
        <v>28811808</v>
      </c>
      <c r="M1286" s="6" t="s">
        <v>1649</v>
      </c>
      <c r="N1286" s="6" t="s">
        <v>1650</v>
      </c>
      <c r="O1286" s="6">
        <v>45</v>
      </c>
      <c r="P1286" s="6" t="s">
        <v>21</v>
      </c>
      <c r="Q1286" s="6" t="s">
        <v>3332</v>
      </c>
      <c r="R1286" s="8" t="s">
        <v>1808</v>
      </c>
      <c r="S1286" s="6"/>
    </row>
    <row r="1287" spans="1:19" ht="25.5" x14ac:dyDescent="0.25">
      <c r="A1287" s="5" t="s">
        <v>3872</v>
      </c>
      <c r="B1287" s="5">
        <v>1286</v>
      </c>
      <c r="C1287" s="6" t="s">
        <v>3092</v>
      </c>
      <c r="D1287" s="6" t="s">
        <v>5096</v>
      </c>
      <c r="E1287" s="6">
        <v>7</v>
      </c>
      <c r="F1287" s="6" t="s">
        <v>1651</v>
      </c>
      <c r="G1287" s="6">
        <v>25</v>
      </c>
      <c r="H1287" s="6" t="s">
        <v>29</v>
      </c>
      <c r="I1287" s="6" t="s">
        <v>5098</v>
      </c>
      <c r="J1287" s="6" t="s">
        <v>5099</v>
      </c>
      <c r="K1287" s="6" t="s">
        <v>3331</v>
      </c>
      <c r="L1287" s="6">
        <v>65732574</v>
      </c>
      <c r="M1287" s="6" t="s">
        <v>41</v>
      </c>
      <c r="N1287" s="6" t="s">
        <v>1650</v>
      </c>
      <c r="O1287" s="6">
        <v>142</v>
      </c>
      <c r="P1287" s="6" t="s">
        <v>21</v>
      </c>
      <c r="Q1287" s="6" t="s">
        <v>3332</v>
      </c>
      <c r="R1287" s="8" t="s">
        <v>1808</v>
      </c>
      <c r="S1287" s="6"/>
    </row>
    <row r="1288" spans="1:19" ht="25.5" x14ac:dyDescent="0.25">
      <c r="A1288" s="5" t="s">
        <v>3872</v>
      </c>
      <c r="B1288" s="5">
        <v>1287</v>
      </c>
      <c r="C1288" s="6" t="s">
        <v>3093</v>
      </c>
      <c r="D1288" s="6" t="s">
        <v>5096</v>
      </c>
      <c r="E1288" s="6">
        <v>7</v>
      </c>
      <c r="F1288" s="6" t="s">
        <v>1651</v>
      </c>
      <c r="G1288" s="6">
        <v>25</v>
      </c>
      <c r="H1288" s="6" t="s">
        <v>29</v>
      </c>
      <c r="I1288" s="6" t="s">
        <v>5100</v>
      </c>
      <c r="J1288" s="6" t="s">
        <v>4178</v>
      </c>
      <c r="K1288" s="6" t="s">
        <v>3331</v>
      </c>
      <c r="L1288" s="6">
        <v>93369251</v>
      </c>
      <c r="M1288" s="6" t="s">
        <v>41</v>
      </c>
      <c r="N1288" s="6" t="s">
        <v>1650</v>
      </c>
      <c r="O1288" s="6">
        <v>146</v>
      </c>
      <c r="P1288" s="6" t="s">
        <v>21</v>
      </c>
      <c r="Q1288" s="6" t="s">
        <v>3332</v>
      </c>
      <c r="R1288" s="8" t="s">
        <v>1808</v>
      </c>
      <c r="S1288" s="6"/>
    </row>
    <row r="1289" spans="1:19" ht="25.5" x14ac:dyDescent="0.25">
      <c r="A1289" s="5" t="s">
        <v>3872</v>
      </c>
      <c r="B1289" s="5">
        <v>1288</v>
      </c>
      <c r="C1289" s="6" t="s">
        <v>3094</v>
      </c>
      <c r="D1289" s="6" t="s">
        <v>5096</v>
      </c>
      <c r="E1289" s="6">
        <v>7</v>
      </c>
      <c r="F1289" s="6" t="s">
        <v>1651</v>
      </c>
      <c r="G1289" s="6">
        <v>25</v>
      </c>
      <c r="H1289" s="6" t="s">
        <v>29</v>
      </c>
      <c r="I1289" s="6" t="s">
        <v>5101</v>
      </c>
      <c r="J1289" s="6" t="s">
        <v>5102</v>
      </c>
      <c r="K1289" s="6" t="s">
        <v>3331</v>
      </c>
      <c r="L1289" s="6">
        <v>38263605</v>
      </c>
      <c r="M1289" s="6" t="s">
        <v>41</v>
      </c>
      <c r="N1289" s="6" t="s">
        <v>1650</v>
      </c>
      <c r="O1289" s="6">
        <v>109</v>
      </c>
      <c r="P1289" s="6" t="s">
        <v>21</v>
      </c>
      <c r="Q1289" s="6" t="s">
        <v>3332</v>
      </c>
      <c r="R1289" s="8" t="s">
        <v>1808</v>
      </c>
      <c r="S1289" s="6"/>
    </row>
    <row r="1290" spans="1:19" ht="25.5" x14ac:dyDescent="0.25">
      <c r="A1290" s="5" t="s">
        <v>3872</v>
      </c>
      <c r="B1290" s="5">
        <v>1289</v>
      </c>
      <c r="C1290" s="6" t="s">
        <v>3095</v>
      </c>
      <c r="D1290" s="6" t="s">
        <v>5096</v>
      </c>
      <c r="E1290" s="6">
        <v>7</v>
      </c>
      <c r="F1290" s="6" t="s">
        <v>1651</v>
      </c>
      <c r="G1290" s="6">
        <v>25</v>
      </c>
      <c r="H1290" s="6" t="s">
        <v>29</v>
      </c>
      <c r="I1290" s="6" t="s">
        <v>5103</v>
      </c>
      <c r="J1290" s="6" t="s">
        <v>4178</v>
      </c>
      <c r="K1290" s="6" t="s">
        <v>3331</v>
      </c>
      <c r="L1290" s="6">
        <v>5909112</v>
      </c>
      <c r="M1290" s="6" t="s">
        <v>41</v>
      </c>
      <c r="N1290" s="6" t="s">
        <v>1650</v>
      </c>
      <c r="O1290" s="6">
        <v>128</v>
      </c>
      <c r="P1290" s="6" t="s">
        <v>21</v>
      </c>
      <c r="Q1290" s="6" t="s">
        <v>3332</v>
      </c>
      <c r="R1290" s="8" t="s">
        <v>1808</v>
      </c>
      <c r="S1290" s="6"/>
    </row>
    <row r="1291" spans="1:19" ht="25.5" x14ac:dyDescent="0.25">
      <c r="A1291" s="5" t="s">
        <v>3872</v>
      </c>
      <c r="B1291" s="5">
        <v>1290</v>
      </c>
      <c r="C1291" s="6" t="s">
        <v>3096</v>
      </c>
      <c r="D1291" s="6" t="s">
        <v>5096</v>
      </c>
      <c r="E1291" s="6">
        <v>9</v>
      </c>
      <c r="F1291" s="6" t="s">
        <v>1652</v>
      </c>
      <c r="G1291" s="6">
        <v>28</v>
      </c>
      <c r="H1291" s="6" t="s">
        <v>29</v>
      </c>
      <c r="I1291" s="6" t="s">
        <v>5104</v>
      </c>
      <c r="J1291" s="6" t="s">
        <v>5105</v>
      </c>
      <c r="K1291" s="6" t="s">
        <v>3331</v>
      </c>
      <c r="L1291" s="6">
        <v>65738541</v>
      </c>
      <c r="M1291" s="6" t="s">
        <v>41</v>
      </c>
      <c r="N1291" s="6" t="s">
        <v>1650</v>
      </c>
      <c r="O1291" s="6">
        <v>149</v>
      </c>
      <c r="P1291" s="6" t="s">
        <v>21</v>
      </c>
      <c r="Q1291" s="6" t="s">
        <v>3332</v>
      </c>
      <c r="R1291" s="8" t="s">
        <v>1808</v>
      </c>
      <c r="S1291" s="6"/>
    </row>
    <row r="1292" spans="1:19" ht="25.5" x14ac:dyDescent="0.25">
      <c r="A1292" s="5" t="s">
        <v>3872</v>
      </c>
      <c r="B1292" s="5">
        <v>1291</v>
      </c>
      <c r="C1292" s="6" t="s">
        <v>3097</v>
      </c>
      <c r="D1292" s="6" t="s">
        <v>5096</v>
      </c>
      <c r="E1292" s="6">
        <v>9</v>
      </c>
      <c r="F1292" s="6" t="s">
        <v>1652</v>
      </c>
      <c r="G1292" s="6">
        <v>28</v>
      </c>
      <c r="H1292" s="6" t="s">
        <v>29</v>
      </c>
      <c r="I1292" s="6" t="s">
        <v>5106</v>
      </c>
      <c r="J1292" s="6" t="s">
        <v>5107</v>
      </c>
      <c r="K1292" s="6" t="s">
        <v>3331</v>
      </c>
      <c r="L1292" s="6">
        <v>65733746</v>
      </c>
      <c r="M1292" s="6" t="s">
        <v>41</v>
      </c>
      <c r="N1292" s="6" t="s">
        <v>1650</v>
      </c>
      <c r="O1292" s="6">
        <v>146</v>
      </c>
      <c r="P1292" s="6" t="s">
        <v>21</v>
      </c>
      <c r="Q1292" s="6" t="s">
        <v>3332</v>
      </c>
      <c r="R1292" s="8" t="s">
        <v>1808</v>
      </c>
      <c r="S1292" s="6"/>
    </row>
    <row r="1293" spans="1:19" ht="25.5" x14ac:dyDescent="0.25">
      <c r="A1293" s="5" t="s">
        <v>3872</v>
      </c>
      <c r="B1293" s="5">
        <v>1292</v>
      </c>
      <c r="C1293" s="6" t="s">
        <v>3098</v>
      </c>
      <c r="D1293" s="6" t="s">
        <v>5096</v>
      </c>
      <c r="E1293" s="6">
        <v>9</v>
      </c>
      <c r="F1293" s="6" t="s">
        <v>1652</v>
      </c>
      <c r="G1293" s="6">
        <v>28</v>
      </c>
      <c r="H1293" s="6" t="s">
        <v>29</v>
      </c>
      <c r="I1293" s="6" t="s">
        <v>5108</v>
      </c>
      <c r="J1293" s="6" t="s">
        <v>5109</v>
      </c>
      <c r="K1293" s="6" t="s">
        <v>3331</v>
      </c>
      <c r="L1293" s="6">
        <v>65737400</v>
      </c>
      <c r="M1293" s="6" t="s">
        <v>41</v>
      </c>
      <c r="N1293" s="6" t="s">
        <v>1650</v>
      </c>
      <c r="O1293" s="6">
        <v>145</v>
      </c>
      <c r="P1293" s="6" t="s">
        <v>21</v>
      </c>
      <c r="Q1293" s="6" t="s">
        <v>3332</v>
      </c>
      <c r="R1293" s="8" t="s">
        <v>1808</v>
      </c>
      <c r="S1293" s="6"/>
    </row>
    <row r="1294" spans="1:19" ht="25.5" x14ac:dyDescent="0.25">
      <c r="A1294" s="5" t="s">
        <v>3872</v>
      </c>
      <c r="B1294" s="5">
        <v>1293</v>
      </c>
      <c r="C1294" s="6" t="s">
        <v>3099</v>
      </c>
      <c r="D1294" s="6" t="s">
        <v>5096</v>
      </c>
      <c r="E1294" s="6">
        <v>9</v>
      </c>
      <c r="F1294" s="6" t="s">
        <v>1652</v>
      </c>
      <c r="G1294" s="6">
        <v>28</v>
      </c>
      <c r="H1294" s="6" t="s">
        <v>29</v>
      </c>
      <c r="I1294" s="6" t="s">
        <v>5110</v>
      </c>
      <c r="J1294" s="6" t="s">
        <v>5111</v>
      </c>
      <c r="K1294" s="6" t="s">
        <v>3331</v>
      </c>
      <c r="L1294" s="6">
        <v>65729826</v>
      </c>
      <c r="M1294" s="6" t="s">
        <v>41</v>
      </c>
      <c r="N1294" s="6" t="s">
        <v>1650</v>
      </c>
      <c r="O1294" s="6">
        <v>139</v>
      </c>
      <c r="P1294" s="6" t="s">
        <v>21</v>
      </c>
      <c r="Q1294" s="6" t="s">
        <v>3332</v>
      </c>
      <c r="R1294" s="8" t="s">
        <v>1808</v>
      </c>
      <c r="S1294" s="6"/>
    </row>
    <row r="1295" spans="1:19" ht="25.5" x14ac:dyDescent="0.25">
      <c r="A1295" s="5" t="s">
        <v>3872</v>
      </c>
      <c r="B1295" s="5">
        <v>1294</v>
      </c>
      <c r="C1295" s="6" t="s">
        <v>3100</v>
      </c>
      <c r="D1295" s="6" t="s">
        <v>5096</v>
      </c>
      <c r="E1295" s="6">
        <v>4</v>
      </c>
      <c r="F1295" s="6" t="s">
        <v>1648</v>
      </c>
      <c r="G1295" s="6">
        <v>51</v>
      </c>
      <c r="H1295" s="6" t="s">
        <v>646</v>
      </c>
      <c r="I1295" s="6" t="s">
        <v>5112</v>
      </c>
      <c r="J1295" s="6" t="s">
        <v>4376</v>
      </c>
      <c r="K1295" s="6" t="s">
        <v>3331</v>
      </c>
      <c r="L1295" s="6">
        <v>65731587</v>
      </c>
      <c r="M1295" s="6" t="s">
        <v>41</v>
      </c>
      <c r="N1295" s="6" t="s">
        <v>1650</v>
      </c>
      <c r="O1295" s="6">
        <v>144</v>
      </c>
      <c r="P1295" s="6" t="s">
        <v>21</v>
      </c>
      <c r="Q1295" s="6" t="s">
        <v>3332</v>
      </c>
      <c r="R1295" s="8" t="s">
        <v>1808</v>
      </c>
      <c r="S1295" s="6"/>
    </row>
    <row r="1296" spans="1:19" ht="25.5" x14ac:dyDescent="0.25">
      <c r="A1296" s="5" t="s">
        <v>3872</v>
      </c>
      <c r="B1296" s="5">
        <v>1295</v>
      </c>
      <c r="C1296" s="6" t="s">
        <v>3101</v>
      </c>
      <c r="D1296" s="6" t="s">
        <v>5096</v>
      </c>
      <c r="E1296" s="6">
        <v>4</v>
      </c>
      <c r="F1296" s="6" t="s">
        <v>1648</v>
      </c>
      <c r="G1296" s="6">
        <v>51</v>
      </c>
      <c r="H1296" s="6" t="s">
        <v>646</v>
      </c>
      <c r="I1296" s="6" t="s">
        <v>5113</v>
      </c>
      <c r="J1296" s="6" t="s">
        <v>5114</v>
      </c>
      <c r="K1296" s="6" t="s">
        <v>3331</v>
      </c>
      <c r="L1296" s="6">
        <v>93384625</v>
      </c>
      <c r="M1296" s="6" t="s">
        <v>41</v>
      </c>
      <c r="N1296" s="6" t="s">
        <v>1650</v>
      </c>
      <c r="O1296" s="6">
        <v>150</v>
      </c>
      <c r="P1296" s="6" t="s">
        <v>21</v>
      </c>
      <c r="Q1296" s="6" t="s">
        <v>3332</v>
      </c>
      <c r="R1296" s="8" t="s">
        <v>1808</v>
      </c>
      <c r="S1296" s="6"/>
    </row>
    <row r="1297" spans="1:19" ht="25.5" x14ac:dyDescent="0.25">
      <c r="A1297" s="5" t="s">
        <v>3872</v>
      </c>
      <c r="B1297" s="5">
        <v>1296</v>
      </c>
      <c r="C1297" s="6" t="s">
        <v>3102</v>
      </c>
      <c r="D1297" s="6" t="s">
        <v>5096</v>
      </c>
      <c r="E1297" s="6">
        <v>4</v>
      </c>
      <c r="F1297" s="6" t="s">
        <v>1648</v>
      </c>
      <c r="G1297" s="6">
        <v>51</v>
      </c>
      <c r="H1297" s="6" t="s">
        <v>646</v>
      </c>
      <c r="I1297" s="6" t="s">
        <v>5115</v>
      </c>
      <c r="J1297" s="6" t="s">
        <v>5116</v>
      </c>
      <c r="K1297" s="6" t="s">
        <v>3331</v>
      </c>
      <c r="L1297" s="6">
        <v>38235695</v>
      </c>
      <c r="M1297" s="6" t="s">
        <v>41</v>
      </c>
      <c r="N1297" s="6" t="s">
        <v>1650</v>
      </c>
      <c r="O1297" s="6">
        <v>78</v>
      </c>
      <c r="P1297" s="6" t="s">
        <v>21</v>
      </c>
      <c r="Q1297" s="6" t="s">
        <v>3332</v>
      </c>
      <c r="R1297" s="8" t="s">
        <v>1808</v>
      </c>
      <c r="S1297" s="6"/>
    </row>
    <row r="1298" spans="1:19" ht="25.5" x14ac:dyDescent="0.25">
      <c r="A1298" s="5" t="s">
        <v>3872</v>
      </c>
      <c r="B1298" s="5">
        <v>1297</v>
      </c>
      <c r="C1298" s="6" t="s">
        <v>3103</v>
      </c>
      <c r="D1298" s="6" t="s">
        <v>5096</v>
      </c>
      <c r="E1298" s="6">
        <v>4</v>
      </c>
      <c r="F1298" s="6" t="s">
        <v>1648</v>
      </c>
      <c r="G1298" s="6">
        <v>51</v>
      </c>
      <c r="H1298" s="6" t="s">
        <v>646</v>
      </c>
      <c r="I1298" s="6" t="s">
        <v>5117</v>
      </c>
      <c r="J1298" s="6" t="s">
        <v>3455</v>
      </c>
      <c r="K1298" s="6" t="s">
        <v>3331</v>
      </c>
      <c r="L1298" s="6">
        <v>38261010</v>
      </c>
      <c r="M1298" s="6" t="s">
        <v>41</v>
      </c>
      <c r="N1298" s="6" t="s">
        <v>1650</v>
      </c>
      <c r="O1298" s="6">
        <v>106</v>
      </c>
      <c r="P1298" s="6" t="s">
        <v>21</v>
      </c>
      <c r="Q1298" s="6" t="s">
        <v>3332</v>
      </c>
      <c r="R1298" s="8" t="s">
        <v>1808</v>
      </c>
      <c r="S1298" s="6"/>
    </row>
    <row r="1299" spans="1:19" ht="25.5" x14ac:dyDescent="0.25">
      <c r="A1299" s="5" t="s">
        <v>3872</v>
      </c>
      <c r="B1299" s="5">
        <v>1298</v>
      </c>
      <c r="C1299" s="6" t="s">
        <v>3104</v>
      </c>
      <c r="D1299" s="6" t="s">
        <v>5096</v>
      </c>
      <c r="E1299" s="6">
        <v>4</v>
      </c>
      <c r="F1299" s="6" t="s">
        <v>1648</v>
      </c>
      <c r="G1299" s="6">
        <v>51</v>
      </c>
      <c r="H1299" s="6" t="s">
        <v>646</v>
      </c>
      <c r="I1299" s="6" t="s">
        <v>5118</v>
      </c>
      <c r="J1299" s="6" t="s">
        <v>5119</v>
      </c>
      <c r="K1299" s="6" t="s">
        <v>3331</v>
      </c>
      <c r="L1299" s="6">
        <v>65730195</v>
      </c>
      <c r="M1299" s="6" t="s">
        <v>41</v>
      </c>
      <c r="N1299" s="6" t="s">
        <v>1650</v>
      </c>
      <c r="O1299" s="6">
        <v>151</v>
      </c>
      <c r="P1299" s="6" t="s">
        <v>21</v>
      </c>
      <c r="Q1299" s="6" t="s">
        <v>3332</v>
      </c>
      <c r="R1299" s="8" t="s">
        <v>1808</v>
      </c>
      <c r="S1299" s="6"/>
    </row>
    <row r="1300" spans="1:19" ht="25.5" x14ac:dyDescent="0.25">
      <c r="A1300" s="5" t="s">
        <v>3872</v>
      </c>
      <c r="B1300" s="5">
        <v>1299</v>
      </c>
      <c r="C1300" s="6" t="s">
        <v>3105</v>
      </c>
      <c r="D1300" s="6" t="s">
        <v>5096</v>
      </c>
      <c r="E1300" s="6">
        <v>1</v>
      </c>
      <c r="F1300" s="6" t="s">
        <v>1653</v>
      </c>
      <c r="G1300" s="6">
        <v>44</v>
      </c>
      <c r="H1300" s="6" t="s">
        <v>57</v>
      </c>
      <c r="I1300" s="6" t="s">
        <v>5120</v>
      </c>
      <c r="J1300" s="6" t="s">
        <v>4478</v>
      </c>
      <c r="K1300" s="6" t="s">
        <v>3331</v>
      </c>
      <c r="L1300" s="6">
        <v>93373937</v>
      </c>
      <c r="M1300" s="6" t="s">
        <v>41</v>
      </c>
      <c r="N1300" s="6" t="s">
        <v>1650</v>
      </c>
      <c r="O1300" s="6">
        <v>145</v>
      </c>
      <c r="P1300" s="6" t="s">
        <v>21</v>
      </c>
      <c r="Q1300" s="6" t="s">
        <v>3332</v>
      </c>
      <c r="R1300" s="8" t="s">
        <v>1808</v>
      </c>
      <c r="S1300" s="6"/>
    </row>
    <row r="1301" spans="1:19" ht="25.5" x14ac:dyDescent="0.25">
      <c r="A1301" s="5" t="s">
        <v>3872</v>
      </c>
      <c r="B1301" s="5">
        <v>1300</v>
      </c>
      <c r="C1301" s="6" t="s">
        <v>3106</v>
      </c>
      <c r="D1301" s="6" t="s">
        <v>5096</v>
      </c>
      <c r="E1301" s="6">
        <v>1</v>
      </c>
      <c r="F1301" s="6" t="s">
        <v>1653</v>
      </c>
      <c r="G1301" s="6">
        <v>44</v>
      </c>
      <c r="H1301" s="6" t="s">
        <v>57</v>
      </c>
      <c r="I1301" s="6" t="s">
        <v>5121</v>
      </c>
      <c r="J1301" s="6" t="s">
        <v>5122</v>
      </c>
      <c r="K1301" s="6" t="s">
        <v>3331</v>
      </c>
      <c r="L1301" s="6">
        <v>38252420</v>
      </c>
      <c r="M1301" s="6" t="s">
        <v>79</v>
      </c>
      <c r="N1301" s="6" t="s">
        <v>1650</v>
      </c>
      <c r="O1301" s="6" t="s">
        <v>21</v>
      </c>
      <c r="P1301" s="6" t="s">
        <v>21</v>
      </c>
      <c r="Q1301" s="6" t="s">
        <v>3332</v>
      </c>
      <c r="R1301" s="8" t="s">
        <v>1808</v>
      </c>
      <c r="S1301" s="6"/>
    </row>
    <row r="1302" spans="1:19" ht="25.5" x14ac:dyDescent="0.25">
      <c r="A1302" s="5" t="s">
        <v>3872</v>
      </c>
      <c r="B1302" s="5">
        <v>1301</v>
      </c>
      <c r="C1302" s="6" t="s">
        <v>3107</v>
      </c>
      <c r="D1302" s="6" t="s">
        <v>5096</v>
      </c>
      <c r="E1302" s="6">
        <v>5</v>
      </c>
      <c r="F1302" s="6" t="s">
        <v>1654</v>
      </c>
      <c r="G1302" s="6">
        <v>74</v>
      </c>
      <c r="H1302" s="6" t="s">
        <v>60</v>
      </c>
      <c r="I1302" s="6" t="s">
        <v>5123</v>
      </c>
      <c r="J1302" s="6" t="s">
        <v>5124</v>
      </c>
      <c r="K1302" s="6" t="s">
        <v>3331</v>
      </c>
      <c r="L1302" s="6">
        <v>25158981</v>
      </c>
      <c r="M1302" s="6" t="s">
        <v>41</v>
      </c>
      <c r="N1302" s="6" t="s">
        <v>1650</v>
      </c>
      <c r="O1302" s="6">
        <v>145</v>
      </c>
      <c r="P1302" s="6" t="s">
        <v>21</v>
      </c>
      <c r="Q1302" s="6" t="s">
        <v>3332</v>
      </c>
      <c r="R1302" s="8" t="s">
        <v>1808</v>
      </c>
      <c r="S1302" s="6"/>
    </row>
    <row r="1303" spans="1:19" ht="25.5" x14ac:dyDescent="0.25">
      <c r="A1303" s="5" t="s">
        <v>3872</v>
      </c>
      <c r="B1303" s="5">
        <v>1302</v>
      </c>
      <c r="C1303" s="6" t="s">
        <v>3108</v>
      </c>
      <c r="D1303" s="6" t="s">
        <v>5096</v>
      </c>
      <c r="E1303" s="6">
        <v>4</v>
      </c>
      <c r="F1303" s="6" t="s">
        <v>1655</v>
      </c>
      <c r="G1303" s="6">
        <v>142</v>
      </c>
      <c r="H1303" s="6" t="s">
        <v>66</v>
      </c>
      <c r="I1303" s="6" t="s">
        <v>5125</v>
      </c>
      <c r="J1303" s="6" t="s">
        <v>5126</v>
      </c>
      <c r="K1303" s="6" t="s">
        <v>3331</v>
      </c>
      <c r="L1303" s="6">
        <v>65732565</v>
      </c>
      <c r="M1303" s="6" t="s">
        <v>41</v>
      </c>
      <c r="N1303" s="6" t="s">
        <v>1650</v>
      </c>
      <c r="O1303" s="6">
        <v>145</v>
      </c>
      <c r="P1303" s="6" t="s">
        <v>21</v>
      </c>
      <c r="Q1303" s="6" t="s">
        <v>3332</v>
      </c>
      <c r="R1303" s="8" t="s">
        <v>1808</v>
      </c>
      <c r="S1303" s="6"/>
    </row>
    <row r="1304" spans="1:19" ht="25.5" x14ac:dyDescent="0.25">
      <c r="A1304" s="5" t="s">
        <v>3872</v>
      </c>
      <c r="B1304" s="5">
        <v>1303</v>
      </c>
      <c r="C1304" s="6" t="s">
        <v>3109</v>
      </c>
      <c r="D1304" s="6" t="s">
        <v>5096</v>
      </c>
      <c r="E1304" s="6">
        <v>4</v>
      </c>
      <c r="F1304" s="6" t="s">
        <v>1655</v>
      </c>
      <c r="G1304" s="6">
        <v>142</v>
      </c>
      <c r="H1304" s="6" t="s">
        <v>66</v>
      </c>
      <c r="I1304" s="6" t="s">
        <v>5127</v>
      </c>
      <c r="J1304" s="6" t="s">
        <v>3694</v>
      </c>
      <c r="K1304" s="6" t="s">
        <v>3331</v>
      </c>
      <c r="L1304" s="6">
        <v>38246803</v>
      </c>
      <c r="M1304" s="6" t="s">
        <v>41</v>
      </c>
      <c r="N1304" s="6" t="s">
        <v>1650</v>
      </c>
      <c r="O1304" s="6">
        <v>106</v>
      </c>
      <c r="P1304" s="6" t="s">
        <v>21</v>
      </c>
      <c r="Q1304" s="6" t="s">
        <v>3332</v>
      </c>
      <c r="R1304" s="8" t="s">
        <v>1808</v>
      </c>
      <c r="S1304" s="6"/>
    </row>
    <row r="1305" spans="1:19" ht="25.5" x14ac:dyDescent="0.25">
      <c r="A1305" s="5" t="s">
        <v>3872</v>
      </c>
      <c r="B1305" s="5">
        <v>1304</v>
      </c>
      <c r="C1305" s="6" t="s">
        <v>3110</v>
      </c>
      <c r="D1305" s="6" t="s">
        <v>5096</v>
      </c>
      <c r="E1305" s="6">
        <v>9</v>
      </c>
      <c r="F1305" s="6" t="s">
        <v>1656</v>
      </c>
      <c r="G1305" s="6">
        <v>223</v>
      </c>
      <c r="H1305" s="6" t="s">
        <v>672</v>
      </c>
      <c r="I1305" s="6" t="s">
        <v>5128</v>
      </c>
      <c r="J1305" s="6" t="s">
        <v>5129</v>
      </c>
      <c r="K1305" s="6" t="s">
        <v>3331</v>
      </c>
      <c r="L1305" s="6">
        <v>38240951</v>
      </c>
      <c r="M1305" s="6" t="s">
        <v>41</v>
      </c>
      <c r="N1305" s="6" t="s">
        <v>1650</v>
      </c>
      <c r="O1305" s="6" t="s">
        <v>21</v>
      </c>
      <c r="P1305" s="6" t="s">
        <v>21</v>
      </c>
      <c r="Q1305" s="6" t="s">
        <v>3332</v>
      </c>
      <c r="R1305" s="8" t="s">
        <v>1808</v>
      </c>
      <c r="S1305" s="6"/>
    </row>
    <row r="1306" spans="1:19" ht="25.5" x14ac:dyDescent="0.25">
      <c r="A1306" s="5" t="s">
        <v>3872</v>
      </c>
      <c r="B1306" s="5">
        <v>1305</v>
      </c>
      <c r="C1306" s="6" t="s">
        <v>3111</v>
      </c>
      <c r="D1306" s="6" t="s">
        <v>5096</v>
      </c>
      <c r="E1306" s="6">
        <v>9</v>
      </c>
      <c r="F1306" s="6" t="s">
        <v>1656</v>
      </c>
      <c r="G1306" s="6">
        <v>223</v>
      </c>
      <c r="H1306" s="6" t="s">
        <v>672</v>
      </c>
      <c r="I1306" s="6" t="s">
        <v>5130</v>
      </c>
      <c r="J1306" s="6" t="s">
        <v>4310</v>
      </c>
      <c r="K1306" s="6" t="s">
        <v>3331</v>
      </c>
      <c r="L1306" s="6">
        <v>65738187</v>
      </c>
      <c r="M1306" s="6" t="s">
        <v>41</v>
      </c>
      <c r="N1306" s="6" t="s">
        <v>1650</v>
      </c>
      <c r="O1306" s="6" t="s">
        <v>21</v>
      </c>
      <c r="P1306" s="6" t="s">
        <v>21</v>
      </c>
      <c r="Q1306" s="6" t="s">
        <v>3332</v>
      </c>
      <c r="R1306" s="8" t="s">
        <v>1808</v>
      </c>
      <c r="S1306" s="6"/>
    </row>
    <row r="1307" spans="1:19" ht="25.5" x14ac:dyDescent="0.25">
      <c r="A1307" s="5" t="s">
        <v>3872</v>
      </c>
      <c r="B1307" s="5">
        <v>1306</v>
      </c>
      <c r="C1307" s="6" t="s">
        <v>3112</v>
      </c>
      <c r="D1307" s="6" t="s">
        <v>5096</v>
      </c>
      <c r="E1307" s="6">
        <v>9</v>
      </c>
      <c r="F1307" s="6" t="s">
        <v>1656</v>
      </c>
      <c r="G1307" s="6">
        <v>223</v>
      </c>
      <c r="H1307" s="6" t="s">
        <v>672</v>
      </c>
      <c r="I1307" s="6" t="s">
        <v>3664</v>
      </c>
      <c r="J1307" s="6" t="s">
        <v>5131</v>
      </c>
      <c r="K1307" s="6" t="s">
        <v>3331</v>
      </c>
      <c r="L1307" s="6">
        <v>93377621</v>
      </c>
      <c r="M1307" s="6" t="s">
        <v>41</v>
      </c>
      <c r="N1307" s="6" t="s">
        <v>1650</v>
      </c>
      <c r="O1307" s="6" t="s">
        <v>21</v>
      </c>
      <c r="P1307" s="6" t="s">
        <v>21</v>
      </c>
      <c r="Q1307" s="6" t="s">
        <v>3332</v>
      </c>
      <c r="R1307" s="8" t="s">
        <v>1808</v>
      </c>
      <c r="S1307" s="6"/>
    </row>
    <row r="1308" spans="1:19" ht="25.5" x14ac:dyDescent="0.25">
      <c r="A1308" s="5" t="s">
        <v>3872</v>
      </c>
      <c r="B1308" s="5">
        <v>1307</v>
      </c>
      <c r="C1308" s="6" t="s">
        <v>3113</v>
      </c>
      <c r="D1308" s="6" t="s">
        <v>5096</v>
      </c>
      <c r="E1308" s="6">
        <v>4</v>
      </c>
      <c r="F1308" s="6" t="s">
        <v>1657</v>
      </c>
      <c r="G1308" s="6">
        <v>334</v>
      </c>
      <c r="H1308" s="6" t="s">
        <v>84</v>
      </c>
      <c r="I1308" s="6" t="s">
        <v>5132</v>
      </c>
      <c r="J1308" s="6" t="s">
        <v>4478</v>
      </c>
      <c r="K1308" s="6" t="s">
        <v>3331</v>
      </c>
      <c r="L1308" s="6">
        <v>93151433</v>
      </c>
      <c r="M1308" s="6" t="s">
        <v>41</v>
      </c>
      <c r="N1308" s="6" t="s">
        <v>1650</v>
      </c>
      <c r="O1308" s="6" t="s">
        <v>21</v>
      </c>
      <c r="P1308" s="6" t="s">
        <v>21</v>
      </c>
      <c r="Q1308" s="6" t="s">
        <v>3332</v>
      </c>
      <c r="R1308" s="8" t="s">
        <v>1808</v>
      </c>
      <c r="S1308" s="6"/>
    </row>
    <row r="1309" spans="1:19" ht="25.5" x14ac:dyDescent="0.25">
      <c r="A1309" s="5" t="s">
        <v>3872</v>
      </c>
      <c r="B1309" s="5">
        <v>1308</v>
      </c>
      <c r="C1309" s="6" t="s">
        <v>3114</v>
      </c>
      <c r="D1309" s="6" t="s">
        <v>5096</v>
      </c>
      <c r="E1309" s="6">
        <v>4</v>
      </c>
      <c r="F1309" s="6" t="s">
        <v>1657</v>
      </c>
      <c r="G1309" s="6">
        <v>334</v>
      </c>
      <c r="H1309" s="6" t="s">
        <v>84</v>
      </c>
      <c r="I1309" s="6" t="s">
        <v>5133</v>
      </c>
      <c r="J1309" s="6" t="s">
        <v>5134</v>
      </c>
      <c r="K1309" s="6" t="s">
        <v>3331</v>
      </c>
      <c r="L1309" s="6">
        <v>65748708</v>
      </c>
      <c r="M1309" s="6" t="s">
        <v>41</v>
      </c>
      <c r="N1309" s="6" t="s">
        <v>1650</v>
      </c>
      <c r="O1309" s="6" t="s">
        <v>21</v>
      </c>
      <c r="P1309" s="6" t="s">
        <v>21</v>
      </c>
      <c r="Q1309" s="6" t="s">
        <v>3332</v>
      </c>
      <c r="R1309" s="8" t="s">
        <v>1808</v>
      </c>
      <c r="S1309" s="6"/>
    </row>
    <row r="1310" spans="1:19" ht="25.5" x14ac:dyDescent="0.25">
      <c r="A1310" s="5" t="s">
        <v>3872</v>
      </c>
      <c r="B1310" s="5">
        <v>1309</v>
      </c>
      <c r="C1310" s="6" t="s">
        <v>3115</v>
      </c>
      <c r="D1310" s="6" t="s">
        <v>5096</v>
      </c>
      <c r="E1310" s="6">
        <v>4</v>
      </c>
      <c r="F1310" s="6" t="s">
        <v>1657</v>
      </c>
      <c r="G1310" s="6">
        <v>334</v>
      </c>
      <c r="H1310" s="6" t="s">
        <v>84</v>
      </c>
      <c r="I1310" s="6" t="s">
        <v>5135</v>
      </c>
      <c r="J1310" s="6" t="s">
        <v>4337</v>
      </c>
      <c r="K1310" s="6" t="s">
        <v>3331</v>
      </c>
      <c r="L1310" s="6">
        <v>65733775</v>
      </c>
      <c r="M1310" s="6" t="s">
        <v>41</v>
      </c>
      <c r="N1310" s="6" t="s">
        <v>1650</v>
      </c>
      <c r="O1310" s="6" t="s">
        <v>21</v>
      </c>
      <c r="P1310" s="6" t="s">
        <v>21</v>
      </c>
      <c r="Q1310" s="6" t="s">
        <v>3332</v>
      </c>
      <c r="R1310" s="8" t="s">
        <v>1808</v>
      </c>
      <c r="S1310" s="6"/>
    </row>
    <row r="1311" spans="1:19" ht="25.5" x14ac:dyDescent="0.25">
      <c r="A1311" s="5" t="s">
        <v>3872</v>
      </c>
      <c r="B1311" s="5">
        <v>1310</v>
      </c>
      <c r="C1311" s="6" t="s">
        <v>3116</v>
      </c>
      <c r="D1311" s="6" t="s">
        <v>5096</v>
      </c>
      <c r="E1311" s="6">
        <v>4</v>
      </c>
      <c r="F1311" s="6" t="s">
        <v>1657</v>
      </c>
      <c r="G1311" s="6">
        <v>334</v>
      </c>
      <c r="H1311" s="6" t="s">
        <v>84</v>
      </c>
      <c r="I1311" s="6" t="s">
        <v>5136</v>
      </c>
      <c r="J1311" s="6" t="s">
        <v>5137</v>
      </c>
      <c r="K1311" s="6" t="s">
        <v>3331</v>
      </c>
      <c r="L1311" s="6">
        <v>65739490</v>
      </c>
      <c r="M1311" s="6" t="s">
        <v>41</v>
      </c>
      <c r="N1311" s="6" t="s">
        <v>1650</v>
      </c>
      <c r="O1311" s="6" t="s">
        <v>21</v>
      </c>
      <c r="P1311" s="6" t="s">
        <v>21</v>
      </c>
      <c r="Q1311" s="6" t="s">
        <v>3332</v>
      </c>
      <c r="R1311" s="8" t="s">
        <v>1808</v>
      </c>
      <c r="S1311" s="6"/>
    </row>
    <row r="1312" spans="1:19" ht="25.5" x14ac:dyDescent="0.25">
      <c r="A1312" s="5" t="s">
        <v>3872</v>
      </c>
      <c r="B1312" s="5">
        <v>1311</v>
      </c>
      <c r="C1312" s="6" t="s">
        <v>3117</v>
      </c>
      <c r="D1312" s="6" t="s">
        <v>5096</v>
      </c>
      <c r="E1312" s="6">
        <v>5</v>
      </c>
      <c r="F1312" s="6" t="s">
        <v>1657</v>
      </c>
      <c r="G1312" s="6">
        <v>334</v>
      </c>
      <c r="H1312" s="6" t="s">
        <v>84</v>
      </c>
      <c r="I1312" s="6" t="s">
        <v>5138</v>
      </c>
      <c r="J1312" s="6" t="s">
        <v>5139</v>
      </c>
      <c r="K1312" s="6" t="s">
        <v>3331</v>
      </c>
      <c r="L1312" s="6">
        <v>38262233</v>
      </c>
      <c r="M1312" s="6" t="s">
        <v>41</v>
      </c>
      <c r="N1312" s="6" t="s">
        <v>1650</v>
      </c>
      <c r="O1312" s="6" t="s">
        <v>21</v>
      </c>
      <c r="P1312" s="6" t="s">
        <v>21</v>
      </c>
      <c r="Q1312" s="6" t="s">
        <v>3332</v>
      </c>
      <c r="R1312" s="8" t="s">
        <v>1808</v>
      </c>
      <c r="S1312" s="6"/>
    </row>
    <row r="1313" spans="1:19" ht="25.5" x14ac:dyDescent="0.25">
      <c r="A1313" s="5" t="s">
        <v>3872</v>
      </c>
      <c r="B1313" s="5">
        <v>1312</v>
      </c>
      <c r="C1313" s="6" t="s">
        <v>3118</v>
      </c>
      <c r="D1313" s="6" t="s">
        <v>5096</v>
      </c>
      <c r="E1313" s="6">
        <v>12</v>
      </c>
      <c r="F1313" s="6" t="s">
        <v>362</v>
      </c>
      <c r="G1313" s="6">
        <v>1102</v>
      </c>
      <c r="H1313" s="6" t="s">
        <v>119</v>
      </c>
      <c r="I1313" s="6" t="s">
        <v>5140</v>
      </c>
      <c r="J1313" s="6" t="s">
        <v>5141</v>
      </c>
      <c r="K1313" s="6" t="s">
        <v>3331</v>
      </c>
      <c r="L1313" s="6">
        <v>14228431</v>
      </c>
      <c r="M1313" s="6" t="s">
        <v>41</v>
      </c>
      <c r="N1313" s="6" t="s">
        <v>1650</v>
      </c>
      <c r="O1313" s="6" t="s">
        <v>21</v>
      </c>
      <c r="P1313" s="6" t="s">
        <v>21</v>
      </c>
      <c r="Q1313" s="6" t="s">
        <v>3332</v>
      </c>
      <c r="R1313" s="8" t="s">
        <v>1808</v>
      </c>
      <c r="S1313" s="6"/>
    </row>
    <row r="1314" spans="1:19" ht="25.5" x14ac:dyDescent="0.25">
      <c r="A1314" s="5" t="s">
        <v>3872</v>
      </c>
      <c r="B1314" s="5">
        <v>1313</v>
      </c>
      <c r="C1314" s="6" t="s">
        <v>3119</v>
      </c>
      <c r="D1314" s="6" t="s">
        <v>5096</v>
      </c>
      <c r="E1314" s="6">
        <v>17</v>
      </c>
      <c r="F1314" s="6" t="s">
        <v>1096</v>
      </c>
      <c r="G1314" s="6">
        <v>1385</v>
      </c>
      <c r="H1314" s="6" t="s">
        <v>1097</v>
      </c>
      <c r="I1314" s="6" t="s">
        <v>5142</v>
      </c>
      <c r="J1314" s="6" t="s">
        <v>5143</v>
      </c>
      <c r="K1314" s="6" t="s">
        <v>3331</v>
      </c>
      <c r="L1314" s="6">
        <v>14243855</v>
      </c>
      <c r="M1314" s="6" t="s">
        <v>41</v>
      </c>
      <c r="N1314" s="6" t="s">
        <v>1650</v>
      </c>
      <c r="O1314" s="6" t="s">
        <v>21</v>
      </c>
      <c r="P1314" s="6" t="s">
        <v>21</v>
      </c>
      <c r="Q1314" s="6" t="s">
        <v>3332</v>
      </c>
      <c r="R1314" s="8" t="s">
        <v>1808</v>
      </c>
      <c r="S1314" s="6"/>
    </row>
    <row r="1315" spans="1:19" ht="25.5" x14ac:dyDescent="0.25">
      <c r="A1315" s="5" t="s">
        <v>3872</v>
      </c>
      <c r="B1315" s="5">
        <v>1314</v>
      </c>
      <c r="C1315" s="6" t="s">
        <v>3120</v>
      </c>
      <c r="D1315" s="6" t="s">
        <v>5096</v>
      </c>
      <c r="E1315" s="6">
        <v>33</v>
      </c>
      <c r="F1315" s="6" t="s">
        <v>1658</v>
      </c>
      <c r="G1315" s="6">
        <v>1224</v>
      </c>
      <c r="H1315" s="6" t="s">
        <v>1150</v>
      </c>
      <c r="I1315" s="6" t="s">
        <v>5144</v>
      </c>
      <c r="J1315" s="6" t="s">
        <v>5145</v>
      </c>
      <c r="K1315" s="6" t="s">
        <v>3331</v>
      </c>
      <c r="L1315" s="6">
        <v>28537675</v>
      </c>
      <c r="M1315" s="6" t="s">
        <v>41</v>
      </c>
      <c r="N1315" s="6" t="s">
        <v>1650</v>
      </c>
      <c r="O1315" s="6">
        <v>197</v>
      </c>
      <c r="P1315" s="6" t="s">
        <v>1659</v>
      </c>
      <c r="Q1315" s="6" t="s">
        <v>3332</v>
      </c>
      <c r="R1315" s="8" t="s">
        <v>1808</v>
      </c>
      <c r="S1315" s="6"/>
    </row>
    <row r="1316" spans="1:19" ht="25.5" x14ac:dyDescent="0.25">
      <c r="A1316" s="5" t="s">
        <v>3872</v>
      </c>
      <c r="B1316" s="5">
        <v>1315</v>
      </c>
      <c r="C1316" s="6" t="s">
        <v>3121</v>
      </c>
      <c r="D1316" s="6" t="s">
        <v>5096</v>
      </c>
      <c r="E1316" s="6">
        <v>7</v>
      </c>
      <c r="F1316" s="6" t="s">
        <v>1580</v>
      </c>
      <c r="G1316" s="6">
        <v>185</v>
      </c>
      <c r="H1316" s="6" t="s">
        <v>1515</v>
      </c>
      <c r="I1316" s="6" t="s">
        <v>5146</v>
      </c>
      <c r="J1316" s="6" t="s">
        <v>5147</v>
      </c>
      <c r="K1316" s="6" t="s">
        <v>3331</v>
      </c>
      <c r="L1316" s="6">
        <v>1110455418</v>
      </c>
      <c r="M1316" s="6" t="s">
        <v>41</v>
      </c>
      <c r="N1316" s="6" t="s">
        <v>1650</v>
      </c>
      <c r="O1316" s="6">
        <v>213</v>
      </c>
      <c r="P1316" s="6" t="s">
        <v>1660</v>
      </c>
      <c r="Q1316" s="6" t="s">
        <v>3332</v>
      </c>
      <c r="R1316" s="8" t="s">
        <v>1808</v>
      </c>
      <c r="S1316" s="6"/>
    </row>
    <row r="1317" spans="1:19" ht="25.5" x14ac:dyDescent="0.25">
      <c r="A1317" s="5" t="s">
        <v>3872</v>
      </c>
      <c r="B1317" s="5">
        <v>1316</v>
      </c>
      <c r="C1317" s="6" t="s">
        <v>3122</v>
      </c>
      <c r="D1317" s="6" t="s">
        <v>5096</v>
      </c>
      <c r="E1317" s="6">
        <v>7</v>
      </c>
      <c r="F1317" s="6" t="s">
        <v>1580</v>
      </c>
      <c r="G1317" s="6">
        <v>185</v>
      </c>
      <c r="H1317" s="6" t="s">
        <v>1515</v>
      </c>
      <c r="I1317" s="6" t="s">
        <v>5148</v>
      </c>
      <c r="J1317" s="6" t="s">
        <v>5149</v>
      </c>
      <c r="K1317" s="6" t="s">
        <v>3331</v>
      </c>
      <c r="L1317" s="6">
        <v>14136405</v>
      </c>
      <c r="M1317" s="6" t="s">
        <v>41</v>
      </c>
      <c r="N1317" s="6" t="s">
        <v>1650</v>
      </c>
      <c r="O1317" s="6">
        <v>216</v>
      </c>
      <c r="P1317" s="6" t="s">
        <v>1661</v>
      </c>
      <c r="Q1317" s="6" t="s">
        <v>3332</v>
      </c>
      <c r="R1317" s="8" t="s">
        <v>1808</v>
      </c>
      <c r="S1317" s="6"/>
    </row>
    <row r="1318" spans="1:19" ht="25.5" x14ac:dyDescent="0.25">
      <c r="A1318" s="5" t="s">
        <v>3872</v>
      </c>
      <c r="B1318" s="5">
        <v>1317</v>
      </c>
      <c r="C1318" s="6" t="s">
        <v>3123</v>
      </c>
      <c r="D1318" s="6" t="s">
        <v>5096</v>
      </c>
      <c r="E1318" s="6">
        <v>17</v>
      </c>
      <c r="F1318" s="6" t="s">
        <v>394</v>
      </c>
      <c r="G1318" s="6">
        <v>573</v>
      </c>
      <c r="H1318" s="6" t="s">
        <v>395</v>
      </c>
      <c r="I1318" s="6" t="s">
        <v>5150</v>
      </c>
      <c r="J1318" s="6" t="s">
        <v>4079</v>
      </c>
      <c r="K1318" s="6" t="s">
        <v>3331</v>
      </c>
      <c r="L1318" s="6">
        <v>65737151</v>
      </c>
      <c r="M1318" s="6" t="s">
        <v>41</v>
      </c>
      <c r="N1318" s="6" t="s">
        <v>1650</v>
      </c>
      <c r="O1318" s="6">
        <v>150</v>
      </c>
      <c r="P1318" s="6" t="s">
        <v>1662</v>
      </c>
      <c r="Q1318" s="6" t="s">
        <v>3332</v>
      </c>
      <c r="R1318" s="8" t="s">
        <v>1808</v>
      </c>
      <c r="S1318" s="6"/>
    </row>
    <row r="1319" spans="1:19" ht="25.5" x14ac:dyDescent="0.25">
      <c r="A1319" s="5" t="s">
        <v>3872</v>
      </c>
      <c r="B1319" s="5">
        <v>1318</v>
      </c>
      <c r="C1319" s="6" t="s">
        <v>3124</v>
      </c>
      <c r="D1319" s="6" t="s">
        <v>5096</v>
      </c>
      <c r="E1319" s="6">
        <v>24</v>
      </c>
      <c r="F1319" s="6" t="s">
        <v>1663</v>
      </c>
      <c r="G1319" s="6">
        <v>792</v>
      </c>
      <c r="H1319" s="6" t="s">
        <v>138</v>
      </c>
      <c r="I1319" s="6" t="s">
        <v>5151</v>
      </c>
      <c r="J1319" s="6" t="s">
        <v>5152</v>
      </c>
      <c r="K1319" s="6" t="s">
        <v>3331</v>
      </c>
      <c r="L1319" s="6">
        <v>1110463857</v>
      </c>
      <c r="M1319" s="6" t="s">
        <v>41</v>
      </c>
      <c r="N1319" s="6" t="s">
        <v>1650</v>
      </c>
      <c r="O1319" s="6">
        <v>213</v>
      </c>
      <c r="P1319" s="6" t="s">
        <v>1660</v>
      </c>
      <c r="Q1319" s="6" t="s">
        <v>3332</v>
      </c>
      <c r="R1319" s="8" t="s">
        <v>1808</v>
      </c>
      <c r="S1319" s="6"/>
    </row>
    <row r="1320" spans="1:19" ht="25.5" x14ac:dyDescent="0.25">
      <c r="A1320" s="5" t="s">
        <v>3872</v>
      </c>
      <c r="B1320" s="5">
        <v>1319</v>
      </c>
      <c r="C1320" s="6" t="s">
        <v>3125</v>
      </c>
      <c r="D1320" s="6" t="s">
        <v>5096</v>
      </c>
      <c r="E1320" s="6">
        <v>24</v>
      </c>
      <c r="F1320" s="6" t="s">
        <v>1663</v>
      </c>
      <c r="G1320" s="6">
        <v>792</v>
      </c>
      <c r="H1320" s="6" t="s">
        <v>138</v>
      </c>
      <c r="I1320" s="6" t="s">
        <v>5153</v>
      </c>
      <c r="J1320" s="6" t="s">
        <v>5154</v>
      </c>
      <c r="K1320" s="6" t="s">
        <v>3331</v>
      </c>
      <c r="L1320" s="6">
        <v>28553079</v>
      </c>
      <c r="M1320" s="6" t="s">
        <v>41</v>
      </c>
      <c r="N1320" s="6" t="s">
        <v>1650</v>
      </c>
      <c r="O1320" s="6">
        <v>197</v>
      </c>
      <c r="P1320" s="6" t="s">
        <v>1659</v>
      </c>
      <c r="Q1320" s="6" t="s">
        <v>3332</v>
      </c>
      <c r="R1320" s="8" t="s">
        <v>1808</v>
      </c>
      <c r="S1320" s="6"/>
    </row>
    <row r="1321" spans="1:19" ht="25.5" x14ac:dyDescent="0.25">
      <c r="A1321" s="5" t="s">
        <v>3872</v>
      </c>
      <c r="B1321" s="5">
        <v>1320</v>
      </c>
      <c r="C1321" s="6" t="s">
        <v>3126</v>
      </c>
      <c r="D1321" s="6" t="s">
        <v>5096</v>
      </c>
      <c r="E1321" s="6">
        <v>31</v>
      </c>
      <c r="F1321" s="6" t="s">
        <v>1664</v>
      </c>
      <c r="G1321" s="6">
        <v>1073</v>
      </c>
      <c r="H1321" s="6" t="s">
        <v>703</v>
      </c>
      <c r="I1321" s="6" t="s">
        <v>5155</v>
      </c>
      <c r="J1321" s="6" t="s">
        <v>5156</v>
      </c>
      <c r="K1321" s="6" t="s">
        <v>3331</v>
      </c>
      <c r="L1321" s="6">
        <v>7709806</v>
      </c>
      <c r="M1321" s="6" t="s">
        <v>41</v>
      </c>
      <c r="N1321" s="6" t="s">
        <v>1650</v>
      </c>
      <c r="O1321" s="6">
        <v>219</v>
      </c>
      <c r="P1321" s="6" t="s">
        <v>1665</v>
      </c>
      <c r="Q1321" s="6" t="s">
        <v>3332</v>
      </c>
      <c r="R1321" s="8" t="s">
        <v>1808</v>
      </c>
      <c r="S1321" s="6"/>
    </row>
    <row r="1322" spans="1:19" ht="25.5" x14ac:dyDescent="0.25">
      <c r="A1322" s="5" t="s">
        <v>3872</v>
      </c>
      <c r="B1322" s="5">
        <v>1321</v>
      </c>
      <c r="C1322" s="6" t="s">
        <v>3127</v>
      </c>
      <c r="D1322" s="6" t="s">
        <v>5096</v>
      </c>
      <c r="E1322" s="6">
        <v>35</v>
      </c>
      <c r="F1322" s="6" t="s">
        <v>1666</v>
      </c>
      <c r="G1322" s="6">
        <v>1170</v>
      </c>
      <c r="H1322" s="6" t="s">
        <v>1667</v>
      </c>
      <c r="I1322" s="6" t="s">
        <v>5157</v>
      </c>
      <c r="J1322" s="6" t="s">
        <v>3461</v>
      </c>
      <c r="K1322" s="6" t="s">
        <v>3331</v>
      </c>
      <c r="L1322" s="6">
        <v>93396479</v>
      </c>
      <c r="M1322" s="6" t="s">
        <v>41</v>
      </c>
      <c r="N1322" s="6" t="s">
        <v>1650</v>
      </c>
      <c r="O1322" s="6">
        <v>164</v>
      </c>
      <c r="P1322" s="6" t="s">
        <v>1668</v>
      </c>
      <c r="Q1322" s="6" t="s">
        <v>3332</v>
      </c>
      <c r="R1322" s="8" t="s">
        <v>1808</v>
      </c>
      <c r="S1322" s="6"/>
    </row>
    <row r="1323" spans="1:19" ht="25.5" x14ac:dyDescent="0.25">
      <c r="A1323" s="5" t="s">
        <v>3872</v>
      </c>
      <c r="B1323" s="5">
        <v>1322</v>
      </c>
      <c r="C1323" s="6" t="s">
        <v>3128</v>
      </c>
      <c r="D1323" s="6" t="s">
        <v>5096</v>
      </c>
      <c r="E1323" s="6">
        <v>42</v>
      </c>
      <c r="F1323" s="6" t="s">
        <v>1588</v>
      </c>
      <c r="G1323" s="6">
        <v>1434</v>
      </c>
      <c r="H1323" s="6" t="s">
        <v>1589</v>
      </c>
      <c r="I1323" s="6" t="s">
        <v>5158</v>
      </c>
      <c r="J1323" s="6" t="s">
        <v>5159</v>
      </c>
      <c r="K1323" s="6" t="s">
        <v>3331</v>
      </c>
      <c r="L1323" s="6">
        <v>14398050</v>
      </c>
      <c r="M1323" s="6" t="s">
        <v>41</v>
      </c>
      <c r="N1323" s="6" t="s">
        <v>1650</v>
      </c>
      <c r="O1323" s="6">
        <v>220</v>
      </c>
      <c r="P1323" s="6" t="s">
        <v>1669</v>
      </c>
      <c r="Q1323" s="6" t="s">
        <v>3332</v>
      </c>
      <c r="R1323" s="8" t="s">
        <v>1808</v>
      </c>
      <c r="S1323" s="6"/>
    </row>
    <row r="1324" spans="1:19" ht="25.5" x14ac:dyDescent="0.25">
      <c r="A1324" s="5" t="s">
        <v>3872</v>
      </c>
      <c r="B1324" s="5">
        <v>1323</v>
      </c>
      <c r="C1324" s="6" t="s">
        <v>3129</v>
      </c>
      <c r="D1324" s="6" t="s">
        <v>5096</v>
      </c>
      <c r="E1324" s="6">
        <v>3</v>
      </c>
      <c r="F1324" s="6" t="s">
        <v>1670</v>
      </c>
      <c r="G1324" s="6">
        <v>92</v>
      </c>
      <c r="H1324" s="6" t="s">
        <v>1671</v>
      </c>
      <c r="I1324" s="6" t="s">
        <v>5160</v>
      </c>
      <c r="J1324" s="6" t="s">
        <v>5161</v>
      </c>
      <c r="K1324" s="6" t="s">
        <v>3331</v>
      </c>
      <c r="L1324" s="6">
        <v>93200763</v>
      </c>
      <c r="M1324" s="6" t="s">
        <v>41</v>
      </c>
      <c r="N1324" s="6" t="s">
        <v>1650</v>
      </c>
      <c r="O1324" s="6">
        <v>128</v>
      </c>
      <c r="P1324" s="6" t="s">
        <v>951</v>
      </c>
      <c r="Q1324" s="6" t="s">
        <v>3332</v>
      </c>
      <c r="R1324" s="8" t="s">
        <v>1808</v>
      </c>
      <c r="S1324" s="6"/>
    </row>
    <row r="1325" spans="1:19" ht="25.5" x14ac:dyDescent="0.25">
      <c r="A1325" s="5" t="s">
        <v>3872</v>
      </c>
      <c r="B1325" s="5">
        <v>1324</v>
      </c>
      <c r="C1325" s="6" t="s">
        <v>3130</v>
      </c>
      <c r="D1325" s="6" t="s">
        <v>5096</v>
      </c>
      <c r="E1325" s="6">
        <v>3</v>
      </c>
      <c r="F1325" s="6" t="s">
        <v>1670</v>
      </c>
      <c r="G1325" s="6">
        <v>92</v>
      </c>
      <c r="H1325" s="6" t="s">
        <v>1671</v>
      </c>
      <c r="I1325" s="6" t="s">
        <v>5162</v>
      </c>
      <c r="J1325" s="6" t="s">
        <v>5163</v>
      </c>
      <c r="K1325" s="6" t="s">
        <v>3331</v>
      </c>
      <c r="L1325" s="6">
        <v>93410601</v>
      </c>
      <c r="M1325" s="6" t="s">
        <v>41</v>
      </c>
      <c r="N1325" s="6" t="s">
        <v>1650</v>
      </c>
      <c r="O1325" s="6">
        <v>215</v>
      </c>
      <c r="P1325" s="6" t="s">
        <v>1672</v>
      </c>
      <c r="Q1325" s="6" t="s">
        <v>3332</v>
      </c>
      <c r="R1325" s="8" t="s">
        <v>1808</v>
      </c>
      <c r="S1325" s="6"/>
    </row>
    <row r="1326" spans="1:19" ht="25.5" x14ac:dyDescent="0.25">
      <c r="A1326" s="5" t="s">
        <v>3872</v>
      </c>
      <c r="B1326" s="5">
        <v>1325</v>
      </c>
      <c r="C1326" s="6" t="s">
        <v>3131</v>
      </c>
      <c r="D1326" s="6" t="s">
        <v>5096</v>
      </c>
      <c r="E1326" s="6">
        <v>7</v>
      </c>
      <c r="F1326" s="6" t="s">
        <v>1673</v>
      </c>
      <c r="G1326" s="6">
        <v>181</v>
      </c>
      <c r="H1326" s="6" t="s">
        <v>1674</v>
      </c>
      <c r="I1326" s="6" t="s">
        <v>5164</v>
      </c>
      <c r="J1326" s="6" t="s">
        <v>5165</v>
      </c>
      <c r="K1326" s="6" t="s">
        <v>3331</v>
      </c>
      <c r="L1326" s="6">
        <v>5824835</v>
      </c>
      <c r="M1326" s="6" t="s">
        <v>41</v>
      </c>
      <c r="N1326" s="6" t="s">
        <v>1650</v>
      </c>
      <c r="O1326" s="6">
        <v>223</v>
      </c>
      <c r="P1326" s="6" t="s">
        <v>1675</v>
      </c>
      <c r="Q1326" s="6" t="s">
        <v>3332</v>
      </c>
      <c r="R1326" s="8" t="s">
        <v>1808</v>
      </c>
      <c r="S1326" s="6"/>
    </row>
    <row r="1327" spans="1:19" ht="25.5" x14ac:dyDescent="0.25">
      <c r="A1327" s="5" t="s">
        <v>3872</v>
      </c>
      <c r="B1327" s="5">
        <v>1326</v>
      </c>
      <c r="C1327" s="6" t="s">
        <v>3132</v>
      </c>
      <c r="D1327" s="6" t="s">
        <v>5096</v>
      </c>
      <c r="E1327" s="6">
        <v>7</v>
      </c>
      <c r="F1327" s="6" t="s">
        <v>1673</v>
      </c>
      <c r="G1327" s="6">
        <v>181</v>
      </c>
      <c r="H1327" s="6" t="s">
        <v>1674</v>
      </c>
      <c r="I1327" s="6" t="s">
        <v>5166</v>
      </c>
      <c r="J1327" s="6" t="s">
        <v>5167</v>
      </c>
      <c r="K1327" s="6" t="s">
        <v>3331</v>
      </c>
      <c r="L1327" s="6">
        <v>28544846</v>
      </c>
      <c r="M1327" s="6" t="s">
        <v>41</v>
      </c>
      <c r="N1327" s="6" t="s">
        <v>1650</v>
      </c>
      <c r="O1327" s="6">
        <v>191</v>
      </c>
      <c r="P1327" s="6" t="s">
        <v>1676</v>
      </c>
      <c r="Q1327" s="6" t="s">
        <v>3332</v>
      </c>
      <c r="R1327" s="8" t="s">
        <v>1808</v>
      </c>
      <c r="S1327" s="6"/>
    </row>
    <row r="1328" spans="1:19" ht="25.5" x14ac:dyDescent="0.25">
      <c r="A1328" s="5" t="s">
        <v>3872</v>
      </c>
      <c r="B1328" s="5">
        <v>1327</v>
      </c>
      <c r="C1328" s="6" t="s">
        <v>3133</v>
      </c>
      <c r="D1328" s="6" t="s">
        <v>5096</v>
      </c>
      <c r="E1328" s="6">
        <v>7</v>
      </c>
      <c r="F1328" s="6" t="s">
        <v>1673</v>
      </c>
      <c r="G1328" s="6">
        <v>181</v>
      </c>
      <c r="H1328" s="6" t="s">
        <v>1674</v>
      </c>
      <c r="I1328" s="6" t="s">
        <v>5168</v>
      </c>
      <c r="J1328" s="6" t="s">
        <v>5169</v>
      </c>
      <c r="K1328" s="6" t="s">
        <v>3331</v>
      </c>
      <c r="L1328" s="6">
        <v>14137128</v>
      </c>
      <c r="M1328" s="6" t="s">
        <v>41</v>
      </c>
      <c r="N1328" s="6" t="s">
        <v>1650</v>
      </c>
      <c r="O1328" s="6">
        <v>217</v>
      </c>
      <c r="P1328" s="6" t="s">
        <v>1677</v>
      </c>
      <c r="Q1328" s="6" t="s">
        <v>3332</v>
      </c>
      <c r="R1328" s="8" t="s">
        <v>1808</v>
      </c>
      <c r="S1328" s="6"/>
    </row>
    <row r="1329" spans="1:19" ht="25.5" x14ac:dyDescent="0.25">
      <c r="A1329" s="5" t="s">
        <v>3872</v>
      </c>
      <c r="B1329" s="5">
        <v>1328</v>
      </c>
      <c r="C1329" s="6" t="s">
        <v>3134</v>
      </c>
      <c r="D1329" s="6" t="s">
        <v>5096</v>
      </c>
      <c r="E1329" s="6">
        <v>7</v>
      </c>
      <c r="F1329" s="6" t="s">
        <v>1673</v>
      </c>
      <c r="G1329" s="6">
        <v>181</v>
      </c>
      <c r="H1329" s="6" t="s">
        <v>1674</v>
      </c>
      <c r="I1329" s="6" t="s">
        <v>5170</v>
      </c>
      <c r="J1329" s="6" t="s">
        <v>4146</v>
      </c>
      <c r="K1329" s="6" t="s">
        <v>3331</v>
      </c>
      <c r="L1329" s="6">
        <v>5827979</v>
      </c>
      <c r="M1329" s="6" t="s">
        <v>41</v>
      </c>
      <c r="N1329" s="6" t="s">
        <v>1650</v>
      </c>
      <c r="O1329" s="6">
        <v>209</v>
      </c>
      <c r="P1329" s="6" t="s">
        <v>968</v>
      </c>
      <c r="Q1329" s="6" t="s">
        <v>3332</v>
      </c>
      <c r="R1329" s="8" t="s">
        <v>1808</v>
      </c>
      <c r="S1329" s="6"/>
    </row>
    <row r="1330" spans="1:19" ht="25.5" x14ac:dyDescent="0.25">
      <c r="A1330" s="5" t="s">
        <v>3872</v>
      </c>
      <c r="B1330" s="5">
        <v>1329</v>
      </c>
      <c r="C1330" s="6" t="s">
        <v>3135</v>
      </c>
      <c r="D1330" s="6" t="s">
        <v>5096</v>
      </c>
      <c r="E1330" s="6">
        <v>7</v>
      </c>
      <c r="F1330" s="6" t="s">
        <v>1673</v>
      </c>
      <c r="G1330" s="6">
        <v>181</v>
      </c>
      <c r="H1330" s="6" t="s">
        <v>1674</v>
      </c>
      <c r="I1330" s="6" t="s">
        <v>5171</v>
      </c>
      <c r="J1330" s="6" t="s">
        <v>5172</v>
      </c>
      <c r="K1330" s="6" t="s">
        <v>3331</v>
      </c>
      <c r="L1330" s="6">
        <v>28540613</v>
      </c>
      <c r="M1330" s="6" t="s">
        <v>41</v>
      </c>
      <c r="N1330" s="6" t="s">
        <v>1650</v>
      </c>
      <c r="O1330" s="6">
        <v>209</v>
      </c>
      <c r="P1330" s="6" t="s">
        <v>968</v>
      </c>
      <c r="Q1330" s="6" t="s">
        <v>3332</v>
      </c>
      <c r="R1330" s="8" t="s">
        <v>1808</v>
      </c>
      <c r="S1330" s="6"/>
    </row>
    <row r="1331" spans="1:19" ht="25.5" x14ac:dyDescent="0.25">
      <c r="A1331" s="5" t="s">
        <v>3872</v>
      </c>
      <c r="B1331" s="5">
        <v>1330</v>
      </c>
      <c r="C1331" s="6" t="s">
        <v>3136</v>
      </c>
      <c r="D1331" s="6" t="s">
        <v>5096</v>
      </c>
      <c r="E1331" s="6">
        <v>7</v>
      </c>
      <c r="F1331" s="6" t="s">
        <v>1673</v>
      </c>
      <c r="G1331" s="6">
        <v>181</v>
      </c>
      <c r="H1331" s="6" t="s">
        <v>1674</v>
      </c>
      <c r="I1331" s="6" t="s">
        <v>5173</v>
      </c>
      <c r="J1331" s="6" t="s">
        <v>3468</v>
      </c>
      <c r="K1331" s="6" t="s">
        <v>3331</v>
      </c>
      <c r="L1331" s="6">
        <v>38262805</v>
      </c>
      <c r="M1331" s="6" t="s">
        <v>41</v>
      </c>
      <c r="N1331" s="6" t="s">
        <v>1650</v>
      </c>
      <c r="O1331" s="6">
        <v>133</v>
      </c>
      <c r="P1331" s="6" t="s">
        <v>811</v>
      </c>
      <c r="Q1331" s="6" t="s">
        <v>3332</v>
      </c>
      <c r="R1331" s="8" t="s">
        <v>1808</v>
      </c>
      <c r="S1331" s="6"/>
    </row>
    <row r="1332" spans="1:19" ht="25.5" x14ac:dyDescent="0.25">
      <c r="A1332" s="5" t="s">
        <v>3872</v>
      </c>
      <c r="B1332" s="5">
        <v>1331</v>
      </c>
      <c r="C1332" s="6" t="s">
        <v>3137</v>
      </c>
      <c r="D1332" s="6" t="s">
        <v>5096</v>
      </c>
      <c r="E1332" s="6">
        <v>7</v>
      </c>
      <c r="F1332" s="6" t="s">
        <v>1673</v>
      </c>
      <c r="G1332" s="6">
        <v>181</v>
      </c>
      <c r="H1332" s="6" t="s">
        <v>1674</v>
      </c>
      <c r="I1332" s="6" t="s">
        <v>5174</v>
      </c>
      <c r="J1332" s="6" t="s">
        <v>5175</v>
      </c>
      <c r="K1332" s="6" t="s">
        <v>3331</v>
      </c>
      <c r="L1332" s="6">
        <v>93400849</v>
      </c>
      <c r="M1332" s="6" t="s">
        <v>41</v>
      </c>
      <c r="N1332" s="6" t="s">
        <v>1650</v>
      </c>
      <c r="O1332" s="6">
        <v>184</v>
      </c>
      <c r="P1332" s="6" t="s">
        <v>173</v>
      </c>
      <c r="Q1332" s="6" t="s">
        <v>3332</v>
      </c>
      <c r="R1332" s="8" t="s">
        <v>1808</v>
      </c>
      <c r="S1332" s="6"/>
    </row>
    <row r="1333" spans="1:19" ht="25.5" x14ac:dyDescent="0.25">
      <c r="A1333" s="5" t="s">
        <v>3872</v>
      </c>
      <c r="B1333" s="5">
        <v>1332</v>
      </c>
      <c r="C1333" s="6" t="s">
        <v>3138</v>
      </c>
      <c r="D1333" s="6" t="s">
        <v>5096</v>
      </c>
      <c r="E1333" s="6">
        <v>14</v>
      </c>
      <c r="F1333" s="6" t="s">
        <v>1678</v>
      </c>
      <c r="G1333" s="6">
        <v>395</v>
      </c>
      <c r="H1333" s="6" t="s">
        <v>1165</v>
      </c>
      <c r="I1333" s="6" t="s">
        <v>5176</v>
      </c>
      <c r="J1333" s="6" t="s">
        <v>5177</v>
      </c>
      <c r="K1333" s="6" t="s">
        <v>3331</v>
      </c>
      <c r="L1333" s="6">
        <v>93300178</v>
      </c>
      <c r="M1333" s="6" t="s">
        <v>41</v>
      </c>
      <c r="N1333" s="6" t="s">
        <v>1650</v>
      </c>
      <c r="O1333" s="6">
        <v>215</v>
      </c>
      <c r="P1333" s="6" t="s">
        <v>1672</v>
      </c>
      <c r="Q1333" s="6" t="s">
        <v>3332</v>
      </c>
      <c r="R1333" s="8" t="s">
        <v>1808</v>
      </c>
      <c r="S1333" s="6"/>
    </row>
    <row r="1334" spans="1:19" ht="25.5" x14ac:dyDescent="0.25">
      <c r="A1334" s="5" t="s">
        <v>3872</v>
      </c>
      <c r="B1334" s="5">
        <v>1333</v>
      </c>
      <c r="C1334" s="6" t="s">
        <v>3139</v>
      </c>
      <c r="D1334" s="6" t="s">
        <v>5096</v>
      </c>
      <c r="E1334" s="6">
        <v>14</v>
      </c>
      <c r="F1334" s="6" t="s">
        <v>1678</v>
      </c>
      <c r="G1334" s="6">
        <v>395</v>
      </c>
      <c r="H1334" s="6" t="s">
        <v>1165</v>
      </c>
      <c r="I1334" s="6" t="s">
        <v>5178</v>
      </c>
      <c r="J1334" s="6" t="s">
        <v>4394</v>
      </c>
      <c r="K1334" s="6" t="s">
        <v>3331</v>
      </c>
      <c r="L1334" s="6">
        <v>65726561</v>
      </c>
      <c r="M1334" s="6" t="s">
        <v>41</v>
      </c>
      <c r="N1334" s="6" t="s">
        <v>1650</v>
      </c>
      <c r="O1334" s="6">
        <v>113</v>
      </c>
      <c r="P1334" s="6" t="s">
        <v>1679</v>
      </c>
      <c r="Q1334" s="6" t="s">
        <v>3332</v>
      </c>
      <c r="R1334" s="8" t="s">
        <v>1808</v>
      </c>
      <c r="S1334" s="6"/>
    </row>
    <row r="1335" spans="1:19" ht="25.5" x14ac:dyDescent="0.25">
      <c r="A1335" s="5" t="s">
        <v>3872</v>
      </c>
      <c r="B1335" s="5">
        <v>1334</v>
      </c>
      <c r="C1335" s="6" t="s">
        <v>3140</v>
      </c>
      <c r="D1335" s="6" t="s">
        <v>5096</v>
      </c>
      <c r="E1335" s="6">
        <v>45</v>
      </c>
      <c r="F1335" s="6" t="s">
        <v>206</v>
      </c>
      <c r="G1335" s="6">
        <v>1541</v>
      </c>
      <c r="H1335" s="6" t="s">
        <v>207</v>
      </c>
      <c r="I1335" s="6" t="s">
        <v>5179</v>
      </c>
      <c r="J1335" s="6" t="s">
        <v>3461</v>
      </c>
      <c r="K1335" s="6" t="s">
        <v>3331</v>
      </c>
      <c r="L1335" s="6">
        <v>93289973</v>
      </c>
      <c r="M1335" s="6" t="s">
        <v>41</v>
      </c>
      <c r="N1335" s="6" t="s">
        <v>1650</v>
      </c>
      <c r="O1335" s="6">
        <v>138</v>
      </c>
      <c r="P1335" s="6" t="s">
        <v>1680</v>
      </c>
      <c r="Q1335" s="6" t="s">
        <v>3332</v>
      </c>
      <c r="R1335" s="8" t="s">
        <v>1808</v>
      </c>
      <c r="S1335" s="6"/>
    </row>
    <row r="1336" spans="1:19" ht="25.5" x14ac:dyDescent="0.25">
      <c r="A1336" s="5" t="s">
        <v>3872</v>
      </c>
      <c r="B1336" s="5">
        <v>1335</v>
      </c>
      <c r="C1336" s="6" t="s">
        <v>3141</v>
      </c>
      <c r="D1336" s="6" t="s">
        <v>5096</v>
      </c>
      <c r="E1336" s="6">
        <v>6</v>
      </c>
      <c r="F1336" s="6" t="s">
        <v>1681</v>
      </c>
      <c r="G1336" s="6">
        <v>177</v>
      </c>
      <c r="H1336" s="6" t="s">
        <v>1172</v>
      </c>
      <c r="I1336" s="6" t="s">
        <v>5180</v>
      </c>
      <c r="J1336" s="6" t="s">
        <v>5107</v>
      </c>
      <c r="K1336" s="6" t="s">
        <v>3331</v>
      </c>
      <c r="L1336" s="6">
        <v>38360900</v>
      </c>
      <c r="M1336" s="6" t="s">
        <v>41</v>
      </c>
      <c r="N1336" s="6" t="s">
        <v>1650</v>
      </c>
      <c r="O1336" s="6">
        <v>202</v>
      </c>
      <c r="P1336" s="6" t="s">
        <v>1682</v>
      </c>
      <c r="Q1336" s="6" t="s">
        <v>3332</v>
      </c>
      <c r="R1336" s="8" t="s">
        <v>1808</v>
      </c>
      <c r="S1336" s="6"/>
    </row>
    <row r="1337" spans="1:19" ht="25.5" x14ac:dyDescent="0.25">
      <c r="A1337" s="5" t="s">
        <v>3872</v>
      </c>
      <c r="B1337" s="5">
        <v>1336</v>
      </c>
      <c r="C1337" s="6" t="s">
        <v>3142</v>
      </c>
      <c r="D1337" s="6" t="s">
        <v>5096</v>
      </c>
      <c r="E1337" s="6">
        <v>6</v>
      </c>
      <c r="F1337" s="6" t="s">
        <v>1681</v>
      </c>
      <c r="G1337" s="6">
        <v>177</v>
      </c>
      <c r="H1337" s="6" t="s">
        <v>1172</v>
      </c>
      <c r="I1337" s="6" t="s">
        <v>5181</v>
      </c>
      <c r="J1337" s="6" t="s">
        <v>5182</v>
      </c>
      <c r="K1337" s="6" t="s">
        <v>3331</v>
      </c>
      <c r="L1337" s="6">
        <v>93396521</v>
      </c>
      <c r="M1337" s="6" t="s">
        <v>41</v>
      </c>
      <c r="N1337" s="6" t="s">
        <v>1650</v>
      </c>
      <c r="O1337" s="6">
        <v>181</v>
      </c>
      <c r="P1337" s="6" t="s">
        <v>1444</v>
      </c>
      <c r="Q1337" s="6" t="s">
        <v>3332</v>
      </c>
      <c r="R1337" s="8" t="s">
        <v>1808</v>
      </c>
      <c r="S1337" s="6"/>
    </row>
    <row r="1338" spans="1:19" ht="25.5" x14ac:dyDescent="0.25">
      <c r="A1338" s="5" t="s">
        <v>3872</v>
      </c>
      <c r="B1338" s="5">
        <v>1337</v>
      </c>
      <c r="C1338" s="6" t="s">
        <v>3143</v>
      </c>
      <c r="D1338" s="6" t="s">
        <v>5096</v>
      </c>
      <c r="E1338" s="6">
        <v>6</v>
      </c>
      <c r="F1338" s="6" t="s">
        <v>1681</v>
      </c>
      <c r="G1338" s="6">
        <v>177</v>
      </c>
      <c r="H1338" s="6" t="s">
        <v>1172</v>
      </c>
      <c r="I1338" s="6" t="s">
        <v>5183</v>
      </c>
      <c r="J1338" s="6" t="s">
        <v>5184</v>
      </c>
      <c r="K1338" s="6" t="s">
        <v>3331</v>
      </c>
      <c r="L1338" s="6">
        <v>93236465</v>
      </c>
      <c r="M1338" s="6" t="s">
        <v>41</v>
      </c>
      <c r="N1338" s="6" t="s">
        <v>1650</v>
      </c>
      <c r="O1338" s="6">
        <v>217</v>
      </c>
      <c r="P1338" s="6" t="s">
        <v>1677</v>
      </c>
      <c r="Q1338" s="6" t="s">
        <v>3332</v>
      </c>
      <c r="R1338" s="8" t="s">
        <v>1808</v>
      </c>
      <c r="S1338" s="6"/>
    </row>
    <row r="1339" spans="1:19" ht="25.5" x14ac:dyDescent="0.25">
      <c r="A1339" s="5" t="s">
        <v>3872</v>
      </c>
      <c r="B1339" s="5">
        <v>1338</v>
      </c>
      <c r="C1339" s="6" t="s">
        <v>3144</v>
      </c>
      <c r="D1339" s="6" t="s">
        <v>5096</v>
      </c>
      <c r="E1339" s="6">
        <v>6</v>
      </c>
      <c r="F1339" s="6" t="s">
        <v>1681</v>
      </c>
      <c r="G1339" s="6">
        <v>177</v>
      </c>
      <c r="H1339" s="6" t="s">
        <v>1172</v>
      </c>
      <c r="I1339" s="6" t="s">
        <v>5185</v>
      </c>
      <c r="J1339" s="6" t="s">
        <v>5186</v>
      </c>
      <c r="K1339" s="6" t="s">
        <v>3331</v>
      </c>
      <c r="L1339" s="6">
        <v>1110461739</v>
      </c>
      <c r="M1339" s="6" t="s">
        <v>41</v>
      </c>
      <c r="N1339" s="6" t="s">
        <v>1650</v>
      </c>
      <c r="O1339" s="6">
        <v>217</v>
      </c>
      <c r="P1339" s="6" t="s">
        <v>1677</v>
      </c>
      <c r="Q1339" s="6" t="s">
        <v>3332</v>
      </c>
      <c r="R1339" s="8" t="s">
        <v>1808</v>
      </c>
      <c r="S1339" s="6"/>
    </row>
    <row r="1340" spans="1:19" ht="25.5" x14ac:dyDescent="0.25">
      <c r="A1340" s="5" t="s">
        <v>3872</v>
      </c>
      <c r="B1340" s="5">
        <v>1339</v>
      </c>
      <c r="C1340" s="6" t="s">
        <v>3145</v>
      </c>
      <c r="D1340" s="6" t="s">
        <v>5096</v>
      </c>
      <c r="E1340" s="6">
        <v>26</v>
      </c>
      <c r="F1340" s="6" t="s">
        <v>155</v>
      </c>
      <c r="G1340" s="6">
        <v>855</v>
      </c>
      <c r="H1340" s="6" t="s">
        <v>156</v>
      </c>
      <c r="I1340" s="6" t="s">
        <v>5187</v>
      </c>
      <c r="J1340" s="6" t="s">
        <v>5188</v>
      </c>
      <c r="K1340" s="6" t="s">
        <v>3331</v>
      </c>
      <c r="L1340" s="6">
        <v>65764605</v>
      </c>
      <c r="M1340" s="6" t="s">
        <v>41</v>
      </c>
      <c r="N1340" s="6" t="s">
        <v>1650</v>
      </c>
      <c r="O1340" s="6">
        <v>173</v>
      </c>
      <c r="P1340" s="6" t="s">
        <v>1683</v>
      </c>
      <c r="Q1340" s="6" t="s">
        <v>3332</v>
      </c>
      <c r="R1340" s="8" t="s">
        <v>1808</v>
      </c>
      <c r="S1340" s="6"/>
    </row>
    <row r="1341" spans="1:19" ht="25.5" x14ac:dyDescent="0.25">
      <c r="A1341" s="5" t="s">
        <v>3872</v>
      </c>
      <c r="B1341" s="5">
        <v>1340</v>
      </c>
      <c r="C1341" s="6" t="s">
        <v>3146</v>
      </c>
      <c r="D1341" s="6" t="s">
        <v>5096</v>
      </c>
      <c r="E1341" s="6">
        <v>26</v>
      </c>
      <c r="F1341" s="6" t="s">
        <v>155</v>
      </c>
      <c r="G1341" s="6">
        <v>855</v>
      </c>
      <c r="H1341" s="6" t="s">
        <v>156</v>
      </c>
      <c r="I1341" s="6" t="s">
        <v>5189</v>
      </c>
      <c r="J1341" s="6" t="s">
        <v>4860</v>
      </c>
      <c r="K1341" s="6" t="s">
        <v>3331</v>
      </c>
      <c r="L1341" s="6">
        <v>1105680833</v>
      </c>
      <c r="M1341" s="6" t="s">
        <v>41</v>
      </c>
      <c r="N1341" s="6" t="s">
        <v>1650</v>
      </c>
      <c r="O1341" s="6">
        <v>228</v>
      </c>
      <c r="P1341" s="6" t="s">
        <v>1684</v>
      </c>
      <c r="Q1341" s="6" t="s">
        <v>3332</v>
      </c>
      <c r="R1341" s="8" t="s">
        <v>1808</v>
      </c>
      <c r="S1341" s="6"/>
    </row>
    <row r="1342" spans="1:19" ht="25.5" x14ac:dyDescent="0.25">
      <c r="A1342" s="5" t="s">
        <v>3872</v>
      </c>
      <c r="B1342" s="5">
        <v>1341</v>
      </c>
      <c r="C1342" s="6" t="s">
        <v>3147</v>
      </c>
      <c r="D1342" s="6" t="s">
        <v>5096</v>
      </c>
      <c r="E1342" s="6">
        <v>36</v>
      </c>
      <c r="F1342" s="6" t="s">
        <v>449</v>
      </c>
      <c r="G1342" s="6">
        <v>1142</v>
      </c>
      <c r="H1342" s="6" t="s">
        <v>1685</v>
      </c>
      <c r="I1342" s="6" t="s">
        <v>5190</v>
      </c>
      <c r="J1342" s="6" t="s">
        <v>4557</v>
      </c>
      <c r="K1342" s="6" t="s">
        <v>3331</v>
      </c>
      <c r="L1342" s="6">
        <v>93235916</v>
      </c>
      <c r="M1342" s="6" t="s">
        <v>41</v>
      </c>
      <c r="N1342" s="6" t="s">
        <v>1650</v>
      </c>
      <c r="O1342" s="6">
        <v>217</v>
      </c>
      <c r="P1342" s="6" t="s">
        <v>1677</v>
      </c>
      <c r="Q1342" s="6" t="s">
        <v>3332</v>
      </c>
      <c r="R1342" s="8" t="s">
        <v>1808</v>
      </c>
      <c r="S1342" s="6"/>
    </row>
    <row r="1343" spans="1:19" ht="25.5" x14ac:dyDescent="0.25">
      <c r="A1343" s="5" t="s">
        <v>3872</v>
      </c>
      <c r="B1343" s="5">
        <v>1342</v>
      </c>
      <c r="C1343" s="6" t="s">
        <v>3148</v>
      </c>
      <c r="D1343" s="6" t="s">
        <v>5096</v>
      </c>
      <c r="E1343" s="6">
        <v>36</v>
      </c>
      <c r="F1343" s="6" t="s">
        <v>449</v>
      </c>
      <c r="G1343" s="6">
        <v>1142</v>
      </c>
      <c r="H1343" s="6" t="s">
        <v>1685</v>
      </c>
      <c r="I1343" s="6" t="s">
        <v>5191</v>
      </c>
      <c r="J1343" s="6" t="s">
        <v>5015</v>
      </c>
      <c r="K1343" s="6" t="s">
        <v>3331</v>
      </c>
      <c r="L1343" s="6">
        <v>65759112</v>
      </c>
      <c r="M1343" s="6" t="s">
        <v>41</v>
      </c>
      <c r="N1343" s="6" t="s">
        <v>1650</v>
      </c>
      <c r="O1343" s="6">
        <v>155</v>
      </c>
      <c r="P1343" s="6" t="s">
        <v>1309</v>
      </c>
      <c r="Q1343" s="6" t="s">
        <v>3332</v>
      </c>
      <c r="R1343" s="8" t="s">
        <v>1808</v>
      </c>
      <c r="S1343" s="6"/>
    </row>
    <row r="1344" spans="1:19" ht="25.5" x14ac:dyDescent="0.25">
      <c r="A1344" s="5" t="s">
        <v>3872</v>
      </c>
      <c r="B1344" s="5">
        <v>1343</v>
      </c>
      <c r="C1344" s="6" t="s">
        <v>3149</v>
      </c>
      <c r="D1344" s="6" t="s">
        <v>5096</v>
      </c>
      <c r="E1344" s="6">
        <v>39</v>
      </c>
      <c r="F1344" s="6" t="s">
        <v>1685</v>
      </c>
      <c r="G1344" s="6">
        <v>1220</v>
      </c>
      <c r="H1344" s="6" t="s">
        <v>916</v>
      </c>
      <c r="I1344" s="6" t="s">
        <v>5192</v>
      </c>
      <c r="J1344" s="6" t="s">
        <v>4648</v>
      </c>
      <c r="K1344" s="6" t="s">
        <v>3331</v>
      </c>
      <c r="L1344" s="6">
        <v>93236686</v>
      </c>
      <c r="M1344" s="6" t="s">
        <v>41</v>
      </c>
      <c r="N1344" s="6" t="s">
        <v>1650</v>
      </c>
      <c r="O1344" s="6">
        <v>213</v>
      </c>
      <c r="P1344" s="6" t="s">
        <v>1660</v>
      </c>
      <c r="Q1344" s="6" t="s">
        <v>3332</v>
      </c>
      <c r="R1344" s="8" t="s">
        <v>1808</v>
      </c>
      <c r="S1344" s="6"/>
    </row>
    <row r="1345" spans="1:19" ht="25.5" x14ac:dyDescent="0.25">
      <c r="A1345" s="5" t="s">
        <v>3872</v>
      </c>
      <c r="B1345" s="5">
        <v>1344</v>
      </c>
      <c r="C1345" s="6" t="s">
        <v>3150</v>
      </c>
      <c r="D1345" s="6" t="s">
        <v>5096</v>
      </c>
      <c r="E1345" s="6">
        <v>53</v>
      </c>
      <c r="F1345" s="6" t="s">
        <v>845</v>
      </c>
      <c r="G1345" s="6">
        <v>1668</v>
      </c>
      <c r="H1345" s="6" t="s">
        <v>846</v>
      </c>
      <c r="I1345" s="6" t="s">
        <v>5193</v>
      </c>
      <c r="J1345" s="6" t="s">
        <v>5194</v>
      </c>
      <c r="K1345" s="6" t="s">
        <v>3331</v>
      </c>
      <c r="L1345" s="6">
        <v>38144886</v>
      </c>
      <c r="M1345" s="6" t="s">
        <v>41</v>
      </c>
      <c r="N1345" s="6" t="s">
        <v>1650</v>
      </c>
      <c r="O1345" s="6">
        <v>199</v>
      </c>
      <c r="P1345" s="6" t="s">
        <v>1686</v>
      </c>
      <c r="Q1345" s="6" t="s">
        <v>3332</v>
      </c>
      <c r="R1345" s="8" t="s">
        <v>1808</v>
      </c>
      <c r="S1345" s="6"/>
    </row>
    <row r="1346" spans="1:19" ht="25.5" x14ac:dyDescent="0.25">
      <c r="A1346" s="5" t="s">
        <v>3872</v>
      </c>
      <c r="B1346" s="5">
        <v>1345</v>
      </c>
      <c r="C1346" s="6" t="s">
        <v>3151</v>
      </c>
      <c r="D1346" s="6" t="s">
        <v>5096</v>
      </c>
      <c r="E1346" s="6">
        <v>67</v>
      </c>
      <c r="F1346" s="6" t="s">
        <v>452</v>
      </c>
      <c r="G1346" s="6">
        <v>1879</v>
      </c>
      <c r="H1346" s="6" t="s">
        <v>215</v>
      </c>
      <c r="I1346" s="6" t="s">
        <v>5195</v>
      </c>
      <c r="J1346" s="6" t="s">
        <v>4698</v>
      </c>
      <c r="K1346" s="6" t="s">
        <v>3331</v>
      </c>
      <c r="L1346" s="6">
        <v>93237265</v>
      </c>
      <c r="M1346" s="6" t="s">
        <v>41</v>
      </c>
      <c r="N1346" s="6" t="s">
        <v>1650</v>
      </c>
      <c r="O1346" s="6">
        <v>213</v>
      </c>
      <c r="P1346" s="6" t="s">
        <v>1660</v>
      </c>
      <c r="Q1346" s="6" t="s">
        <v>3332</v>
      </c>
      <c r="R1346" s="8" t="s">
        <v>1808</v>
      </c>
      <c r="S1346" s="6"/>
    </row>
    <row r="1347" spans="1:19" ht="25.5" x14ac:dyDescent="0.25">
      <c r="A1347" s="5" t="s">
        <v>3872</v>
      </c>
      <c r="B1347" s="5">
        <v>1346</v>
      </c>
      <c r="C1347" s="6" t="s">
        <v>3152</v>
      </c>
      <c r="D1347" s="6" t="s">
        <v>5096</v>
      </c>
      <c r="E1347" s="6">
        <v>67</v>
      </c>
      <c r="F1347" s="6" t="s">
        <v>452</v>
      </c>
      <c r="G1347" s="6">
        <v>1879</v>
      </c>
      <c r="H1347" s="6" t="s">
        <v>215</v>
      </c>
      <c r="I1347" s="6" t="s">
        <v>5196</v>
      </c>
      <c r="J1347" s="6" t="s">
        <v>5197</v>
      </c>
      <c r="K1347" s="6" t="s">
        <v>3331</v>
      </c>
      <c r="L1347" s="6">
        <v>65801492</v>
      </c>
      <c r="M1347" s="6" t="s">
        <v>41</v>
      </c>
      <c r="N1347" s="6" t="s">
        <v>1650</v>
      </c>
      <c r="O1347" s="6">
        <v>217</v>
      </c>
      <c r="P1347" s="6" t="s">
        <v>1677</v>
      </c>
      <c r="Q1347" s="6" t="s">
        <v>3332</v>
      </c>
      <c r="R1347" s="8" t="s">
        <v>1808</v>
      </c>
      <c r="S1347" s="6"/>
    </row>
    <row r="1348" spans="1:19" ht="25.5" x14ac:dyDescent="0.25">
      <c r="A1348" s="5" t="s">
        <v>3872</v>
      </c>
      <c r="B1348" s="5">
        <v>1347</v>
      </c>
      <c r="C1348" s="6" t="s">
        <v>3153</v>
      </c>
      <c r="D1348" s="6" t="s">
        <v>5096</v>
      </c>
      <c r="E1348" s="6">
        <v>3</v>
      </c>
      <c r="F1348" s="6" t="s">
        <v>1687</v>
      </c>
      <c r="G1348" s="6">
        <v>63</v>
      </c>
      <c r="H1348" s="6" t="s">
        <v>1688</v>
      </c>
      <c r="I1348" s="6" t="s">
        <v>5198</v>
      </c>
      <c r="J1348" s="6" t="s">
        <v>5199</v>
      </c>
      <c r="K1348" s="6" t="s">
        <v>3331</v>
      </c>
      <c r="L1348" s="6">
        <v>1110484649</v>
      </c>
      <c r="M1348" s="6" t="s">
        <v>41</v>
      </c>
      <c r="N1348" s="6" t="s">
        <v>1650</v>
      </c>
      <c r="O1348" s="6">
        <v>229</v>
      </c>
      <c r="P1348" s="6" t="s">
        <v>1689</v>
      </c>
      <c r="Q1348" s="6" t="s">
        <v>3332</v>
      </c>
      <c r="R1348" s="8" t="s">
        <v>1808</v>
      </c>
      <c r="S1348" s="6"/>
    </row>
    <row r="1349" spans="1:19" ht="25.5" x14ac:dyDescent="0.25">
      <c r="A1349" s="5" t="s">
        <v>3872</v>
      </c>
      <c r="B1349" s="5">
        <v>1348</v>
      </c>
      <c r="C1349" s="6" t="s">
        <v>3154</v>
      </c>
      <c r="D1349" s="6" t="s">
        <v>5096</v>
      </c>
      <c r="E1349" s="6">
        <v>6</v>
      </c>
      <c r="F1349" s="6" t="s">
        <v>1690</v>
      </c>
      <c r="G1349" s="6">
        <v>199</v>
      </c>
      <c r="H1349" s="6" t="s">
        <v>1238</v>
      </c>
      <c r="I1349" s="6" t="s">
        <v>5200</v>
      </c>
      <c r="J1349" s="6" t="s">
        <v>5201</v>
      </c>
      <c r="K1349" s="6" t="s">
        <v>3331</v>
      </c>
      <c r="L1349" s="6">
        <v>93061451</v>
      </c>
      <c r="M1349" s="6" t="s">
        <v>41</v>
      </c>
      <c r="N1349" s="6" t="s">
        <v>1650</v>
      </c>
      <c r="O1349" s="6">
        <v>234</v>
      </c>
      <c r="P1349" s="6" t="s">
        <v>1691</v>
      </c>
      <c r="Q1349" s="6" t="s">
        <v>3332</v>
      </c>
      <c r="R1349" s="8" t="s">
        <v>1808</v>
      </c>
      <c r="S1349" s="6"/>
    </row>
    <row r="1350" spans="1:19" ht="25.5" x14ac:dyDescent="0.25">
      <c r="A1350" s="5" t="s">
        <v>3872</v>
      </c>
      <c r="B1350" s="5">
        <v>1349</v>
      </c>
      <c r="C1350" s="6" t="s">
        <v>3155</v>
      </c>
      <c r="D1350" s="6" t="s">
        <v>5096</v>
      </c>
      <c r="E1350" s="6">
        <v>9</v>
      </c>
      <c r="F1350" s="6" t="s">
        <v>223</v>
      </c>
      <c r="G1350" s="6">
        <v>331</v>
      </c>
      <c r="H1350" s="6" t="s">
        <v>160</v>
      </c>
      <c r="I1350" s="6" t="s">
        <v>5202</v>
      </c>
      <c r="J1350" s="6" t="s">
        <v>4860</v>
      </c>
      <c r="K1350" s="6" t="s">
        <v>3331</v>
      </c>
      <c r="L1350" s="6">
        <v>1110478489</v>
      </c>
      <c r="M1350" s="6" t="s">
        <v>41</v>
      </c>
      <c r="N1350" s="6" t="s">
        <v>1650</v>
      </c>
      <c r="O1350" s="6">
        <v>229</v>
      </c>
      <c r="P1350" s="6" t="s">
        <v>1689</v>
      </c>
      <c r="Q1350" s="6" t="s">
        <v>3332</v>
      </c>
      <c r="R1350" s="8" t="s">
        <v>1808</v>
      </c>
      <c r="S1350" s="6"/>
    </row>
    <row r="1351" spans="1:19" ht="25.5" x14ac:dyDescent="0.25">
      <c r="A1351" s="5" t="s">
        <v>3872</v>
      </c>
      <c r="B1351" s="5">
        <v>1350</v>
      </c>
      <c r="C1351" s="6" t="s">
        <v>3156</v>
      </c>
      <c r="D1351" s="6" t="s">
        <v>5096</v>
      </c>
      <c r="E1351" s="6">
        <v>33</v>
      </c>
      <c r="F1351" s="6" t="s">
        <v>1692</v>
      </c>
      <c r="G1351" s="6">
        <v>906</v>
      </c>
      <c r="H1351" s="6" t="s">
        <v>1693</v>
      </c>
      <c r="I1351" s="6" t="s">
        <v>5203</v>
      </c>
      <c r="J1351" s="6" t="s">
        <v>5204</v>
      </c>
      <c r="K1351" s="6" t="s">
        <v>3331</v>
      </c>
      <c r="L1351" s="6">
        <v>93238343</v>
      </c>
      <c r="M1351" s="6" t="s">
        <v>41</v>
      </c>
      <c r="N1351" s="6" t="s">
        <v>1650</v>
      </c>
      <c r="O1351" s="6">
        <v>217</v>
      </c>
      <c r="P1351" s="6" t="s">
        <v>1677</v>
      </c>
      <c r="Q1351" s="6" t="s">
        <v>3332</v>
      </c>
      <c r="R1351" s="8" t="s">
        <v>1808</v>
      </c>
      <c r="S1351" s="6"/>
    </row>
    <row r="1352" spans="1:19" ht="25.5" x14ac:dyDescent="0.25">
      <c r="A1352" s="5" t="s">
        <v>3872</v>
      </c>
      <c r="B1352" s="5">
        <v>1351</v>
      </c>
      <c r="C1352" s="6" t="s">
        <v>3157</v>
      </c>
      <c r="D1352" s="6" t="s">
        <v>5096</v>
      </c>
      <c r="E1352" s="6">
        <v>33</v>
      </c>
      <c r="F1352" s="6" t="s">
        <v>1692</v>
      </c>
      <c r="G1352" s="6">
        <v>906</v>
      </c>
      <c r="H1352" s="6" t="s">
        <v>1693</v>
      </c>
      <c r="I1352" s="6" t="s">
        <v>5205</v>
      </c>
      <c r="J1352" s="6" t="s">
        <v>5206</v>
      </c>
      <c r="K1352" s="6" t="s">
        <v>3331</v>
      </c>
      <c r="L1352" s="6">
        <v>1110464674</v>
      </c>
      <c r="M1352" s="6" t="s">
        <v>41</v>
      </c>
      <c r="N1352" s="6" t="s">
        <v>1650</v>
      </c>
      <c r="O1352" s="6">
        <v>217</v>
      </c>
      <c r="P1352" s="6" t="s">
        <v>1677</v>
      </c>
      <c r="Q1352" s="6" t="s">
        <v>3332</v>
      </c>
      <c r="R1352" s="8" t="s">
        <v>1808</v>
      </c>
      <c r="S1352" s="6"/>
    </row>
    <row r="1353" spans="1:19" ht="25.5" x14ac:dyDescent="0.25">
      <c r="A1353" s="5" t="s">
        <v>3872</v>
      </c>
      <c r="B1353" s="5">
        <v>1352</v>
      </c>
      <c r="C1353" s="6" t="s">
        <v>3158</v>
      </c>
      <c r="D1353" s="6" t="s">
        <v>5096</v>
      </c>
      <c r="E1353" s="6">
        <v>37</v>
      </c>
      <c r="F1353" s="6" t="s">
        <v>458</v>
      </c>
      <c r="G1353" s="6">
        <v>1038</v>
      </c>
      <c r="H1353" s="6" t="s">
        <v>459</v>
      </c>
      <c r="I1353" s="6" t="s">
        <v>5207</v>
      </c>
      <c r="J1353" s="6" t="s">
        <v>5208</v>
      </c>
      <c r="K1353" s="6" t="s">
        <v>3331</v>
      </c>
      <c r="L1353" s="6">
        <v>1110490684</v>
      </c>
      <c r="M1353" s="6" t="s">
        <v>41</v>
      </c>
      <c r="N1353" s="6" t="s">
        <v>1650</v>
      </c>
      <c r="O1353" s="6">
        <v>231</v>
      </c>
      <c r="P1353" s="6" t="s">
        <v>1694</v>
      </c>
      <c r="Q1353" s="6" t="s">
        <v>3332</v>
      </c>
      <c r="R1353" s="8" t="s">
        <v>1808</v>
      </c>
      <c r="S1353" s="6"/>
    </row>
    <row r="1354" spans="1:19" ht="25.5" x14ac:dyDescent="0.25">
      <c r="A1354" s="5" t="s">
        <v>3872</v>
      </c>
      <c r="B1354" s="5">
        <v>1353</v>
      </c>
      <c r="C1354" s="6" t="s">
        <v>3159</v>
      </c>
      <c r="D1354" s="6" t="s">
        <v>5096</v>
      </c>
      <c r="E1354" s="6">
        <v>40</v>
      </c>
      <c r="F1354" s="6" t="s">
        <v>459</v>
      </c>
      <c r="G1354" s="6">
        <v>1158</v>
      </c>
      <c r="H1354" s="6" t="s">
        <v>1598</v>
      </c>
      <c r="I1354" s="6" t="s">
        <v>5209</v>
      </c>
      <c r="J1354" s="6" t="s">
        <v>5210</v>
      </c>
      <c r="K1354" s="6" t="s">
        <v>3331</v>
      </c>
      <c r="L1354" s="6">
        <v>1110506852</v>
      </c>
      <c r="M1354" s="6" t="s">
        <v>41</v>
      </c>
      <c r="N1354" s="6" t="s">
        <v>1650</v>
      </c>
      <c r="O1354" s="6">
        <v>233</v>
      </c>
      <c r="P1354" s="6" t="s">
        <v>1695</v>
      </c>
      <c r="Q1354" s="6" t="s">
        <v>3332</v>
      </c>
      <c r="R1354" s="8" t="s">
        <v>1808</v>
      </c>
      <c r="S1354" s="6"/>
    </row>
    <row r="1355" spans="1:19" ht="25.5" x14ac:dyDescent="0.25">
      <c r="A1355" s="5" t="s">
        <v>3872</v>
      </c>
      <c r="B1355" s="5">
        <v>1354</v>
      </c>
      <c r="C1355" s="6" t="s">
        <v>3160</v>
      </c>
      <c r="D1355" s="6" t="s">
        <v>5096</v>
      </c>
      <c r="E1355" s="6">
        <v>43</v>
      </c>
      <c r="F1355" s="6" t="s">
        <v>1696</v>
      </c>
      <c r="G1355" s="6">
        <v>1234</v>
      </c>
      <c r="H1355" s="6" t="s">
        <v>1697</v>
      </c>
      <c r="I1355" s="6" t="s">
        <v>5211</v>
      </c>
      <c r="J1355" s="6" t="s">
        <v>5212</v>
      </c>
      <c r="K1355" s="6" t="s">
        <v>3331</v>
      </c>
      <c r="L1355" s="6">
        <v>14297689</v>
      </c>
      <c r="M1355" s="6" t="s">
        <v>41</v>
      </c>
      <c r="N1355" s="6" t="s">
        <v>1650</v>
      </c>
      <c r="O1355" s="6">
        <v>231</v>
      </c>
      <c r="P1355" s="6" t="s">
        <v>1694</v>
      </c>
      <c r="Q1355" s="6" t="s">
        <v>3332</v>
      </c>
      <c r="R1355" s="8" t="s">
        <v>1808</v>
      </c>
      <c r="S1355" s="6"/>
    </row>
    <row r="1356" spans="1:19" ht="25.5" x14ac:dyDescent="0.25">
      <c r="A1356" s="5" t="s">
        <v>3872</v>
      </c>
      <c r="B1356" s="5">
        <v>1355</v>
      </c>
      <c r="C1356" s="6" t="s">
        <v>3161</v>
      </c>
      <c r="D1356" s="6" t="s">
        <v>5096</v>
      </c>
      <c r="E1356" s="6">
        <v>49</v>
      </c>
      <c r="F1356" s="6" t="s">
        <v>165</v>
      </c>
      <c r="G1356" s="6">
        <v>1407</v>
      </c>
      <c r="H1356" s="6" t="s">
        <v>166</v>
      </c>
      <c r="I1356" s="6" t="s">
        <v>5213</v>
      </c>
      <c r="J1356" s="6" t="s">
        <v>5214</v>
      </c>
      <c r="K1356" s="6" t="s">
        <v>3331</v>
      </c>
      <c r="L1356" s="6">
        <v>1110471202</v>
      </c>
      <c r="M1356" s="6" t="s">
        <v>41</v>
      </c>
      <c r="N1356" s="6" t="s">
        <v>1650</v>
      </c>
      <c r="O1356" s="6">
        <v>220</v>
      </c>
      <c r="P1356" s="6" t="s">
        <v>1669</v>
      </c>
      <c r="Q1356" s="6" t="s">
        <v>3332</v>
      </c>
      <c r="R1356" s="8" t="s">
        <v>1808</v>
      </c>
      <c r="S1356" s="6"/>
    </row>
    <row r="1357" spans="1:19" ht="25.5" x14ac:dyDescent="0.25">
      <c r="A1357" s="5" t="s">
        <v>3872</v>
      </c>
      <c r="B1357" s="5">
        <v>1356</v>
      </c>
      <c r="C1357" s="6" t="s">
        <v>3162</v>
      </c>
      <c r="D1357" s="6" t="s">
        <v>5096</v>
      </c>
      <c r="E1357" s="6">
        <v>60</v>
      </c>
      <c r="F1357" s="6" t="s">
        <v>1698</v>
      </c>
      <c r="G1357" s="6">
        <v>1709</v>
      </c>
      <c r="H1357" s="6" t="s">
        <v>224</v>
      </c>
      <c r="I1357" s="6" t="s">
        <v>5215</v>
      </c>
      <c r="J1357" s="6" t="s">
        <v>5216</v>
      </c>
      <c r="K1357" s="6" t="s">
        <v>3331</v>
      </c>
      <c r="L1357" s="6">
        <v>65632211</v>
      </c>
      <c r="M1357" s="6" t="s">
        <v>41</v>
      </c>
      <c r="N1357" s="6" t="s">
        <v>1650</v>
      </c>
      <c r="O1357" s="6">
        <v>212</v>
      </c>
      <c r="P1357" s="6" t="s">
        <v>1699</v>
      </c>
      <c r="Q1357" s="6" t="s">
        <v>3332</v>
      </c>
      <c r="R1357" s="8" t="s">
        <v>1808</v>
      </c>
      <c r="S1357" s="6"/>
    </row>
    <row r="1358" spans="1:19" ht="25.5" x14ac:dyDescent="0.25">
      <c r="A1358" s="5" t="s">
        <v>3872</v>
      </c>
      <c r="B1358" s="5">
        <v>1357</v>
      </c>
      <c r="C1358" s="6" t="s">
        <v>3163</v>
      </c>
      <c r="D1358" s="6" t="s">
        <v>5096</v>
      </c>
      <c r="E1358" s="6">
        <v>60</v>
      </c>
      <c r="F1358" s="6" t="s">
        <v>1698</v>
      </c>
      <c r="G1358" s="6">
        <v>1709</v>
      </c>
      <c r="H1358" s="6" t="s">
        <v>224</v>
      </c>
      <c r="I1358" s="6" t="s">
        <v>5217</v>
      </c>
      <c r="J1358" s="6" t="s">
        <v>5218</v>
      </c>
      <c r="K1358" s="6" t="s">
        <v>3331</v>
      </c>
      <c r="L1358" s="6">
        <v>14295714</v>
      </c>
      <c r="M1358" s="6" t="s">
        <v>41</v>
      </c>
      <c r="N1358" s="6" t="s">
        <v>1650</v>
      </c>
      <c r="O1358" s="6">
        <v>206</v>
      </c>
      <c r="P1358" s="6" t="s">
        <v>1700</v>
      </c>
      <c r="Q1358" s="6" t="s">
        <v>3332</v>
      </c>
      <c r="R1358" s="8" t="s">
        <v>1808</v>
      </c>
      <c r="S1358" s="6"/>
    </row>
    <row r="1359" spans="1:19" ht="25.5" x14ac:dyDescent="0.25">
      <c r="A1359" s="5" t="s">
        <v>3872</v>
      </c>
      <c r="B1359" s="5">
        <v>1358</v>
      </c>
      <c r="C1359" s="6" t="s">
        <v>3164</v>
      </c>
      <c r="D1359" s="6" t="s">
        <v>5096</v>
      </c>
      <c r="E1359" s="6">
        <v>63</v>
      </c>
      <c r="F1359" s="6" t="s">
        <v>224</v>
      </c>
      <c r="G1359" s="6">
        <v>1824</v>
      </c>
      <c r="H1359" s="6" t="s">
        <v>225</v>
      </c>
      <c r="I1359" s="6" t="s">
        <v>5219</v>
      </c>
      <c r="J1359" s="6" t="s">
        <v>5220</v>
      </c>
      <c r="K1359" s="6" t="s">
        <v>3331</v>
      </c>
      <c r="L1359" s="6">
        <v>5824770</v>
      </c>
      <c r="M1359" s="6" t="s">
        <v>41</v>
      </c>
      <c r="N1359" s="6" t="s">
        <v>1650</v>
      </c>
      <c r="O1359" s="6">
        <v>205</v>
      </c>
      <c r="P1359" s="6" t="s">
        <v>197</v>
      </c>
      <c r="Q1359" s="6" t="s">
        <v>3332</v>
      </c>
      <c r="R1359" s="8" t="s">
        <v>1808</v>
      </c>
      <c r="S1359" s="6"/>
    </row>
    <row r="1360" spans="1:19" ht="25.5" x14ac:dyDescent="0.25">
      <c r="A1360" s="5" t="s">
        <v>3872</v>
      </c>
      <c r="B1360" s="5">
        <v>1359</v>
      </c>
      <c r="C1360" s="6" t="s">
        <v>3165</v>
      </c>
      <c r="D1360" s="6" t="s">
        <v>5096</v>
      </c>
      <c r="E1360" s="6">
        <v>63</v>
      </c>
      <c r="F1360" s="6" t="s">
        <v>224</v>
      </c>
      <c r="G1360" s="6">
        <v>1824</v>
      </c>
      <c r="H1360" s="6" t="s">
        <v>225</v>
      </c>
      <c r="I1360" s="6" t="s">
        <v>5221</v>
      </c>
      <c r="J1360" s="6" t="s">
        <v>5222</v>
      </c>
      <c r="K1360" s="6" t="s">
        <v>3331</v>
      </c>
      <c r="L1360" s="6">
        <v>14135136</v>
      </c>
      <c r="M1360" s="6" t="s">
        <v>41</v>
      </c>
      <c r="N1360" s="6" t="s">
        <v>1650</v>
      </c>
      <c r="O1360" s="6">
        <v>213</v>
      </c>
      <c r="P1360" s="6" t="s">
        <v>1660</v>
      </c>
      <c r="Q1360" s="6" t="s">
        <v>3332</v>
      </c>
      <c r="R1360" s="8" t="s">
        <v>1808</v>
      </c>
      <c r="S1360" s="6"/>
    </row>
    <row r="1361" spans="1:19" ht="25.5" x14ac:dyDescent="0.25">
      <c r="A1361" s="5" t="s">
        <v>3872</v>
      </c>
      <c r="B1361" s="5">
        <v>1360</v>
      </c>
      <c r="C1361" s="6" t="s">
        <v>3166</v>
      </c>
      <c r="D1361" s="6" t="s">
        <v>5096</v>
      </c>
      <c r="E1361" s="6">
        <v>67</v>
      </c>
      <c r="F1361" s="6" t="s">
        <v>1701</v>
      </c>
      <c r="G1361" s="6">
        <v>1924</v>
      </c>
      <c r="H1361" s="6" t="s">
        <v>512</v>
      </c>
      <c r="I1361" s="6" t="s">
        <v>5223</v>
      </c>
      <c r="J1361" s="6" t="s">
        <v>5224</v>
      </c>
      <c r="K1361" s="6" t="s">
        <v>3331</v>
      </c>
      <c r="L1361" s="6">
        <v>1110499990</v>
      </c>
      <c r="M1361" s="6" t="s">
        <v>41</v>
      </c>
      <c r="N1361" s="6" t="s">
        <v>1650</v>
      </c>
      <c r="O1361" s="6">
        <v>233</v>
      </c>
      <c r="P1361" s="6" t="s">
        <v>1695</v>
      </c>
      <c r="Q1361" s="6" t="s">
        <v>3332</v>
      </c>
      <c r="R1361" s="8" t="s">
        <v>1808</v>
      </c>
      <c r="S1361" s="6"/>
    </row>
    <row r="1362" spans="1:19" ht="25.5" x14ac:dyDescent="0.25">
      <c r="A1362" s="5" t="s">
        <v>3872</v>
      </c>
      <c r="B1362" s="5">
        <v>1361</v>
      </c>
      <c r="C1362" s="6" t="s">
        <v>3167</v>
      </c>
      <c r="D1362" s="6" t="s">
        <v>5096</v>
      </c>
      <c r="E1362" s="6">
        <v>74</v>
      </c>
      <c r="F1362" s="6" t="s">
        <v>1702</v>
      </c>
      <c r="G1362" s="6">
        <v>2091</v>
      </c>
      <c r="H1362" s="6" t="s">
        <v>1004</v>
      </c>
      <c r="I1362" s="6" t="s">
        <v>5225</v>
      </c>
      <c r="J1362" s="6" t="s">
        <v>5226</v>
      </c>
      <c r="K1362" s="6" t="s">
        <v>3331</v>
      </c>
      <c r="L1362" s="6">
        <v>14297805</v>
      </c>
      <c r="M1362" s="6" t="s">
        <v>41</v>
      </c>
      <c r="N1362" s="6" t="s">
        <v>1650</v>
      </c>
      <c r="O1362" s="6">
        <v>213</v>
      </c>
      <c r="P1362" s="6" t="s">
        <v>1660</v>
      </c>
      <c r="Q1362" s="6" t="s">
        <v>3332</v>
      </c>
      <c r="R1362" s="8" t="s">
        <v>1808</v>
      </c>
      <c r="S1362" s="6"/>
    </row>
    <row r="1363" spans="1:19" ht="25.5" x14ac:dyDescent="0.25">
      <c r="A1363" s="5" t="s">
        <v>3872</v>
      </c>
      <c r="B1363" s="5">
        <v>1362</v>
      </c>
      <c r="C1363" s="6" t="s">
        <v>3168</v>
      </c>
      <c r="D1363" s="6" t="s">
        <v>5096</v>
      </c>
      <c r="E1363" s="6">
        <v>3</v>
      </c>
      <c r="F1363" s="6" t="s">
        <v>1703</v>
      </c>
      <c r="G1363" s="6">
        <v>91</v>
      </c>
      <c r="H1363" s="6" t="s">
        <v>464</v>
      </c>
      <c r="I1363" s="6" t="s">
        <v>5227</v>
      </c>
      <c r="J1363" s="6" t="s">
        <v>5008</v>
      </c>
      <c r="K1363" s="6" t="s">
        <v>3331</v>
      </c>
      <c r="L1363" s="6">
        <v>1110451706</v>
      </c>
      <c r="M1363" s="6" t="s">
        <v>41</v>
      </c>
      <c r="N1363" s="6" t="s">
        <v>1650</v>
      </c>
      <c r="O1363" s="6">
        <v>239</v>
      </c>
      <c r="P1363" s="6" t="s">
        <v>1704</v>
      </c>
      <c r="Q1363" s="6" t="s">
        <v>3332</v>
      </c>
      <c r="R1363" s="8" t="s">
        <v>1808</v>
      </c>
      <c r="S1363" s="6"/>
    </row>
    <row r="1364" spans="1:19" ht="25.5" x14ac:dyDescent="0.25">
      <c r="A1364" s="5" t="s">
        <v>3872</v>
      </c>
      <c r="B1364" s="5">
        <v>1363</v>
      </c>
      <c r="C1364" s="6" t="s">
        <v>3169</v>
      </c>
      <c r="D1364" s="6" t="s">
        <v>5096</v>
      </c>
      <c r="E1364" s="6">
        <v>13</v>
      </c>
      <c r="F1364" s="6" t="s">
        <v>1705</v>
      </c>
      <c r="G1364" s="6">
        <v>365</v>
      </c>
      <c r="H1364" s="6" t="s">
        <v>1010</v>
      </c>
      <c r="I1364" s="6" t="s">
        <v>5228</v>
      </c>
      <c r="J1364" s="6" t="s">
        <v>5229</v>
      </c>
      <c r="K1364" s="6" t="s">
        <v>3331</v>
      </c>
      <c r="L1364" s="6">
        <v>65762272</v>
      </c>
      <c r="M1364" s="6" t="s">
        <v>41</v>
      </c>
      <c r="N1364" s="6" t="s">
        <v>1650</v>
      </c>
      <c r="O1364" s="6">
        <v>169</v>
      </c>
      <c r="P1364" s="6" t="s">
        <v>1706</v>
      </c>
      <c r="Q1364" s="6" t="s">
        <v>3332</v>
      </c>
      <c r="R1364" s="8" t="s">
        <v>1808</v>
      </c>
      <c r="S1364" s="6"/>
    </row>
    <row r="1365" spans="1:19" ht="25.5" x14ac:dyDescent="0.25">
      <c r="A1365" s="5" t="s">
        <v>3872</v>
      </c>
      <c r="B1365" s="5">
        <v>1364</v>
      </c>
      <c r="C1365" s="6" t="s">
        <v>3170</v>
      </c>
      <c r="D1365" s="6" t="s">
        <v>5096</v>
      </c>
      <c r="E1365" s="6">
        <v>13</v>
      </c>
      <c r="F1365" s="6" t="s">
        <v>1705</v>
      </c>
      <c r="G1365" s="6">
        <v>365</v>
      </c>
      <c r="H1365" s="6" t="s">
        <v>1010</v>
      </c>
      <c r="I1365" s="6" t="s">
        <v>5230</v>
      </c>
      <c r="J1365" s="6" t="s">
        <v>4231</v>
      </c>
      <c r="K1365" s="6" t="s">
        <v>3331</v>
      </c>
      <c r="L1365" s="6">
        <v>93403645</v>
      </c>
      <c r="M1365" s="6" t="s">
        <v>41</v>
      </c>
      <c r="N1365" s="6" t="s">
        <v>1650</v>
      </c>
      <c r="O1365" s="6">
        <v>183</v>
      </c>
      <c r="P1365" s="6" t="s">
        <v>1707</v>
      </c>
      <c r="Q1365" s="6" t="s">
        <v>3332</v>
      </c>
      <c r="R1365" s="8" t="s">
        <v>1808</v>
      </c>
      <c r="S1365" s="6"/>
    </row>
    <row r="1366" spans="1:19" ht="25.5" x14ac:dyDescent="0.25">
      <c r="A1366" s="5" t="s">
        <v>3872</v>
      </c>
      <c r="B1366" s="5">
        <v>1365</v>
      </c>
      <c r="C1366" s="6" t="s">
        <v>3171</v>
      </c>
      <c r="D1366" s="6" t="s">
        <v>5096</v>
      </c>
      <c r="E1366" s="6">
        <v>41</v>
      </c>
      <c r="F1366" s="6" t="s">
        <v>585</v>
      </c>
      <c r="G1366" s="6">
        <v>1352</v>
      </c>
      <c r="H1366" s="6" t="s">
        <v>739</v>
      </c>
      <c r="I1366" s="6" t="s">
        <v>5231</v>
      </c>
      <c r="J1366" s="6" t="s">
        <v>5232</v>
      </c>
      <c r="K1366" s="6" t="s">
        <v>3331</v>
      </c>
      <c r="L1366" s="6">
        <v>93355856</v>
      </c>
      <c r="M1366" s="6" t="s">
        <v>41</v>
      </c>
      <c r="N1366" s="6" t="s">
        <v>1650</v>
      </c>
      <c r="O1366" s="6">
        <v>145</v>
      </c>
      <c r="P1366" s="6" t="s">
        <v>1708</v>
      </c>
      <c r="Q1366" s="6" t="s">
        <v>3332</v>
      </c>
      <c r="R1366" s="8" t="s">
        <v>1808</v>
      </c>
      <c r="S1366" s="6"/>
    </row>
    <row r="1367" spans="1:19" ht="25.5" x14ac:dyDescent="0.25">
      <c r="A1367" s="5" t="s">
        <v>3872</v>
      </c>
      <c r="B1367" s="5">
        <v>1366</v>
      </c>
      <c r="C1367" s="6" t="s">
        <v>3172</v>
      </c>
      <c r="D1367" s="6" t="s">
        <v>5096</v>
      </c>
      <c r="E1367" s="6">
        <v>45</v>
      </c>
      <c r="F1367" s="6" t="s">
        <v>1709</v>
      </c>
      <c r="G1367" s="6">
        <v>1471</v>
      </c>
      <c r="H1367" s="6" t="s">
        <v>1710</v>
      </c>
      <c r="I1367" s="6" t="s">
        <v>5233</v>
      </c>
      <c r="J1367" s="6" t="s">
        <v>5234</v>
      </c>
      <c r="K1367" s="6" t="s">
        <v>3331</v>
      </c>
      <c r="L1367" s="6">
        <v>1110455004</v>
      </c>
      <c r="M1367" s="6" t="s">
        <v>41</v>
      </c>
      <c r="N1367" s="6" t="s">
        <v>1650</v>
      </c>
      <c r="O1367" s="6">
        <v>233</v>
      </c>
      <c r="P1367" s="6" t="s">
        <v>1695</v>
      </c>
      <c r="Q1367" s="6" t="s">
        <v>3332</v>
      </c>
      <c r="R1367" s="8" t="s">
        <v>1808</v>
      </c>
      <c r="S1367" s="6"/>
    </row>
    <row r="1368" spans="1:19" ht="25.5" x14ac:dyDescent="0.25">
      <c r="A1368" s="5" t="s">
        <v>3872</v>
      </c>
      <c r="B1368" s="5">
        <v>1367</v>
      </c>
      <c r="C1368" s="6" t="s">
        <v>3173</v>
      </c>
      <c r="D1368" s="6" t="s">
        <v>5096</v>
      </c>
      <c r="E1368" s="6">
        <v>63</v>
      </c>
      <c r="F1368" s="6" t="s">
        <v>246</v>
      </c>
      <c r="G1368" s="6">
        <v>1865</v>
      </c>
      <c r="H1368" s="6" t="s">
        <v>247</v>
      </c>
      <c r="I1368" s="6" t="s">
        <v>5235</v>
      </c>
      <c r="J1368" s="6" t="s">
        <v>4039</v>
      </c>
      <c r="K1368" s="6" t="s">
        <v>3331</v>
      </c>
      <c r="L1368" s="6">
        <v>28551398</v>
      </c>
      <c r="M1368" s="6" t="s">
        <v>41</v>
      </c>
      <c r="N1368" s="6" t="s">
        <v>1650</v>
      </c>
      <c r="O1368" s="6">
        <v>203</v>
      </c>
      <c r="P1368" s="6" t="s">
        <v>1711</v>
      </c>
      <c r="Q1368" s="6" t="s">
        <v>3332</v>
      </c>
      <c r="R1368" s="8" t="s">
        <v>1808</v>
      </c>
      <c r="S1368" s="6"/>
    </row>
    <row r="1369" spans="1:19" ht="25.5" x14ac:dyDescent="0.25">
      <c r="A1369" s="5" t="s">
        <v>3872</v>
      </c>
      <c r="B1369" s="5">
        <v>1368</v>
      </c>
      <c r="C1369" s="6" t="s">
        <v>3174</v>
      </c>
      <c r="D1369" s="6" t="s">
        <v>5096</v>
      </c>
      <c r="E1369" s="6">
        <v>67</v>
      </c>
      <c r="F1369" s="6" t="s">
        <v>174</v>
      </c>
      <c r="G1369" s="6">
        <v>1964</v>
      </c>
      <c r="H1369" s="6" t="s">
        <v>175</v>
      </c>
      <c r="I1369" s="6" t="s">
        <v>5236</v>
      </c>
      <c r="J1369" s="6" t="s">
        <v>3470</v>
      </c>
      <c r="K1369" s="6" t="s">
        <v>3331</v>
      </c>
      <c r="L1369" s="6">
        <v>1128424600</v>
      </c>
      <c r="M1369" s="6" t="s">
        <v>41</v>
      </c>
      <c r="N1369" s="6" t="s">
        <v>1650</v>
      </c>
      <c r="O1369" s="6">
        <v>244</v>
      </c>
      <c r="P1369" s="6" t="s">
        <v>1214</v>
      </c>
      <c r="Q1369" s="6" t="s">
        <v>3332</v>
      </c>
      <c r="R1369" s="8" t="s">
        <v>1808</v>
      </c>
      <c r="S1369" s="6"/>
    </row>
    <row r="1370" spans="1:19" ht="25.5" x14ac:dyDescent="0.25">
      <c r="A1370" s="5" t="s">
        <v>3872</v>
      </c>
      <c r="B1370" s="5">
        <v>1369</v>
      </c>
      <c r="C1370" s="6" t="s">
        <v>3175</v>
      </c>
      <c r="D1370" s="6" t="s">
        <v>5096</v>
      </c>
      <c r="E1370" s="6">
        <v>67</v>
      </c>
      <c r="F1370" s="6" t="s">
        <v>174</v>
      </c>
      <c r="G1370" s="6">
        <v>1964</v>
      </c>
      <c r="H1370" s="6" t="s">
        <v>175</v>
      </c>
      <c r="I1370" s="6" t="s">
        <v>5237</v>
      </c>
      <c r="J1370" s="6" t="s">
        <v>4256</v>
      </c>
      <c r="K1370" s="6" t="s">
        <v>3331</v>
      </c>
      <c r="L1370" s="6">
        <v>14215718</v>
      </c>
      <c r="M1370" s="6" t="s">
        <v>41</v>
      </c>
      <c r="N1370" s="6" t="s">
        <v>1650</v>
      </c>
      <c r="O1370" s="6">
        <v>81</v>
      </c>
      <c r="P1370" s="6" t="s">
        <v>841</v>
      </c>
      <c r="Q1370" s="6" t="s">
        <v>3332</v>
      </c>
      <c r="R1370" s="8" t="s">
        <v>1808</v>
      </c>
      <c r="S1370" s="6"/>
    </row>
    <row r="1371" spans="1:19" ht="25.5" x14ac:dyDescent="0.25">
      <c r="A1371" s="5" t="s">
        <v>3872</v>
      </c>
      <c r="B1371" s="5">
        <v>1370</v>
      </c>
      <c r="C1371" s="6" t="s">
        <v>3176</v>
      </c>
      <c r="D1371" s="6" t="s">
        <v>5096</v>
      </c>
      <c r="E1371" s="6">
        <v>67</v>
      </c>
      <c r="F1371" s="6" t="s">
        <v>174</v>
      </c>
      <c r="G1371" s="6">
        <v>1964</v>
      </c>
      <c r="H1371" s="6" t="s">
        <v>175</v>
      </c>
      <c r="I1371" s="6" t="s">
        <v>5238</v>
      </c>
      <c r="J1371" s="6" t="s">
        <v>5239</v>
      </c>
      <c r="K1371" s="6" t="s">
        <v>3331</v>
      </c>
      <c r="L1371" s="6">
        <v>11205818</v>
      </c>
      <c r="M1371" s="6" t="s">
        <v>41</v>
      </c>
      <c r="N1371" s="6" t="s">
        <v>1650</v>
      </c>
      <c r="O1371" s="6">
        <v>202</v>
      </c>
      <c r="P1371" s="6" t="s">
        <v>1682</v>
      </c>
      <c r="Q1371" s="6" t="s">
        <v>3332</v>
      </c>
      <c r="R1371" s="8" t="s">
        <v>1808</v>
      </c>
      <c r="S1371" s="6"/>
    </row>
    <row r="1372" spans="1:19" ht="25.5" x14ac:dyDescent="0.25">
      <c r="A1372" s="5" t="s">
        <v>3872</v>
      </c>
      <c r="B1372" s="5">
        <v>1371</v>
      </c>
      <c r="C1372" s="6" t="s">
        <v>3177</v>
      </c>
      <c r="D1372" s="6" t="s">
        <v>5096</v>
      </c>
      <c r="E1372" s="6">
        <v>70</v>
      </c>
      <c r="F1372" s="6" t="s">
        <v>1614</v>
      </c>
      <c r="G1372" s="6">
        <v>2017</v>
      </c>
      <c r="H1372" s="6" t="s">
        <v>177</v>
      </c>
      <c r="I1372" s="6" t="s">
        <v>5240</v>
      </c>
      <c r="J1372" s="6" t="s">
        <v>5241</v>
      </c>
      <c r="K1372" s="6" t="s">
        <v>3331</v>
      </c>
      <c r="L1372" s="6">
        <v>38263666</v>
      </c>
      <c r="M1372" s="6" t="s">
        <v>41</v>
      </c>
      <c r="N1372" s="6" t="s">
        <v>1650</v>
      </c>
      <c r="O1372" s="6">
        <v>119</v>
      </c>
      <c r="P1372" s="6" t="s">
        <v>1712</v>
      </c>
      <c r="Q1372" s="6" t="s">
        <v>3332</v>
      </c>
      <c r="R1372" s="8" t="s">
        <v>1808</v>
      </c>
      <c r="S1372" s="6"/>
    </row>
    <row r="1373" spans="1:19" ht="25.5" x14ac:dyDescent="0.25">
      <c r="A1373" s="5" t="s">
        <v>3872</v>
      </c>
      <c r="B1373" s="5">
        <v>1372</v>
      </c>
      <c r="C1373" s="6" t="s">
        <v>3178</v>
      </c>
      <c r="D1373" s="6" t="s">
        <v>5096</v>
      </c>
      <c r="E1373" s="6">
        <v>70</v>
      </c>
      <c r="F1373" s="6" t="s">
        <v>1614</v>
      </c>
      <c r="G1373" s="6">
        <v>2017</v>
      </c>
      <c r="H1373" s="6" t="s">
        <v>177</v>
      </c>
      <c r="I1373" s="6" t="s">
        <v>5242</v>
      </c>
      <c r="J1373" s="6" t="s">
        <v>4478</v>
      </c>
      <c r="K1373" s="6" t="s">
        <v>3331</v>
      </c>
      <c r="L1373" s="6">
        <v>14399699</v>
      </c>
      <c r="M1373" s="6" t="s">
        <v>41</v>
      </c>
      <c r="N1373" s="6" t="s">
        <v>1650</v>
      </c>
      <c r="O1373" s="6">
        <v>219</v>
      </c>
      <c r="P1373" s="6" t="s">
        <v>1665</v>
      </c>
      <c r="Q1373" s="6" t="s">
        <v>3332</v>
      </c>
      <c r="R1373" s="8" t="s">
        <v>1808</v>
      </c>
      <c r="S1373" s="6"/>
    </row>
    <row r="1374" spans="1:19" ht="25.5" x14ac:dyDescent="0.25">
      <c r="A1374" s="5" t="s">
        <v>3872</v>
      </c>
      <c r="B1374" s="5">
        <v>1373</v>
      </c>
      <c r="C1374" s="6" t="s">
        <v>3179</v>
      </c>
      <c r="D1374" s="6" t="s">
        <v>5096</v>
      </c>
      <c r="E1374" s="6">
        <v>75</v>
      </c>
      <c r="F1374" s="6" t="s">
        <v>569</v>
      </c>
      <c r="G1374" s="6">
        <v>2097</v>
      </c>
      <c r="H1374" s="6" t="s">
        <v>295</v>
      </c>
      <c r="I1374" s="6" t="s">
        <v>5243</v>
      </c>
      <c r="J1374" s="6" t="s">
        <v>5244</v>
      </c>
      <c r="K1374" s="6" t="s">
        <v>3331</v>
      </c>
      <c r="L1374" s="6">
        <v>1106770598</v>
      </c>
      <c r="M1374" s="6" t="s">
        <v>41</v>
      </c>
      <c r="N1374" s="6" t="s">
        <v>1650</v>
      </c>
      <c r="O1374" s="6">
        <v>225</v>
      </c>
      <c r="P1374" s="6" t="s">
        <v>1713</v>
      </c>
      <c r="Q1374" s="6" t="s">
        <v>3332</v>
      </c>
      <c r="R1374" s="8" t="s">
        <v>1808</v>
      </c>
      <c r="S1374" s="6"/>
    </row>
    <row r="1375" spans="1:19" ht="25.5" x14ac:dyDescent="0.25">
      <c r="A1375" s="5" t="s">
        <v>3872</v>
      </c>
      <c r="B1375" s="5">
        <v>1374</v>
      </c>
      <c r="C1375" s="6" t="s">
        <v>3180</v>
      </c>
      <c r="D1375" s="6" t="s">
        <v>5096</v>
      </c>
      <c r="E1375" s="6">
        <v>83</v>
      </c>
      <c r="F1375" s="6" t="s">
        <v>770</v>
      </c>
      <c r="G1375" s="6">
        <v>2211</v>
      </c>
      <c r="H1375" s="6" t="s">
        <v>265</v>
      </c>
      <c r="I1375" s="6" t="s">
        <v>5245</v>
      </c>
      <c r="J1375" s="6" t="s">
        <v>5246</v>
      </c>
      <c r="K1375" s="6" t="s">
        <v>3331</v>
      </c>
      <c r="L1375" s="6">
        <v>65781155</v>
      </c>
      <c r="M1375" s="6" t="s">
        <v>41</v>
      </c>
      <c r="N1375" s="6" t="s">
        <v>1650</v>
      </c>
      <c r="O1375" s="6">
        <v>183</v>
      </c>
      <c r="P1375" s="6" t="s">
        <v>1707</v>
      </c>
      <c r="Q1375" s="6" t="s">
        <v>3332</v>
      </c>
      <c r="R1375" s="8" t="s">
        <v>1808</v>
      </c>
      <c r="S1375" s="6"/>
    </row>
    <row r="1376" spans="1:19" ht="25.5" x14ac:dyDescent="0.25">
      <c r="A1376" s="5" t="s">
        <v>3872</v>
      </c>
      <c r="B1376" s="5">
        <v>1375</v>
      </c>
      <c r="C1376" s="6" t="s">
        <v>3181</v>
      </c>
      <c r="D1376" s="6" t="s">
        <v>5096</v>
      </c>
      <c r="E1376" s="6">
        <v>6</v>
      </c>
      <c r="F1376" s="6" t="s">
        <v>1714</v>
      </c>
      <c r="G1376" s="6">
        <v>142</v>
      </c>
      <c r="H1376" s="6" t="s">
        <v>775</v>
      </c>
      <c r="I1376" s="6" t="s">
        <v>5247</v>
      </c>
      <c r="J1376" s="6" t="s">
        <v>5248</v>
      </c>
      <c r="K1376" s="6" t="s">
        <v>3331</v>
      </c>
      <c r="L1376" s="6">
        <v>1110497749</v>
      </c>
      <c r="M1376" s="6" t="s">
        <v>41</v>
      </c>
      <c r="N1376" s="6" t="s">
        <v>1650</v>
      </c>
      <c r="O1376" s="6">
        <v>233</v>
      </c>
      <c r="P1376" s="6" t="s">
        <v>1695</v>
      </c>
      <c r="Q1376" s="6" t="s">
        <v>3332</v>
      </c>
      <c r="R1376" s="8" t="s">
        <v>1808</v>
      </c>
      <c r="S1376" s="6"/>
    </row>
    <row r="1377" spans="1:19" ht="25.5" x14ac:dyDescent="0.25">
      <c r="A1377" s="5" t="s">
        <v>3872</v>
      </c>
      <c r="B1377" s="5">
        <v>1376</v>
      </c>
      <c r="C1377" s="6" t="s">
        <v>3182</v>
      </c>
      <c r="D1377" s="6" t="s">
        <v>5096</v>
      </c>
      <c r="E1377" s="6">
        <v>10</v>
      </c>
      <c r="F1377" s="6" t="s">
        <v>182</v>
      </c>
      <c r="G1377" s="6">
        <v>238</v>
      </c>
      <c r="H1377" s="6" t="s">
        <v>1715</v>
      </c>
      <c r="I1377" s="6" t="s">
        <v>5249</v>
      </c>
      <c r="J1377" s="6" t="s">
        <v>5250</v>
      </c>
      <c r="K1377" s="6" t="s">
        <v>3331</v>
      </c>
      <c r="L1377" s="6">
        <v>80747198</v>
      </c>
      <c r="M1377" s="6" t="s">
        <v>41</v>
      </c>
      <c r="N1377" s="6" t="s">
        <v>1650</v>
      </c>
      <c r="O1377" s="6">
        <v>245</v>
      </c>
      <c r="P1377" s="6" t="s">
        <v>1716</v>
      </c>
      <c r="Q1377" s="6" t="s">
        <v>3332</v>
      </c>
      <c r="R1377" s="8" t="s">
        <v>1808</v>
      </c>
      <c r="S1377" s="6"/>
    </row>
    <row r="1378" spans="1:19" ht="25.5" x14ac:dyDescent="0.25">
      <c r="A1378" s="5" t="s">
        <v>3872</v>
      </c>
      <c r="B1378" s="5">
        <v>1377</v>
      </c>
      <c r="C1378" s="6" t="s">
        <v>3183</v>
      </c>
      <c r="D1378" s="6" t="s">
        <v>5096</v>
      </c>
      <c r="E1378" s="6">
        <v>10</v>
      </c>
      <c r="F1378" s="6" t="s">
        <v>182</v>
      </c>
      <c r="G1378" s="6">
        <v>238</v>
      </c>
      <c r="H1378" s="6" t="s">
        <v>1715</v>
      </c>
      <c r="I1378" s="6" t="s">
        <v>5251</v>
      </c>
      <c r="J1378" s="6" t="s">
        <v>3627</v>
      </c>
      <c r="K1378" s="6" t="s">
        <v>3331</v>
      </c>
      <c r="L1378" s="6">
        <v>36276268</v>
      </c>
      <c r="M1378" s="6" t="s">
        <v>41</v>
      </c>
      <c r="N1378" s="6" t="s">
        <v>1650</v>
      </c>
      <c r="O1378" s="6">
        <v>133</v>
      </c>
      <c r="P1378" s="6" t="s">
        <v>811</v>
      </c>
      <c r="Q1378" s="6" t="s">
        <v>3332</v>
      </c>
      <c r="R1378" s="8" t="s">
        <v>1808</v>
      </c>
      <c r="S1378" s="6"/>
    </row>
    <row r="1379" spans="1:19" ht="25.5" x14ac:dyDescent="0.25">
      <c r="A1379" s="5" t="s">
        <v>3872</v>
      </c>
      <c r="B1379" s="5">
        <v>1378</v>
      </c>
      <c r="C1379" s="6" t="s">
        <v>3184</v>
      </c>
      <c r="D1379" s="6" t="s">
        <v>5096</v>
      </c>
      <c r="E1379" s="6">
        <v>30</v>
      </c>
      <c r="F1379" s="6" t="s">
        <v>262</v>
      </c>
      <c r="G1379" s="6">
        <v>667</v>
      </c>
      <c r="H1379" s="6" t="s">
        <v>1717</v>
      </c>
      <c r="I1379" s="6" t="s">
        <v>5252</v>
      </c>
      <c r="J1379" s="6" t="s">
        <v>5253</v>
      </c>
      <c r="K1379" s="6" t="s">
        <v>3331</v>
      </c>
      <c r="L1379" s="6">
        <v>1111199388</v>
      </c>
      <c r="M1379" s="6" t="s">
        <v>41</v>
      </c>
      <c r="N1379" s="6" t="s">
        <v>1650</v>
      </c>
      <c r="O1379" s="6">
        <v>244</v>
      </c>
      <c r="P1379" s="6" t="s">
        <v>1214</v>
      </c>
      <c r="Q1379" s="6" t="s">
        <v>3332</v>
      </c>
      <c r="R1379" s="8" t="s">
        <v>1808</v>
      </c>
      <c r="S1379" s="6"/>
    </row>
    <row r="1380" spans="1:19" ht="25.5" x14ac:dyDescent="0.25">
      <c r="A1380" s="5" t="s">
        <v>3872</v>
      </c>
      <c r="B1380" s="5">
        <v>1379</v>
      </c>
      <c r="C1380" s="6" t="s">
        <v>3185</v>
      </c>
      <c r="D1380" s="6" t="s">
        <v>5096</v>
      </c>
      <c r="E1380" s="6">
        <v>33</v>
      </c>
      <c r="F1380" s="6" t="s">
        <v>1717</v>
      </c>
      <c r="G1380" s="6">
        <v>752</v>
      </c>
      <c r="H1380" s="6" t="s">
        <v>318</v>
      </c>
      <c r="I1380" s="6" t="s">
        <v>5254</v>
      </c>
      <c r="J1380" s="6" t="s">
        <v>5255</v>
      </c>
      <c r="K1380" s="6" t="s">
        <v>3331</v>
      </c>
      <c r="L1380" s="6">
        <v>1110536782</v>
      </c>
      <c r="M1380" s="6" t="s">
        <v>41</v>
      </c>
      <c r="N1380" s="6" t="s">
        <v>1650</v>
      </c>
      <c r="O1380" s="6">
        <v>246</v>
      </c>
      <c r="P1380" s="6" t="s">
        <v>1718</v>
      </c>
      <c r="Q1380" s="6" t="s">
        <v>3332</v>
      </c>
      <c r="R1380" s="8" t="s">
        <v>1808</v>
      </c>
      <c r="S1380" s="6"/>
    </row>
    <row r="1381" spans="1:19" ht="25.5" x14ac:dyDescent="0.25">
      <c r="A1381" s="5" t="s">
        <v>3872</v>
      </c>
      <c r="B1381" s="5">
        <v>1380</v>
      </c>
      <c r="C1381" s="6" t="s">
        <v>3186</v>
      </c>
      <c r="D1381" s="6" t="s">
        <v>5096</v>
      </c>
      <c r="E1381" s="6">
        <v>36</v>
      </c>
      <c r="F1381" s="6" t="s">
        <v>1719</v>
      </c>
      <c r="G1381" s="6">
        <v>845</v>
      </c>
      <c r="H1381" s="6" t="s">
        <v>319</v>
      </c>
      <c r="I1381" s="6" t="s">
        <v>5256</v>
      </c>
      <c r="J1381" s="6" t="s">
        <v>5257</v>
      </c>
      <c r="K1381" s="6" t="s">
        <v>3331</v>
      </c>
      <c r="L1381" s="6">
        <v>1110524467</v>
      </c>
      <c r="M1381" s="6" t="s">
        <v>41</v>
      </c>
      <c r="N1381" s="6" t="s">
        <v>1650</v>
      </c>
      <c r="O1381" s="6">
        <v>246</v>
      </c>
      <c r="P1381" s="6" t="s">
        <v>1718</v>
      </c>
      <c r="Q1381" s="6" t="s">
        <v>3332</v>
      </c>
      <c r="R1381" s="8" t="s">
        <v>1808</v>
      </c>
      <c r="S1381" s="6"/>
    </row>
    <row r="1382" spans="1:19" ht="25.5" x14ac:dyDescent="0.25">
      <c r="A1382" s="5" t="s">
        <v>3872</v>
      </c>
      <c r="B1382" s="5">
        <v>1381</v>
      </c>
      <c r="C1382" s="6" t="s">
        <v>3187</v>
      </c>
      <c r="D1382" s="6" t="s">
        <v>5096</v>
      </c>
      <c r="E1382" s="6">
        <v>39</v>
      </c>
      <c r="F1382" s="6" t="s">
        <v>319</v>
      </c>
      <c r="G1382" s="6">
        <v>925</v>
      </c>
      <c r="H1382" s="6" t="s">
        <v>1158</v>
      </c>
      <c r="I1382" s="6" t="s">
        <v>5258</v>
      </c>
      <c r="J1382" s="6" t="s">
        <v>3576</v>
      </c>
      <c r="K1382" s="6" t="s">
        <v>3331</v>
      </c>
      <c r="L1382" s="6">
        <v>1110447182</v>
      </c>
      <c r="M1382" s="6" t="s">
        <v>41</v>
      </c>
      <c r="N1382" s="6" t="s">
        <v>1650</v>
      </c>
      <c r="O1382" s="6">
        <v>213</v>
      </c>
      <c r="P1382" s="6" t="s">
        <v>1660</v>
      </c>
      <c r="Q1382" s="6" t="s">
        <v>3332</v>
      </c>
      <c r="R1382" s="8" t="s">
        <v>1808</v>
      </c>
      <c r="S1382" s="6"/>
    </row>
    <row r="1383" spans="1:19" ht="25.5" x14ac:dyDescent="0.25">
      <c r="A1383" s="5" t="s">
        <v>3872</v>
      </c>
      <c r="B1383" s="5">
        <v>1382</v>
      </c>
      <c r="C1383" s="6" t="s">
        <v>3188</v>
      </c>
      <c r="D1383" s="6" t="s">
        <v>5096</v>
      </c>
      <c r="E1383" s="6">
        <v>39</v>
      </c>
      <c r="F1383" s="6" t="s">
        <v>319</v>
      </c>
      <c r="G1383" s="6">
        <v>925</v>
      </c>
      <c r="H1383" s="6" t="s">
        <v>1158</v>
      </c>
      <c r="I1383" s="6" t="s">
        <v>5259</v>
      </c>
      <c r="J1383" s="6" t="s">
        <v>5260</v>
      </c>
      <c r="K1383" s="6" t="s">
        <v>3331</v>
      </c>
      <c r="L1383" s="6">
        <v>5912518</v>
      </c>
      <c r="M1383" s="6" t="s">
        <v>41</v>
      </c>
      <c r="N1383" s="6" t="s">
        <v>1650</v>
      </c>
      <c r="O1383" s="6">
        <v>138</v>
      </c>
      <c r="P1383" s="6" t="s">
        <v>1680</v>
      </c>
      <c r="Q1383" s="6" t="s">
        <v>3332</v>
      </c>
      <c r="R1383" s="8" t="s">
        <v>1808</v>
      </c>
      <c r="S1383" s="6"/>
    </row>
    <row r="1384" spans="1:19" ht="25.5" x14ac:dyDescent="0.25">
      <c r="A1384" s="5" t="s">
        <v>3872</v>
      </c>
      <c r="B1384" s="5">
        <v>1383</v>
      </c>
      <c r="C1384" s="6" t="s">
        <v>3189</v>
      </c>
      <c r="D1384" s="6" t="s">
        <v>5096</v>
      </c>
      <c r="E1384" s="6">
        <v>42</v>
      </c>
      <c r="F1384" s="6" t="s">
        <v>1720</v>
      </c>
      <c r="G1384" s="6">
        <v>1009</v>
      </c>
      <c r="H1384" s="6" t="s">
        <v>323</v>
      </c>
      <c r="I1384" s="6" t="s">
        <v>5261</v>
      </c>
      <c r="J1384" s="6" t="s">
        <v>3928</v>
      </c>
      <c r="K1384" s="6" t="s">
        <v>3331</v>
      </c>
      <c r="L1384" s="6">
        <v>1110522073</v>
      </c>
      <c r="M1384" s="6" t="s">
        <v>41</v>
      </c>
      <c r="N1384" s="6" t="s">
        <v>1650</v>
      </c>
      <c r="O1384" s="6">
        <v>247</v>
      </c>
      <c r="P1384" s="6" t="s">
        <v>1721</v>
      </c>
      <c r="Q1384" s="6" t="s">
        <v>3332</v>
      </c>
      <c r="R1384" s="8" t="s">
        <v>1808</v>
      </c>
      <c r="S1384" s="6"/>
    </row>
    <row r="1385" spans="1:19" ht="25.5" x14ac:dyDescent="0.25">
      <c r="A1385" s="5" t="s">
        <v>3872</v>
      </c>
      <c r="B1385" s="5">
        <v>1384</v>
      </c>
      <c r="C1385" s="6" t="s">
        <v>3190</v>
      </c>
      <c r="D1385" s="6" t="s">
        <v>5096</v>
      </c>
      <c r="E1385" s="6">
        <v>6</v>
      </c>
      <c r="F1385" s="6" t="s">
        <v>1714</v>
      </c>
      <c r="G1385" s="6">
        <v>142</v>
      </c>
      <c r="H1385" s="6" t="s">
        <v>775</v>
      </c>
      <c r="I1385" s="6" t="s">
        <v>5262</v>
      </c>
      <c r="J1385" s="6" t="s">
        <v>5263</v>
      </c>
      <c r="K1385" s="6" t="s">
        <v>3331</v>
      </c>
      <c r="L1385" s="6">
        <v>1110551251</v>
      </c>
      <c r="M1385" s="6" t="s">
        <v>269</v>
      </c>
      <c r="N1385" s="6" t="s">
        <v>270</v>
      </c>
      <c r="O1385" s="6">
        <v>3999763</v>
      </c>
      <c r="P1385" s="6" t="s">
        <v>770</v>
      </c>
      <c r="Q1385" s="6" t="s">
        <v>3332</v>
      </c>
      <c r="R1385" s="8" t="s">
        <v>1808</v>
      </c>
      <c r="S1385" s="6"/>
    </row>
    <row r="1386" spans="1:19" ht="25.5" x14ac:dyDescent="0.25">
      <c r="A1386" s="5" t="s">
        <v>3872</v>
      </c>
      <c r="B1386" s="5">
        <v>1385</v>
      </c>
      <c r="C1386" s="6" t="s">
        <v>3191</v>
      </c>
      <c r="D1386" s="6" t="s">
        <v>5096</v>
      </c>
      <c r="E1386" s="6">
        <v>42</v>
      </c>
      <c r="F1386" s="6" t="s">
        <v>1720</v>
      </c>
      <c r="G1386" s="6">
        <v>1009</v>
      </c>
      <c r="H1386" s="6" t="s">
        <v>323</v>
      </c>
      <c r="I1386" s="6" t="s">
        <v>5264</v>
      </c>
      <c r="J1386" s="6" t="s">
        <v>5265</v>
      </c>
      <c r="K1386" s="6" t="s">
        <v>3331</v>
      </c>
      <c r="L1386" s="6">
        <v>1015439776</v>
      </c>
      <c r="M1386" s="6" t="s">
        <v>269</v>
      </c>
      <c r="N1386" s="6" t="s">
        <v>270</v>
      </c>
      <c r="O1386" s="6">
        <v>4440951</v>
      </c>
      <c r="P1386" s="6" t="s">
        <v>1722</v>
      </c>
      <c r="Q1386" s="6" t="s">
        <v>3332</v>
      </c>
      <c r="R1386" s="8" t="s">
        <v>1808</v>
      </c>
      <c r="S1386" s="6"/>
    </row>
    <row r="1387" spans="1:19" ht="25.5" x14ac:dyDescent="0.25">
      <c r="A1387" s="5" t="s">
        <v>3872</v>
      </c>
      <c r="B1387" s="5">
        <v>1386</v>
      </c>
      <c r="C1387" s="6" t="s">
        <v>3192</v>
      </c>
      <c r="D1387" s="6" t="s">
        <v>5096</v>
      </c>
      <c r="E1387" s="6">
        <v>42</v>
      </c>
      <c r="F1387" s="6" t="s">
        <v>1720</v>
      </c>
      <c r="G1387" s="6">
        <v>1009</v>
      </c>
      <c r="H1387" s="6" t="s">
        <v>323</v>
      </c>
      <c r="I1387" s="6" t="s">
        <v>5266</v>
      </c>
      <c r="J1387" s="6" t="s">
        <v>5267</v>
      </c>
      <c r="K1387" s="6" t="s">
        <v>3331</v>
      </c>
      <c r="L1387" s="6">
        <v>1117504198</v>
      </c>
      <c r="M1387" s="6" t="s">
        <v>269</v>
      </c>
      <c r="N1387" s="6" t="s">
        <v>270</v>
      </c>
      <c r="O1387" s="6">
        <v>4440617</v>
      </c>
      <c r="P1387" s="6" t="s">
        <v>733</v>
      </c>
      <c r="Q1387" s="6" t="s">
        <v>3332</v>
      </c>
      <c r="R1387" s="8" t="s">
        <v>1808</v>
      </c>
      <c r="S1387" s="6"/>
    </row>
    <row r="1388" spans="1:19" ht="25.5" x14ac:dyDescent="0.25">
      <c r="A1388" s="5" t="s">
        <v>3872</v>
      </c>
      <c r="B1388" s="5">
        <v>1387</v>
      </c>
      <c r="C1388" s="6" t="s">
        <v>3193</v>
      </c>
      <c r="D1388" s="6" t="s">
        <v>5096</v>
      </c>
      <c r="E1388" s="6">
        <v>2</v>
      </c>
      <c r="F1388" s="6" t="s">
        <v>1723</v>
      </c>
      <c r="G1388" s="6">
        <v>612</v>
      </c>
      <c r="H1388" s="6" t="s">
        <v>880</v>
      </c>
      <c r="I1388" s="6" t="s">
        <v>5268</v>
      </c>
      <c r="J1388" s="6" t="s">
        <v>5269</v>
      </c>
      <c r="K1388" s="6" t="s">
        <v>3331</v>
      </c>
      <c r="L1388" s="6">
        <v>93372103</v>
      </c>
      <c r="M1388" s="6" t="s">
        <v>41</v>
      </c>
      <c r="N1388" s="6" t="s">
        <v>1650</v>
      </c>
      <c r="O1388" s="6" t="s">
        <v>21</v>
      </c>
      <c r="P1388" s="6" t="s">
        <v>21</v>
      </c>
      <c r="Q1388" s="6" t="s">
        <v>3332</v>
      </c>
      <c r="R1388" s="8" t="s">
        <v>1808</v>
      </c>
      <c r="S1388" s="6"/>
    </row>
    <row r="1389" spans="1:19" ht="25.5" x14ac:dyDescent="0.25">
      <c r="A1389" s="5" t="s">
        <v>3872</v>
      </c>
      <c r="B1389" s="5">
        <v>1388</v>
      </c>
      <c r="C1389" s="6" t="s">
        <v>3194</v>
      </c>
      <c r="D1389" s="6" t="s">
        <v>5096</v>
      </c>
      <c r="E1389" s="6">
        <v>2</v>
      </c>
      <c r="F1389" s="6" t="s">
        <v>1723</v>
      </c>
      <c r="G1389" s="6">
        <v>612</v>
      </c>
      <c r="H1389" s="6" t="s">
        <v>880</v>
      </c>
      <c r="I1389" s="6" t="s">
        <v>5270</v>
      </c>
      <c r="J1389" s="6" t="s">
        <v>3516</v>
      </c>
      <c r="K1389" s="6" t="s">
        <v>3331</v>
      </c>
      <c r="L1389" s="6">
        <v>93360103</v>
      </c>
      <c r="M1389" s="6" t="s">
        <v>41</v>
      </c>
      <c r="N1389" s="6" t="s">
        <v>1650</v>
      </c>
      <c r="O1389" s="6" t="s">
        <v>21</v>
      </c>
      <c r="P1389" s="6" t="s">
        <v>21</v>
      </c>
      <c r="Q1389" s="6" t="s">
        <v>3332</v>
      </c>
      <c r="R1389" s="8" t="s">
        <v>1808</v>
      </c>
      <c r="S1389" s="6"/>
    </row>
    <row r="1390" spans="1:19" ht="25.5" x14ac:dyDescent="0.25">
      <c r="A1390" s="5" t="s">
        <v>3872</v>
      </c>
      <c r="B1390" s="5">
        <v>1389</v>
      </c>
      <c r="C1390" s="6" t="s">
        <v>3195</v>
      </c>
      <c r="D1390" s="6" t="s">
        <v>5096</v>
      </c>
      <c r="E1390" s="6">
        <v>2</v>
      </c>
      <c r="F1390" s="6" t="s">
        <v>1723</v>
      </c>
      <c r="G1390" s="6">
        <v>612</v>
      </c>
      <c r="H1390" s="6" t="s">
        <v>880</v>
      </c>
      <c r="I1390" s="6" t="s">
        <v>5271</v>
      </c>
      <c r="J1390" s="6" t="s">
        <v>5272</v>
      </c>
      <c r="K1390" s="6" t="s">
        <v>3331</v>
      </c>
      <c r="L1390" s="6">
        <v>93361696</v>
      </c>
      <c r="M1390" s="6" t="s">
        <v>41</v>
      </c>
      <c r="N1390" s="6" t="s">
        <v>1650</v>
      </c>
      <c r="O1390" s="6" t="s">
        <v>21</v>
      </c>
      <c r="P1390" s="6" t="s">
        <v>21</v>
      </c>
      <c r="Q1390" s="6" t="s">
        <v>3332</v>
      </c>
      <c r="R1390" s="8" t="s">
        <v>1808</v>
      </c>
      <c r="S1390" s="6"/>
    </row>
    <row r="1391" spans="1:19" ht="25.5" x14ac:dyDescent="0.25">
      <c r="A1391" s="5" t="s">
        <v>3872</v>
      </c>
      <c r="B1391" s="5">
        <v>1390</v>
      </c>
      <c r="C1391" s="6" t="s">
        <v>3196</v>
      </c>
      <c r="D1391" s="6" t="s">
        <v>5096</v>
      </c>
      <c r="E1391" s="6">
        <v>4</v>
      </c>
      <c r="F1391" s="6" t="s">
        <v>1084</v>
      </c>
      <c r="G1391" s="6">
        <v>679</v>
      </c>
      <c r="H1391" s="6" t="s">
        <v>882</v>
      </c>
      <c r="I1391" s="6" t="s">
        <v>5273</v>
      </c>
      <c r="J1391" s="6" t="s">
        <v>5274</v>
      </c>
      <c r="K1391" s="6" t="s">
        <v>3331</v>
      </c>
      <c r="L1391" s="6">
        <v>65738182</v>
      </c>
      <c r="M1391" s="6" t="s">
        <v>41</v>
      </c>
      <c r="N1391" s="6" t="s">
        <v>1650</v>
      </c>
      <c r="O1391" s="6" t="s">
        <v>21</v>
      </c>
      <c r="P1391" s="6" t="s">
        <v>21</v>
      </c>
      <c r="Q1391" s="6" t="s">
        <v>3332</v>
      </c>
      <c r="R1391" s="8" t="s">
        <v>1808</v>
      </c>
      <c r="S1391" s="6"/>
    </row>
    <row r="1392" spans="1:19" ht="25.5" x14ac:dyDescent="0.25">
      <c r="A1392" s="5" t="s">
        <v>3872</v>
      </c>
      <c r="B1392" s="5">
        <v>1391</v>
      </c>
      <c r="C1392" s="6" t="s">
        <v>3197</v>
      </c>
      <c r="D1392" s="6" t="s">
        <v>5096</v>
      </c>
      <c r="E1392" s="6">
        <v>4</v>
      </c>
      <c r="F1392" s="6" t="s">
        <v>1084</v>
      </c>
      <c r="G1392" s="6">
        <v>679</v>
      </c>
      <c r="H1392" s="6" t="s">
        <v>882</v>
      </c>
      <c r="I1392" s="6" t="s">
        <v>5275</v>
      </c>
      <c r="J1392" s="6" t="s">
        <v>5276</v>
      </c>
      <c r="K1392" s="6" t="s">
        <v>3331</v>
      </c>
      <c r="L1392" s="6">
        <v>65734366</v>
      </c>
      <c r="M1392" s="6" t="s">
        <v>41</v>
      </c>
      <c r="N1392" s="6" t="s">
        <v>1650</v>
      </c>
      <c r="O1392" s="6" t="s">
        <v>21</v>
      </c>
      <c r="P1392" s="6" t="s">
        <v>21</v>
      </c>
      <c r="Q1392" s="6" t="s">
        <v>3332</v>
      </c>
      <c r="R1392" s="8" t="s">
        <v>1808</v>
      </c>
      <c r="S1392" s="6"/>
    </row>
    <row r="1393" spans="1:19" ht="25.5" x14ac:dyDescent="0.25">
      <c r="A1393" s="5" t="s">
        <v>3872</v>
      </c>
      <c r="B1393" s="5">
        <v>1392</v>
      </c>
      <c r="C1393" s="6" t="s">
        <v>3198</v>
      </c>
      <c r="D1393" s="6" t="s">
        <v>5096</v>
      </c>
      <c r="E1393" s="6">
        <v>5</v>
      </c>
      <c r="F1393" s="6" t="s">
        <v>1140</v>
      </c>
      <c r="G1393" s="6">
        <v>796</v>
      </c>
      <c r="H1393" s="6" t="s">
        <v>105</v>
      </c>
      <c r="I1393" s="6" t="s">
        <v>5277</v>
      </c>
      <c r="J1393" s="6" t="s">
        <v>4225</v>
      </c>
      <c r="K1393" s="6" t="s">
        <v>3331</v>
      </c>
      <c r="L1393" s="6">
        <v>93378648</v>
      </c>
      <c r="M1393" s="6" t="s">
        <v>41</v>
      </c>
      <c r="N1393" s="6" t="s">
        <v>1650</v>
      </c>
      <c r="O1393" s="6" t="s">
        <v>21</v>
      </c>
      <c r="P1393" s="6" t="s">
        <v>21</v>
      </c>
      <c r="Q1393" s="6" t="s">
        <v>3332</v>
      </c>
      <c r="R1393" s="8" t="s">
        <v>1808</v>
      </c>
      <c r="S1393" s="6"/>
    </row>
    <row r="1394" spans="1:19" ht="25.5" x14ac:dyDescent="0.25">
      <c r="A1394" s="5" t="s">
        <v>3872</v>
      </c>
      <c r="B1394" s="5">
        <v>1393</v>
      </c>
      <c r="C1394" s="6" t="s">
        <v>3199</v>
      </c>
      <c r="D1394" s="6" t="s">
        <v>5096</v>
      </c>
      <c r="E1394" s="6">
        <v>4</v>
      </c>
      <c r="F1394" s="6" t="s">
        <v>1724</v>
      </c>
      <c r="G1394" s="6">
        <v>926</v>
      </c>
      <c r="H1394" s="6" t="s">
        <v>330</v>
      </c>
      <c r="I1394" s="6" t="s">
        <v>5278</v>
      </c>
      <c r="J1394" s="6" t="s">
        <v>5279</v>
      </c>
      <c r="K1394" s="6" t="s">
        <v>3331</v>
      </c>
      <c r="L1394" s="6">
        <v>94381127</v>
      </c>
      <c r="M1394" s="6" t="s">
        <v>41</v>
      </c>
      <c r="N1394" s="6" t="s">
        <v>1650</v>
      </c>
      <c r="O1394" s="6" t="s">
        <v>21</v>
      </c>
      <c r="P1394" s="6" t="s">
        <v>21</v>
      </c>
      <c r="Q1394" s="6" t="s">
        <v>3332</v>
      </c>
      <c r="R1394" s="8" t="s">
        <v>1808</v>
      </c>
      <c r="S1394" s="6"/>
    </row>
    <row r="1395" spans="1:19" ht="25.5" x14ac:dyDescent="0.25">
      <c r="A1395" s="5" t="s">
        <v>3872</v>
      </c>
      <c r="B1395" s="5">
        <v>1394</v>
      </c>
      <c r="C1395" s="6" t="s">
        <v>3200</v>
      </c>
      <c r="D1395" s="6" t="s">
        <v>5096</v>
      </c>
      <c r="E1395" s="6">
        <v>7</v>
      </c>
      <c r="F1395" s="6" t="s">
        <v>1140</v>
      </c>
      <c r="G1395" s="6">
        <v>796</v>
      </c>
      <c r="H1395" s="6" t="s">
        <v>105</v>
      </c>
      <c r="I1395" s="6" t="s">
        <v>5280</v>
      </c>
      <c r="J1395" s="6" t="s">
        <v>5281</v>
      </c>
      <c r="K1395" s="6" t="s">
        <v>3331</v>
      </c>
      <c r="L1395" s="6">
        <v>31187399</v>
      </c>
      <c r="M1395" s="6" t="s">
        <v>1649</v>
      </c>
      <c r="N1395" s="6" t="s">
        <v>1650</v>
      </c>
      <c r="O1395" s="6" t="s">
        <v>21</v>
      </c>
      <c r="P1395" s="6" t="s">
        <v>21</v>
      </c>
      <c r="Q1395" s="6" t="s">
        <v>3332</v>
      </c>
      <c r="R1395" s="8" t="s">
        <v>1808</v>
      </c>
      <c r="S1395" s="6"/>
    </row>
    <row r="1396" spans="1:19" ht="25.5" x14ac:dyDescent="0.25">
      <c r="A1396" s="5" t="s">
        <v>3872</v>
      </c>
      <c r="B1396" s="5">
        <v>1395</v>
      </c>
      <c r="C1396" s="6" t="s">
        <v>3201</v>
      </c>
      <c r="D1396" s="6" t="s">
        <v>5096</v>
      </c>
      <c r="E1396" s="6">
        <v>15</v>
      </c>
      <c r="F1396" s="6" t="s">
        <v>1725</v>
      </c>
      <c r="G1396" s="6">
        <v>1102</v>
      </c>
      <c r="H1396" s="6" t="s">
        <v>119</v>
      </c>
      <c r="I1396" s="6" t="s">
        <v>5282</v>
      </c>
      <c r="J1396" s="6" t="s">
        <v>5283</v>
      </c>
      <c r="K1396" s="6" t="s">
        <v>3331</v>
      </c>
      <c r="L1396" s="6">
        <v>38240286</v>
      </c>
      <c r="M1396" s="6" t="s">
        <v>1649</v>
      </c>
      <c r="N1396" s="6" t="s">
        <v>1650</v>
      </c>
      <c r="O1396" s="6" t="s">
        <v>21</v>
      </c>
      <c r="P1396" s="6" t="s">
        <v>21</v>
      </c>
      <c r="Q1396" s="6" t="s">
        <v>3332</v>
      </c>
      <c r="R1396" s="8" t="s">
        <v>1808</v>
      </c>
      <c r="S1396" s="6"/>
    </row>
    <row r="1397" spans="1:19" ht="25.5" x14ac:dyDescent="0.25">
      <c r="A1397" s="5" t="s">
        <v>3872</v>
      </c>
      <c r="B1397" s="5">
        <v>1396</v>
      </c>
      <c r="C1397" s="6" t="s">
        <v>3202</v>
      </c>
      <c r="D1397" s="6" t="s">
        <v>5096</v>
      </c>
      <c r="E1397" s="6">
        <v>8</v>
      </c>
      <c r="F1397" s="6" t="s">
        <v>1726</v>
      </c>
      <c r="G1397" s="6">
        <v>1885</v>
      </c>
      <c r="H1397" s="6" t="s">
        <v>436</v>
      </c>
      <c r="I1397" s="6" t="s">
        <v>5284</v>
      </c>
      <c r="J1397" s="6" t="s">
        <v>5285</v>
      </c>
      <c r="K1397" s="6" t="s">
        <v>3331</v>
      </c>
      <c r="L1397" s="6">
        <v>38263645</v>
      </c>
      <c r="M1397" s="6" t="s">
        <v>41</v>
      </c>
      <c r="N1397" s="6" t="s">
        <v>1650</v>
      </c>
      <c r="O1397" s="6" t="s">
        <v>21</v>
      </c>
      <c r="P1397" s="6" t="s">
        <v>21</v>
      </c>
      <c r="Q1397" s="6" t="s">
        <v>3332</v>
      </c>
      <c r="R1397" s="8" t="s">
        <v>1808</v>
      </c>
      <c r="S1397" s="6"/>
    </row>
    <row r="1398" spans="1:19" ht="25.5" x14ac:dyDescent="0.25">
      <c r="A1398" s="5" t="s">
        <v>3872</v>
      </c>
      <c r="B1398" s="5">
        <v>1397</v>
      </c>
      <c r="C1398" s="6" t="s">
        <v>3203</v>
      </c>
      <c r="D1398" s="6" t="s">
        <v>5096</v>
      </c>
      <c r="E1398" s="6">
        <v>8</v>
      </c>
      <c r="F1398" s="6" t="s">
        <v>1726</v>
      </c>
      <c r="G1398" s="6">
        <v>1885</v>
      </c>
      <c r="H1398" s="6" t="s">
        <v>436</v>
      </c>
      <c r="I1398" s="6" t="s">
        <v>5286</v>
      </c>
      <c r="J1398" s="6" t="s">
        <v>5287</v>
      </c>
      <c r="K1398" s="6" t="s">
        <v>3331</v>
      </c>
      <c r="L1398" s="6">
        <v>83228041</v>
      </c>
      <c r="M1398" s="6" t="s">
        <v>41</v>
      </c>
      <c r="N1398" s="6" t="s">
        <v>1650</v>
      </c>
      <c r="O1398" s="6" t="s">
        <v>21</v>
      </c>
      <c r="P1398" s="6" t="s">
        <v>1727</v>
      </c>
      <c r="Q1398" s="6" t="s">
        <v>3332</v>
      </c>
      <c r="R1398" s="8" t="s">
        <v>1808</v>
      </c>
      <c r="S1398" s="6"/>
    </row>
    <row r="1399" spans="1:19" ht="25.5" x14ac:dyDescent="0.25">
      <c r="A1399" s="5" t="s">
        <v>3872</v>
      </c>
      <c r="B1399" s="5">
        <v>1398</v>
      </c>
      <c r="C1399" s="6" t="s">
        <v>3204</v>
      </c>
      <c r="D1399" s="6" t="s">
        <v>5096</v>
      </c>
      <c r="E1399" s="6">
        <v>2</v>
      </c>
      <c r="F1399" s="6" t="s">
        <v>1728</v>
      </c>
      <c r="G1399" s="6">
        <v>2266</v>
      </c>
      <c r="H1399" s="6" t="s">
        <v>476</v>
      </c>
      <c r="I1399" s="6" t="s">
        <v>5288</v>
      </c>
      <c r="J1399" s="6" t="s">
        <v>5289</v>
      </c>
      <c r="K1399" s="6" t="s">
        <v>3331</v>
      </c>
      <c r="L1399" s="6">
        <v>80503353</v>
      </c>
      <c r="M1399" s="6" t="s">
        <v>41</v>
      </c>
      <c r="N1399" s="6" t="s">
        <v>1650</v>
      </c>
      <c r="O1399" s="6" t="s">
        <v>21</v>
      </c>
      <c r="P1399" s="6" t="s">
        <v>1444</v>
      </c>
      <c r="Q1399" s="6" t="s">
        <v>3332</v>
      </c>
      <c r="R1399" s="8" t="s">
        <v>1808</v>
      </c>
      <c r="S1399" s="6"/>
    </row>
    <row r="1400" spans="1:19" ht="25.5" x14ac:dyDescent="0.25">
      <c r="A1400" s="5" t="s">
        <v>3872</v>
      </c>
      <c r="B1400" s="5">
        <v>1399</v>
      </c>
      <c r="C1400" s="6" t="s">
        <v>3205</v>
      </c>
      <c r="D1400" s="6" t="s">
        <v>5096</v>
      </c>
      <c r="E1400" s="6">
        <v>8</v>
      </c>
      <c r="F1400" s="6" t="s">
        <v>1729</v>
      </c>
      <c r="G1400" s="6">
        <v>2415</v>
      </c>
      <c r="H1400" s="6" t="s">
        <v>1730</v>
      </c>
      <c r="I1400" s="6" t="s">
        <v>5290</v>
      </c>
      <c r="J1400" s="6" t="s">
        <v>5291</v>
      </c>
      <c r="K1400" s="6" t="s">
        <v>3331</v>
      </c>
      <c r="L1400" s="6">
        <v>28541929</v>
      </c>
      <c r="M1400" s="6" t="s">
        <v>41</v>
      </c>
      <c r="N1400" s="6" t="s">
        <v>1650</v>
      </c>
      <c r="O1400" s="6" t="s">
        <v>21</v>
      </c>
      <c r="P1400" s="6" t="s">
        <v>1377</v>
      </c>
      <c r="Q1400" s="6" t="s">
        <v>3332</v>
      </c>
      <c r="R1400" s="8" t="s">
        <v>1808</v>
      </c>
      <c r="S1400" s="6"/>
    </row>
    <row r="1401" spans="1:19" ht="25.5" x14ac:dyDescent="0.25">
      <c r="A1401" s="5" t="s">
        <v>3872</v>
      </c>
      <c r="B1401" s="5">
        <v>1400</v>
      </c>
      <c r="C1401" s="6" t="s">
        <v>3206</v>
      </c>
      <c r="D1401" s="6" t="s">
        <v>5096</v>
      </c>
      <c r="E1401" s="6">
        <v>12</v>
      </c>
      <c r="F1401" s="6" t="s">
        <v>1731</v>
      </c>
      <c r="G1401" s="6">
        <v>2511</v>
      </c>
      <c r="H1401" s="6" t="s">
        <v>400</v>
      </c>
      <c r="I1401" s="6" t="s">
        <v>5292</v>
      </c>
      <c r="J1401" s="6" t="s">
        <v>5293</v>
      </c>
      <c r="K1401" s="6" t="s">
        <v>3331</v>
      </c>
      <c r="L1401" s="6">
        <v>42129461</v>
      </c>
      <c r="M1401" s="6" t="s">
        <v>41</v>
      </c>
      <c r="N1401" s="6" t="s">
        <v>1650</v>
      </c>
      <c r="O1401" s="6" t="s">
        <v>21</v>
      </c>
      <c r="P1401" s="6" t="s">
        <v>1732</v>
      </c>
      <c r="Q1401" s="6" t="s">
        <v>3332</v>
      </c>
      <c r="R1401" s="8" t="s">
        <v>1808</v>
      </c>
      <c r="S1401" s="6"/>
    </row>
    <row r="1402" spans="1:19" ht="25.5" x14ac:dyDescent="0.25">
      <c r="A1402" s="5" t="s">
        <v>3872</v>
      </c>
      <c r="B1402" s="5">
        <v>1401</v>
      </c>
      <c r="C1402" s="6" t="s">
        <v>3207</v>
      </c>
      <c r="D1402" s="6" t="s">
        <v>5096</v>
      </c>
      <c r="E1402" s="6">
        <v>12</v>
      </c>
      <c r="F1402" s="6" t="s">
        <v>1731</v>
      </c>
      <c r="G1402" s="6">
        <v>2511</v>
      </c>
      <c r="H1402" s="6" t="s">
        <v>400</v>
      </c>
      <c r="I1402" s="6" t="s">
        <v>5294</v>
      </c>
      <c r="J1402" s="6" t="s">
        <v>4869</v>
      </c>
      <c r="K1402" s="6" t="s">
        <v>3331</v>
      </c>
      <c r="L1402" s="6">
        <v>93404939</v>
      </c>
      <c r="M1402" s="6" t="s">
        <v>41</v>
      </c>
      <c r="N1402" s="6" t="s">
        <v>1650</v>
      </c>
      <c r="O1402" s="6" t="s">
        <v>21</v>
      </c>
      <c r="P1402" s="6" t="s">
        <v>1377</v>
      </c>
      <c r="Q1402" s="6" t="s">
        <v>3332</v>
      </c>
      <c r="R1402" s="8" t="s">
        <v>1808</v>
      </c>
      <c r="S1402" s="6"/>
    </row>
    <row r="1403" spans="1:19" ht="25.5" x14ac:dyDescent="0.25">
      <c r="A1403" s="5" t="s">
        <v>3872</v>
      </c>
      <c r="B1403" s="5">
        <v>1402</v>
      </c>
      <c r="C1403" s="6" t="s">
        <v>3208</v>
      </c>
      <c r="D1403" s="6" t="s">
        <v>5096</v>
      </c>
      <c r="E1403" s="6">
        <v>12</v>
      </c>
      <c r="F1403" s="6" t="s">
        <v>1731</v>
      </c>
      <c r="G1403" s="6">
        <v>2511</v>
      </c>
      <c r="H1403" s="6" t="s">
        <v>400</v>
      </c>
      <c r="I1403" s="6" t="s">
        <v>5295</v>
      </c>
      <c r="J1403" s="6" t="s">
        <v>5296</v>
      </c>
      <c r="K1403" s="6" t="s">
        <v>3331</v>
      </c>
      <c r="L1403" s="6">
        <v>93409625</v>
      </c>
      <c r="M1403" s="6" t="s">
        <v>41</v>
      </c>
      <c r="N1403" s="6" t="s">
        <v>1650</v>
      </c>
      <c r="O1403" s="6" t="s">
        <v>21</v>
      </c>
      <c r="P1403" s="6" t="s">
        <v>1377</v>
      </c>
      <c r="Q1403" s="6" t="s">
        <v>3332</v>
      </c>
      <c r="R1403" s="8" t="s">
        <v>1808</v>
      </c>
      <c r="S1403" s="6"/>
    </row>
    <row r="1404" spans="1:19" ht="25.5" x14ac:dyDescent="0.25">
      <c r="A1404" s="5" t="s">
        <v>3872</v>
      </c>
      <c r="B1404" s="5">
        <v>1403</v>
      </c>
      <c r="C1404" s="6" t="s">
        <v>3209</v>
      </c>
      <c r="D1404" s="6" t="s">
        <v>5096</v>
      </c>
      <c r="E1404" s="6">
        <v>20</v>
      </c>
      <c r="F1404" s="6" t="s">
        <v>1733</v>
      </c>
      <c r="G1404" s="6">
        <v>2114</v>
      </c>
      <c r="H1404" s="6" t="s">
        <v>1190</v>
      </c>
      <c r="I1404" s="6" t="s">
        <v>5297</v>
      </c>
      <c r="J1404" s="6" t="s">
        <v>5298</v>
      </c>
      <c r="K1404" s="6" t="s">
        <v>3331</v>
      </c>
      <c r="L1404" s="6">
        <v>28549476</v>
      </c>
      <c r="M1404" s="6" t="s">
        <v>41</v>
      </c>
      <c r="N1404" s="6" t="s">
        <v>1650</v>
      </c>
      <c r="O1404" s="6" t="s">
        <v>21</v>
      </c>
      <c r="P1404" s="6" t="s">
        <v>21</v>
      </c>
      <c r="Q1404" s="6" t="s">
        <v>3332</v>
      </c>
      <c r="R1404" s="8" t="s">
        <v>1808</v>
      </c>
      <c r="S1404" s="6"/>
    </row>
    <row r="1405" spans="1:19" ht="25.5" x14ac:dyDescent="0.25">
      <c r="A1405" s="5" t="s">
        <v>3872</v>
      </c>
      <c r="B1405" s="5">
        <v>1404</v>
      </c>
      <c r="C1405" s="6" t="s">
        <v>3210</v>
      </c>
      <c r="D1405" s="6" t="s">
        <v>5096</v>
      </c>
      <c r="E1405" s="6">
        <v>20</v>
      </c>
      <c r="F1405" s="6" t="s">
        <v>1733</v>
      </c>
      <c r="G1405" s="6">
        <v>2114</v>
      </c>
      <c r="H1405" s="6" t="s">
        <v>1190</v>
      </c>
      <c r="I1405" s="6" t="s">
        <v>5299</v>
      </c>
      <c r="J1405" s="6" t="s">
        <v>3483</v>
      </c>
      <c r="K1405" s="6" t="s">
        <v>3331</v>
      </c>
      <c r="L1405" s="6">
        <v>65782117</v>
      </c>
      <c r="M1405" s="6" t="s">
        <v>41</v>
      </c>
      <c r="N1405" s="6" t="s">
        <v>1650</v>
      </c>
      <c r="O1405" s="6" t="s">
        <v>21</v>
      </c>
      <c r="P1405" s="6" t="s">
        <v>21</v>
      </c>
      <c r="Q1405" s="6" t="s">
        <v>3332</v>
      </c>
      <c r="R1405" s="8" t="s">
        <v>1808</v>
      </c>
      <c r="S1405" s="6"/>
    </row>
    <row r="1406" spans="1:19" ht="25.5" x14ac:dyDescent="0.25">
      <c r="A1406" s="5" t="s">
        <v>3872</v>
      </c>
      <c r="B1406" s="5">
        <v>1405</v>
      </c>
      <c r="C1406" s="6" t="s">
        <v>3211</v>
      </c>
      <c r="D1406" s="6" t="s">
        <v>5096</v>
      </c>
      <c r="E1406" s="6">
        <v>17</v>
      </c>
      <c r="F1406" s="6" t="s">
        <v>1734</v>
      </c>
      <c r="G1406" s="6">
        <v>2600</v>
      </c>
      <c r="H1406" s="6" t="s">
        <v>1379</v>
      </c>
      <c r="I1406" s="6" t="s">
        <v>5300</v>
      </c>
      <c r="J1406" s="6" t="s">
        <v>5301</v>
      </c>
      <c r="K1406" s="6" t="s">
        <v>3331</v>
      </c>
      <c r="L1406" s="6">
        <v>93408067</v>
      </c>
      <c r="M1406" s="6" t="s">
        <v>41</v>
      </c>
      <c r="N1406" s="6" t="s">
        <v>1650</v>
      </c>
      <c r="O1406" s="6" t="s">
        <v>21</v>
      </c>
      <c r="P1406" s="6" t="s">
        <v>1444</v>
      </c>
      <c r="Q1406" s="6" t="s">
        <v>3332</v>
      </c>
      <c r="R1406" s="8" t="s">
        <v>1808</v>
      </c>
      <c r="S1406" s="6"/>
    </row>
    <row r="1407" spans="1:19" ht="25.5" x14ac:dyDescent="0.25">
      <c r="A1407" s="5" t="s">
        <v>3872</v>
      </c>
      <c r="B1407" s="5">
        <v>1406</v>
      </c>
      <c r="C1407" s="6" t="s">
        <v>3212</v>
      </c>
      <c r="D1407" s="6" t="s">
        <v>5096</v>
      </c>
      <c r="E1407" s="6">
        <v>23</v>
      </c>
      <c r="F1407" s="6" t="s">
        <v>1735</v>
      </c>
      <c r="G1407" s="6">
        <v>2750</v>
      </c>
      <c r="H1407" s="6" t="s">
        <v>1736</v>
      </c>
      <c r="I1407" s="6" t="s">
        <v>5302</v>
      </c>
      <c r="J1407" s="6" t="s">
        <v>5303</v>
      </c>
      <c r="K1407" s="6" t="s">
        <v>3331</v>
      </c>
      <c r="L1407" s="6">
        <v>93122490</v>
      </c>
      <c r="M1407" s="6" t="s">
        <v>41</v>
      </c>
      <c r="N1407" s="6" t="s">
        <v>1650</v>
      </c>
      <c r="O1407" s="6" t="s">
        <v>21</v>
      </c>
      <c r="P1407" s="6" t="s">
        <v>1737</v>
      </c>
      <c r="Q1407" s="6" t="s">
        <v>3332</v>
      </c>
      <c r="R1407" s="8" t="s">
        <v>1808</v>
      </c>
      <c r="S1407" s="6"/>
    </row>
    <row r="1408" spans="1:19" ht="25.5" x14ac:dyDescent="0.25">
      <c r="A1408" s="5" t="s">
        <v>3872</v>
      </c>
      <c r="B1408" s="5">
        <v>1407</v>
      </c>
      <c r="C1408" s="6" t="s">
        <v>3213</v>
      </c>
      <c r="D1408" s="6" t="s">
        <v>5096</v>
      </c>
      <c r="E1408" s="6">
        <v>2</v>
      </c>
      <c r="F1408" s="6" t="s">
        <v>1738</v>
      </c>
      <c r="G1408" s="6">
        <v>2782</v>
      </c>
      <c r="H1408" s="6" t="s">
        <v>1482</v>
      </c>
      <c r="I1408" s="6" t="s">
        <v>5304</v>
      </c>
      <c r="J1408" s="6" t="s">
        <v>5305</v>
      </c>
      <c r="K1408" s="6" t="s">
        <v>3331</v>
      </c>
      <c r="L1408" s="6">
        <v>93363930</v>
      </c>
      <c r="M1408" s="6" t="s">
        <v>41</v>
      </c>
      <c r="N1408" s="6" t="s">
        <v>1650</v>
      </c>
      <c r="O1408" s="6" t="s">
        <v>21</v>
      </c>
      <c r="P1408" s="6" t="s">
        <v>1708</v>
      </c>
      <c r="Q1408" s="6" t="s">
        <v>3332</v>
      </c>
      <c r="R1408" s="8" t="s">
        <v>1808</v>
      </c>
      <c r="S1408" s="6"/>
    </row>
    <row r="1409" spans="1:19" ht="25.5" x14ac:dyDescent="0.25">
      <c r="A1409" s="5" t="s">
        <v>3872</v>
      </c>
      <c r="B1409" s="5">
        <v>1408</v>
      </c>
      <c r="C1409" s="6" t="s">
        <v>3214</v>
      </c>
      <c r="D1409" s="6" t="s">
        <v>5096</v>
      </c>
      <c r="E1409" s="6">
        <v>2</v>
      </c>
      <c r="F1409" s="6" t="s">
        <v>1738</v>
      </c>
      <c r="G1409" s="6">
        <v>2782</v>
      </c>
      <c r="H1409" s="6" t="s">
        <v>1482</v>
      </c>
      <c r="I1409" s="6" t="s">
        <v>5306</v>
      </c>
      <c r="J1409" s="6" t="s">
        <v>3409</v>
      </c>
      <c r="K1409" s="6" t="s">
        <v>3331</v>
      </c>
      <c r="L1409" s="6">
        <v>65740161</v>
      </c>
      <c r="M1409" s="6" t="s">
        <v>41</v>
      </c>
      <c r="N1409" s="6" t="s">
        <v>1650</v>
      </c>
      <c r="O1409" s="6" t="s">
        <v>21</v>
      </c>
      <c r="P1409" s="6" t="s">
        <v>1708</v>
      </c>
      <c r="Q1409" s="6" t="s">
        <v>3332</v>
      </c>
      <c r="R1409" s="8" t="s">
        <v>1808</v>
      </c>
      <c r="S1409" s="6"/>
    </row>
    <row r="1410" spans="1:19" ht="25.5" x14ac:dyDescent="0.25">
      <c r="A1410" s="5" t="s">
        <v>3872</v>
      </c>
      <c r="B1410" s="5">
        <v>1409</v>
      </c>
      <c r="C1410" s="6" t="s">
        <v>3215</v>
      </c>
      <c r="D1410" s="6" t="s">
        <v>5096</v>
      </c>
      <c r="E1410" s="6">
        <v>17</v>
      </c>
      <c r="F1410" s="6" t="s">
        <v>1739</v>
      </c>
      <c r="G1410" s="6">
        <v>3085</v>
      </c>
      <c r="H1410" s="6" t="s">
        <v>1564</v>
      </c>
      <c r="I1410" s="6" t="s">
        <v>5307</v>
      </c>
      <c r="J1410" s="6" t="s">
        <v>5308</v>
      </c>
      <c r="K1410" s="6" t="s">
        <v>3331</v>
      </c>
      <c r="L1410" s="6">
        <v>65786690</v>
      </c>
      <c r="M1410" s="6" t="s">
        <v>41</v>
      </c>
      <c r="N1410" s="6" t="s">
        <v>1650</v>
      </c>
      <c r="O1410" s="6" t="s">
        <v>21</v>
      </c>
      <c r="P1410" s="6" t="s">
        <v>1676</v>
      </c>
      <c r="Q1410" s="6" t="s">
        <v>3332</v>
      </c>
      <c r="R1410" s="8" t="s">
        <v>1808</v>
      </c>
      <c r="S1410" s="6"/>
    </row>
    <row r="1411" spans="1:19" ht="25.5" x14ac:dyDescent="0.25">
      <c r="A1411" s="5" t="s">
        <v>3872</v>
      </c>
      <c r="B1411" s="5">
        <v>1410</v>
      </c>
      <c r="C1411" s="6" t="s">
        <v>3216</v>
      </c>
      <c r="D1411" s="6" t="s">
        <v>5096</v>
      </c>
      <c r="E1411" s="6">
        <v>11</v>
      </c>
      <c r="F1411" s="6" t="s">
        <v>1740</v>
      </c>
      <c r="G1411" s="6">
        <v>3428</v>
      </c>
      <c r="H1411" s="6" t="s">
        <v>792</v>
      </c>
      <c r="I1411" s="6" t="s">
        <v>5309</v>
      </c>
      <c r="J1411" s="6" t="s">
        <v>4461</v>
      </c>
      <c r="K1411" s="6" t="s">
        <v>3331</v>
      </c>
      <c r="L1411" s="6">
        <v>5823123</v>
      </c>
      <c r="M1411" s="6" t="s">
        <v>41</v>
      </c>
      <c r="N1411" s="6" t="s">
        <v>1650</v>
      </c>
      <c r="O1411" s="6" t="s">
        <v>21</v>
      </c>
      <c r="P1411" s="6" t="s">
        <v>1741</v>
      </c>
      <c r="Q1411" s="6" t="s">
        <v>3332</v>
      </c>
      <c r="R1411" s="8" t="s">
        <v>1808</v>
      </c>
      <c r="S1411" s="6"/>
    </row>
    <row r="1412" spans="1:19" ht="25.5" x14ac:dyDescent="0.25">
      <c r="A1412" s="5" t="s">
        <v>3872</v>
      </c>
      <c r="B1412" s="5">
        <v>1411</v>
      </c>
      <c r="C1412" s="6" t="s">
        <v>3217</v>
      </c>
      <c r="D1412" s="6" t="s">
        <v>5096</v>
      </c>
      <c r="E1412" s="6">
        <v>11</v>
      </c>
      <c r="F1412" s="6" t="s">
        <v>1740</v>
      </c>
      <c r="G1412" s="6">
        <v>3428</v>
      </c>
      <c r="H1412" s="6" t="s">
        <v>792</v>
      </c>
      <c r="I1412" s="6" t="s">
        <v>5310</v>
      </c>
      <c r="J1412" s="6" t="s">
        <v>5311</v>
      </c>
      <c r="K1412" s="6" t="s">
        <v>3331</v>
      </c>
      <c r="L1412" s="6">
        <v>28550770</v>
      </c>
      <c r="M1412" s="6" t="s">
        <v>41</v>
      </c>
      <c r="N1412" s="6" t="s">
        <v>1650</v>
      </c>
      <c r="O1412" s="6" t="s">
        <v>21</v>
      </c>
      <c r="P1412" s="6" t="s">
        <v>1676</v>
      </c>
      <c r="Q1412" s="6" t="s">
        <v>3332</v>
      </c>
      <c r="R1412" s="8" t="s">
        <v>1808</v>
      </c>
      <c r="S1412" s="6"/>
    </row>
    <row r="1413" spans="1:19" ht="25.5" x14ac:dyDescent="0.25">
      <c r="A1413" s="5" t="s">
        <v>3872</v>
      </c>
      <c r="B1413" s="5">
        <v>1412</v>
      </c>
      <c r="C1413" s="6" t="s">
        <v>3218</v>
      </c>
      <c r="D1413" s="6" t="s">
        <v>5096</v>
      </c>
      <c r="E1413" s="6">
        <v>17</v>
      </c>
      <c r="F1413" s="6" t="s">
        <v>1742</v>
      </c>
      <c r="G1413" s="6">
        <v>3511</v>
      </c>
      <c r="H1413" s="6" t="s">
        <v>1022</v>
      </c>
      <c r="I1413" s="6" t="s">
        <v>5312</v>
      </c>
      <c r="J1413" s="6" t="s">
        <v>5313</v>
      </c>
      <c r="K1413" s="6" t="s">
        <v>3331</v>
      </c>
      <c r="L1413" s="6">
        <v>5821453</v>
      </c>
      <c r="M1413" s="6" t="s">
        <v>41</v>
      </c>
      <c r="N1413" s="6" t="s">
        <v>1650</v>
      </c>
      <c r="O1413" s="6" t="s">
        <v>21</v>
      </c>
      <c r="P1413" s="6" t="s">
        <v>1743</v>
      </c>
      <c r="Q1413" s="6" t="s">
        <v>3332</v>
      </c>
      <c r="R1413" s="8" t="s">
        <v>1808</v>
      </c>
      <c r="S1413" s="6"/>
    </row>
    <row r="1414" spans="1:19" ht="25.5" x14ac:dyDescent="0.25">
      <c r="A1414" s="5" t="s">
        <v>3872</v>
      </c>
      <c r="B1414" s="5">
        <v>1413</v>
      </c>
      <c r="C1414" s="6" t="s">
        <v>3219</v>
      </c>
      <c r="D1414" s="6" t="s">
        <v>5096</v>
      </c>
      <c r="E1414" s="6">
        <v>24</v>
      </c>
      <c r="F1414" s="6" t="s">
        <v>1744</v>
      </c>
      <c r="G1414" s="6">
        <v>3629</v>
      </c>
      <c r="H1414" s="6" t="s">
        <v>1745</v>
      </c>
      <c r="I1414" s="6" t="s">
        <v>5314</v>
      </c>
      <c r="J1414" s="6" t="s">
        <v>4209</v>
      </c>
      <c r="K1414" s="6" t="s">
        <v>3331</v>
      </c>
      <c r="L1414" s="6">
        <v>93392176</v>
      </c>
      <c r="M1414" s="6" t="s">
        <v>41</v>
      </c>
      <c r="N1414" s="6" t="s">
        <v>1650</v>
      </c>
      <c r="O1414" s="6" t="s">
        <v>21</v>
      </c>
      <c r="P1414" s="6" t="s">
        <v>1387</v>
      </c>
      <c r="Q1414" s="6" t="s">
        <v>3332</v>
      </c>
      <c r="R1414" s="8" t="s">
        <v>1808</v>
      </c>
      <c r="S1414" s="6"/>
    </row>
    <row r="1415" spans="1:19" ht="25.5" x14ac:dyDescent="0.25">
      <c r="A1415" s="5" t="s">
        <v>3872</v>
      </c>
      <c r="B1415" s="5">
        <v>1414</v>
      </c>
      <c r="C1415" s="6" t="s">
        <v>3220</v>
      </c>
      <c r="D1415" s="6" t="s">
        <v>5096</v>
      </c>
      <c r="E1415" s="6">
        <v>17</v>
      </c>
      <c r="F1415" s="6" t="s">
        <v>1746</v>
      </c>
      <c r="G1415" s="6">
        <v>321</v>
      </c>
      <c r="H1415" s="6" t="s">
        <v>492</v>
      </c>
      <c r="I1415" s="6" t="s">
        <v>5315</v>
      </c>
      <c r="J1415" s="6" t="s">
        <v>3409</v>
      </c>
      <c r="K1415" s="6" t="s">
        <v>3331</v>
      </c>
      <c r="L1415" s="6">
        <v>36276108</v>
      </c>
      <c r="M1415" s="6" t="s">
        <v>41</v>
      </c>
      <c r="N1415" s="6" t="s">
        <v>1650</v>
      </c>
      <c r="O1415" s="6">
        <v>118</v>
      </c>
      <c r="P1415" s="6" t="s">
        <v>1747</v>
      </c>
      <c r="Q1415" s="6" t="s">
        <v>3332</v>
      </c>
      <c r="R1415" s="8" t="s">
        <v>1808</v>
      </c>
      <c r="S1415" s="6"/>
    </row>
    <row r="1416" spans="1:19" ht="25.5" x14ac:dyDescent="0.25">
      <c r="A1416" s="5" t="s">
        <v>3872</v>
      </c>
      <c r="B1416" s="5">
        <v>1415</v>
      </c>
      <c r="C1416" s="6" t="s">
        <v>3221</v>
      </c>
      <c r="D1416" s="6" t="s">
        <v>5096</v>
      </c>
      <c r="E1416" s="6">
        <v>23</v>
      </c>
      <c r="F1416" s="6" t="s">
        <v>1748</v>
      </c>
      <c r="G1416" s="6">
        <v>395</v>
      </c>
      <c r="H1416" s="6" t="s">
        <v>1033</v>
      </c>
      <c r="I1416" s="6" t="s">
        <v>5316</v>
      </c>
      <c r="J1416" s="6" t="s">
        <v>4478</v>
      </c>
      <c r="K1416" s="6" t="s">
        <v>3331</v>
      </c>
      <c r="L1416" s="6">
        <v>5825775</v>
      </c>
      <c r="M1416" s="6" t="s">
        <v>41</v>
      </c>
      <c r="N1416" s="6" t="s">
        <v>1650</v>
      </c>
      <c r="O1416" s="6">
        <v>201</v>
      </c>
      <c r="P1416" s="6" t="s">
        <v>1749</v>
      </c>
      <c r="Q1416" s="6" t="s">
        <v>3332</v>
      </c>
      <c r="R1416" s="8" t="s">
        <v>1808</v>
      </c>
      <c r="S1416" s="6"/>
    </row>
    <row r="1417" spans="1:19" ht="25.5" x14ac:dyDescent="0.25">
      <c r="A1417" s="5" t="s">
        <v>3872</v>
      </c>
      <c r="B1417" s="5">
        <v>1416</v>
      </c>
      <c r="C1417" s="6" t="s">
        <v>3222</v>
      </c>
      <c r="D1417" s="6" t="s">
        <v>5096</v>
      </c>
      <c r="E1417" s="6">
        <v>23</v>
      </c>
      <c r="F1417" s="6" t="s">
        <v>1748</v>
      </c>
      <c r="G1417" s="6">
        <v>395</v>
      </c>
      <c r="H1417" s="6" t="s">
        <v>1033</v>
      </c>
      <c r="I1417" s="6" t="s">
        <v>5185</v>
      </c>
      <c r="J1417" s="6" t="s">
        <v>5317</v>
      </c>
      <c r="K1417" s="6" t="s">
        <v>3331</v>
      </c>
      <c r="L1417" s="6">
        <v>65630995</v>
      </c>
      <c r="M1417" s="6" t="s">
        <v>41</v>
      </c>
      <c r="N1417" s="6" t="s">
        <v>1650</v>
      </c>
      <c r="O1417" s="6">
        <v>201</v>
      </c>
      <c r="P1417" s="6" t="s">
        <v>1749</v>
      </c>
      <c r="Q1417" s="6" t="s">
        <v>3332</v>
      </c>
      <c r="R1417" s="8" t="s">
        <v>1808</v>
      </c>
      <c r="S1417" s="6"/>
    </row>
    <row r="1418" spans="1:19" ht="25.5" x14ac:dyDescent="0.25">
      <c r="A1418" s="5" t="s">
        <v>3872</v>
      </c>
      <c r="B1418" s="5">
        <v>1417</v>
      </c>
      <c r="C1418" s="6" t="s">
        <v>3223</v>
      </c>
      <c r="D1418" s="6" t="s">
        <v>5096</v>
      </c>
      <c r="E1418" s="6">
        <v>2</v>
      </c>
      <c r="F1418" s="6" t="s">
        <v>1554</v>
      </c>
      <c r="G1418" s="6">
        <v>56</v>
      </c>
      <c r="H1418" s="6" t="s">
        <v>890</v>
      </c>
      <c r="I1418" s="6" t="s">
        <v>5318</v>
      </c>
      <c r="J1418" s="6" t="s">
        <v>5319</v>
      </c>
      <c r="K1418" s="6" t="s">
        <v>3331</v>
      </c>
      <c r="L1418" s="6">
        <v>65719155</v>
      </c>
      <c r="M1418" s="6" t="s">
        <v>41</v>
      </c>
      <c r="N1418" s="6" t="s">
        <v>1650</v>
      </c>
      <c r="O1418" s="6">
        <v>201</v>
      </c>
      <c r="P1418" s="6" t="s">
        <v>1749</v>
      </c>
      <c r="Q1418" s="6" t="s">
        <v>3332</v>
      </c>
      <c r="R1418" s="8" t="s">
        <v>1808</v>
      </c>
      <c r="S1418" s="6"/>
    </row>
    <row r="1419" spans="1:19" ht="25.5" x14ac:dyDescent="0.25">
      <c r="A1419" s="5" t="s">
        <v>3872</v>
      </c>
      <c r="B1419" s="5">
        <v>1418</v>
      </c>
      <c r="C1419" s="6" t="s">
        <v>3224</v>
      </c>
      <c r="D1419" s="6" t="s">
        <v>5096</v>
      </c>
      <c r="E1419" s="6">
        <v>2</v>
      </c>
      <c r="F1419" s="6" t="s">
        <v>1554</v>
      </c>
      <c r="G1419" s="6">
        <v>56</v>
      </c>
      <c r="H1419" s="6" t="s">
        <v>890</v>
      </c>
      <c r="I1419" s="6" t="s">
        <v>5320</v>
      </c>
      <c r="J1419" s="6" t="s">
        <v>4223</v>
      </c>
      <c r="K1419" s="6" t="s">
        <v>3331</v>
      </c>
      <c r="L1419" s="6">
        <v>93372726</v>
      </c>
      <c r="M1419" s="6" t="s">
        <v>41</v>
      </c>
      <c r="N1419" s="6" t="s">
        <v>1650</v>
      </c>
      <c r="O1419" s="6">
        <v>150</v>
      </c>
      <c r="P1419" s="6" t="s">
        <v>1662</v>
      </c>
      <c r="Q1419" s="6" t="s">
        <v>3332</v>
      </c>
      <c r="R1419" s="8" t="s">
        <v>1808</v>
      </c>
      <c r="S1419" s="6"/>
    </row>
    <row r="1420" spans="1:19" ht="25.5" x14ac:dyDescent="0.25">
      <c r="A1420" s="5" t="s">
        <v>3872</v>
      </c>
      <c r="B1420" s="5">
        <v>1419</v>
      </c>
      <c r="C1420" s="6" t="s">
        <v>3225</v>
      </c>
      <c r="D1420" s="6" t="s">
        <v>5096</v>
      </c>
      <c r="E1420" s="6">
        <v>2</v>
      </c>
      <c r="F1420" s="6" t="s">
        <v>1554</v>
      </c>
      <c r="G1420" s="6">
        <v>56</v>
      </c>
      <c r="H1420" s="6" t="s">
        <v>890</v>
      </c>
      <c r="I1420" s="6" t="s">
        <v>5321</v>
      </c>
      <c r="J1420" s="6" t="s">
        <v>5322</v>
      </c>
      <c r="K1420" s="6" t="s">
        <v>3331</v>
      </c>
      <c r="L1420" s="6">
        <v>93481572</v>
      </c>
      <c r="M1420" s="6" t="s">
        <v>41</v>
      </c>
      <c r="N1420" s="6" t="s">
        <v>1650</v>
      </c>
      <c r="O1420" s="6">
        <v>202</v>
      </c>
      <c r="P1420" s="6" t="s">
        <v>1682</v>
      </c>
      <c r="Q1420" s="6" t="s">
        <v>3332</v>
      </c>
      <c r="R1420" s="8" t="s">
        <v>1808</v>
      </c>
      <c r="S1420" s="6"/>
    </row>
    <row r="1421" spans="1:19" ht="25.5" x14ac:dyDescent="0.25">
      <c r="A1421" s="5" t="s">
        <v>3872</v>
      </c>
      <c r="B1421" s="5">
        <v>1420</v>
      </c>
      <c r="C1421" s="6" t="s">
        <v>3226</v>
      </c>
      <c r="D1421" s="6" t="s">
        <v>5096</v>
      </c>
      <c r="E1421" s="6">
        <v>7</v>
      </c>
      <c r="F1421" s="6" t="s">
        <v>1750</v>
      </c>
      <c r="G1421" s="6">
        <v>115</v>
      </c>
      <c r="H1421" s="6" t="s">
        <v>1751</v>
      </c>
      <c r="I1421" s="6" t="s">
        <v>5323</v>
      </c>
      <c r="J1421" s="6" t="s">
        <v>4435</v>
      </c>
      <c r="K1421" s="6" t="s">
        <v>3331</v>
      </c>
      <c r="L1421" s="6">
        <v>28558129</v>
      </c>
      <c r="M1421" s="6" t="s">
        <v>41</v>
      </c>
      <c r="N1421" s="6" t="s">
        <v>1650</v>
      </c>
      <c r="O1421" s="6">
        <v>202</v>
      </c>
      <c r="P1421" s="6" t="s">
        <v>1752</v>
      </c>
      <c r="Q1421" s="6" t="s">
        <v>3332</v>
      </c>
      <c r="R1421" s="8" t="s">
        <v>1808</v>
      </c>
      <c r="S1421" s="6"/>
    </row>
    <row r="1422" spans="1:19" ht="25.5" x14ac:dyDescent="0.25">
      <c r="A1422" s="5" t="s">
        <v>3872</v>
      </c>
      <c r="B1422" s="5">
        <v>1421</v>
      </c>
      <c r="C1422" s="6" t="s">
        <v>3227</v>
      </c>
      <c r="D1422" s="6" t="s">
        <v>5096</v>
      </c>
      <c r="E1422" s="6">
        <v>7</v>
      </c>
      <c r="F1422" s="6" t="s">
        <v>1750</v>
      </c>
      <c r="G1422" s="6">
        <v>115</v>
      </c>
      <c r="H1422" s="6" t="s">
        <v>1751</v>
      </c>
      <c r="I1422" s="6" t="s">
        <v>5324</v>
      </c>
      <c r="J1422" s="6" t="s">
        <v>5325</v>
      </c>
      <c r="K1422" s="6" t="s">
        <v>3331</v>
      </c>
      <c r="L1422" s="6">
        <v>93297203</v>
      </c>
      <c r="M1422" s="6" t="s">
        <v>41</v>
      </c>
      <c r="N1422" s="6" t="s">
        <v>1650</v>
      </c>
      <c r="O1422" s="6">
        <v>202</v>
      </c>
      <c r="P1422" s="6" t="s">
        <v>1752</v>
      </c>
      <c r="Q1422" s="6" t="s">
        <v>3332</v>
      </c>
      <c r="R1422" s="8" t="s">
        <v>1808</v>
      </c>
      <c r="S1422" s="6"/>
    </row>
    <row r="1423" spans="1:19" ht="25.5" x14ac:dyDescent="0.25">
      <c r="A1423" s="5" t="s">
        <v>3872</v>
      </c>
      <c r="B1423" s="5">
        <v>1422</v>
      </c>
      <c r="C1423" s="6" t="s">
        <v>3228</v>
      </c>
      <c r="D1423" s="6" t="s">
        <v>5096</v>
      </c>
      <c r="E1423" s="6">
        <v>7</v>
      </c>
      <c r="F1423" s="6" t="s">
        <v>1750</v>
      </c>
      <c r="G1423" s="6">
        <v>115</v>
      </c>
      <c r="H1423" s="6" t="s">
        <v>1751</v>
      </c>
      <c r="I1423" s="6" t="s">
        <v>5326</v>
      </c>
      <c r="J1423" s="6" t="s">
        <v>5327</v>
      </c>
      <c r="K1423" s="6" t="s">
        <v>3331</v>
      </c>
      <c r="L1423" s="6">
        <v>13992553</v>
      </c>
      <c r="M1423" s="6" t="s">
        <v>41</v>
      </c>
      <c r="N1423" s="6" t="s">
        <v>1650</v>
      </c>
      <c r="O1423" s="6">
        <v>202</v>
      </c>
      <c r="P1423" s="6" t="s">
        <v>1752</v>
      </c>
      <c r="Q1423" s="6" t="s">
        <v>3332</v>
      </c>
      <c r="R1423" s="8" t="s">
        <v>1808</v>
      </c>
      <c r="S1423" s="6"/>
    </row>
    <row r="1424" spans="1:19" ht="25.5" x14ac:dyDescent="0.25">
      <c r="A1424" s="5" t="s">
        <v>3872</v>
      </c>
      <c r="B1424" s="5">
        <v>1423</v>
      </c>
      <c r="C1424" s="6" t="s">
        <v>3229</v>
      </c>
      <c r="D1424" s="6" t="s">
        <v>5096</v>
      </c>
      <c r="E1424" s="6">
        <v>14</v>
      </c>
      <c r="F1424" s="6" t="s">
        <v>1436</v>
      </c>
      <c r="G1424" s="6">
        <v>186</v>
      </c>
      <c r="H1424" s="6" t="s">
        <v>1437</v>
      </c>
      <c r="I1424" s="6" t="s">
        <v>5328</v>
      </c>
      <c r="J1424" s="6" t="s">
        <v>5329</v>
      </c>
      <c r="K1424" s="6" t="s">
        <v>3331</v>
      </c>
      <c r="L1424" s="6">
        <v>93397576</v>
      </c>
      <c r="M1424" s="6" t="s">
        <v>41</v>
      </c>
      <c r="N1424" s="6" t="s">
        <v>1650</v>
      </c>
      <c r="O1424" s="6">
        <v>202</v>
      </c>
      <c r="P1424" s="6" t="s">
        <v>1682</v>
      </c>
      <c r="Q1424" s="6" t="s">
        <v>3332</v>
      </c>
      <c r="R1424" s="8" t="s">
        <v>1808</v>
      </c>
      <c r="S1424" s="6"/>
    </row>
    <row r="1425" spans="1:19" ht="25.5" x14ac:dyDescent="0.25">
      <c r="A1425" s="5" t="s">
        <v>3872</v>
      </c>
      <c r="B1425" s="5">
        <v>1424</v>
      </c>
      <c r="C1425" s="6" t="s">
        <v>3230</v>
      </c>
      <c r="D1425" s="6" t="s">
        <v>5096</v>
      </c>
      <c r="E1425" s="6">
        <v>19</v>
      </c>
      <c r="F1425" s="6" t="s">
        <v>1753</v>
      </c>
      <c r="G1425" s="6">
        <v>258</v>
      </c>
      <c r="H1425" s="6" t="s">
        <v>895</v>
      </c>
      <c r="I1425" s="6" t="s">
        <v>5330</v>
      </c>
      <c r="J1425" s="6" t="s">
        <v>5331</v>
      </c>
      <c r="K1425" s="6" t="s">
        <v>3331</v>
      </c>
      <c r="L1425" s="6">
        <v>5820259</v>
      </c>
      <c r="M1425" s="6" t="s">
        <v>41</v>
      </c>
      <c r="N1425" s="6" t="s">
        <v>1650</v>
      </c>
      <c r="O1425" s="6">
        <v>202</v>
      </c>
      <c r="P1425" s="6" t="s">
        <v>1682</v>
      </c>
      <c r="Q1425" s="6" t="s">
        <v>3332</v>
      </c>
      <c r="R1425" s="8" t="s">
        <v>1808</v>
      </c>
      <c r="S1425" s="6"/>
    </row>
    <row r="1426" spans="1:19" ht="25.5" x14ac:dyDescent="0.25">
      <c r="A1426" s="5" t="s">
        <v>3872</v>
      </c>
      <c r="B1426" s="5">
        <v>1425</v>
      </c>
      <c r="C1426" s="6" t="s">
        <v>3231</v>
      </c>
      <c r="D1426" s="6" t="s">
        <v>5096</v>
      </c>
      <c r="E1426" s="6">
        <v>31</v>
      </c>
      <c r="F1426" s="6" t="s">
        <v>1754</v>
      </c>
      <c r="G1426" s="6">
        <v>450</v>
      </c>
      <c r="H1426" s="6" t="s">
        <v>1755</v>
      </c>
      <c r="I1426" s="6" t="s">
        <v>5332</v>
      </c>
      <c r="J1426" s="6" t="s">
        <v>5333</v>
      </c>
      <c r="K1426" s="6" t="s">
        <v>3331</v>
      </c>
      <c r="L1426" s="6">
        <v>5828333</v>
      </c>
      <c r="M1426" s="6" t="s">
        <v>41</v>
      </c>
      <c r="N1426" s="6" t="s">
        <v>1650</v>
      </c>
      <c r="O1426" s="6">
        <v>203</v>
      </c>
      <c r="P1426" s="6" t="s">
        <v>1711</v>
      </c>
      <c r="Q1426" s="6" t="s">
        <v>3332</v>
      </c>
      <c r="R1426" s="8" t="s">
        <v>1808</v>
      </c>
      <c r="S1426" s="6"/>
    </row>
    <row r="1427" spans="1:19" ht="25.5" x14ac:dyDescent="0.25">
      <c r="A1427" s="5" t="s">
        <v>3872</v>
      </c>
      <c r="B1427" s="5">
        <v>1426</v>
      </c>
      <c r="C1427" s="6" t="s">
        <v>3232</v>
      </c>
      <c r="D1427" s="6" t="s">
        <v>5096</v>
      </c>
      <c r="E1427" s="6">
        <v>7</v>
      </c>
      <c r="F1427" s="6" t="s">
        <v>1756</v>
      </c>
      <c r="G1427" s="6">
        <v>119</v>
      </c>
      <c r="H1427" s="6" t="s">
        <v>813</v>
      </c>
      <c r="I1427" s="6" t="s">
        <v>5334</v>
      </c>
      <c r="J1427" s="6" t="s">
        <v>3882</v>
      </c>
      <c r="K1427" s="6" t="s">
        <v>3331</v>
      </c>
      <c r="L1427" s="6">
        <v>55069002</v>
      </c>
      <c r="M1427" s="6" t="s">
        <v>41</v>
      </c>
      <c r="N1427" s="6" t="s">
        <v>1650</v>
      </c>
      <c r="O1427" s="6">
        <v>205</v>
      </c>
      <c r="P1427" s="6" t="s">
        <v>197</v>
      </c>
      <c r="Q1427" s="6" t="s">
        <v>3332</v>
      </c>
      <c r="R1427" s="8" t="s">
        <v>1808</v>
      </c>
      <c r="S1427" s="6"/>
    </row>
    <row r="1428" spans="1:19" ht="25.5" x14ac:dyDescent="0.25">
      <c r="A1428" s="5" t="s">
        <v>3872</v>
      </c>
      <c r="B1428" s="5">
        <v>1427</v>
      </c>
      <c r="C1428" s="6" t="s">
        <v>3233</v>
      </c>
      <c r="D1428" s="6" t="s">
        <v>5096</v>
      </c>
      <c r="E1428" s="6">
        <v>7</v>
      </c>
      <c r="F1428" s="6" t="s">
        <v>1756</v>
      </c>
      <c r="G1428" s="6">
        <v>119</v>
      </c>
      <c r="H1428" s="6" t="s">
        <v>813</v>
      </c>
      <c r="I1428" s="6" t="s">
        <v>5335</v>
      </c>
      <c r="J1428" s="6" t="s">
        <v>5336</v>
      </c>
      <c r="K1428" s="6" t="s">
        <v>3331</v>
      </c>
      <c r="L1428" s="6">
        <v>5828139</v>
      </c>
      <c r="M1428" s="6" t="s">
        <v>41</v>
      </c>
      <c r="N1428" s="6" t="s">
        <v>1650</v>
      </c>
      <c r="O1428" s="6">
        <v>205</v>
      </c>
      <c r="P1428" s="6" t="s">
        <v>197</v>
      </c>
      <c r="Q1428" s="6" t="s">
        <v>3332</v>
      </c>
      <c r="R1428" s="8" t="s">
        <v>1808</v>
      </c>
      <c r="S1428" s="6"/>
    </row>
    <row r="1429" spans="1:19" ht="25.5" x14ac:dyDescent="0.25">
      <c r="A1429" s="5" t="s">
        <v>3872</v>
      </c>
      <c r="B1429" s="5">
        <v>1428</v>
      </c>
      <c r="C1429" s="6" t="s">
        <v>3234</v>
      </c>
      <c r="D1429" s="6" t="s">
        <v>5096</v>
      </c>
      <c r="E1429" s="6">
        <v>7</v>
      </c>
      <c r="F1429" s="6" t="s">
        <v>1756</v>
      </c>
      <c r="G1429" s="6">
        <v>119</v>
      </c>
      <c r="H1429" s="6" t="s">
        <v>813</v>
      </c>
      <c r="I1429" s="6" t="s">
        <v>5337</v>
      </c>
      <c r="J1429" s="6" t="s">
        <v>5338</v>
      </c>
      <c r="K1429" s="6" t="s">
        <v>3331</v>
      </c>
      <c r="L1429" s="6">
        <v>65768944</v>
      </c>
      <c r="M1429" s="6" t="s">
        <v>41</v>
      </c>
      <c r="N1429" s="6" t="s">
        <v>1650</v>
      </c>
      <c r="O1429" s="6">
        <v>186</v>
      </c>
      <c r="P1429" s="6" t="s">
        <v>1377</v>
      </c>
      <c r="Q1429" s="6" t="s">
        <v>3332</v>
      </c>
      <c r="R1429" s="8" t="s">
        <v>1808</v>
      </c>
      <c r="S1429" s="6"/>
    </row>
    <row r="1430" spans="1:19" ht="25.5" x14ac:dyDescent="0.25">
      <c r="A1430" s="5" t="s">
        <v>3872</v>
      </c>
      <c r="B1430" s="5">
        <v>1429</v>
      </c>
      <c r="C1430" s="6" t="s">
        <v>3235</v>
      </c>
      <c r="D1430" s="6" t="s">
        <v>5096</v>
      </c>
      <c r="E1430" s="6">
        <v>7</v>
      </c>
      <c r="F1430" s="6" t="s">
        <v>1756</v>
      </c>
      <c r="G1430" s="6">
        <v>119</v>
      </c>
      <c r="H1430" s="6" t="s">
        <v>813</v>
      </c>
      <c r="I1430" s="6" t="s">
        <v>5339</v>
      </c>
      <c r="J1430" s="6" t="s">
        <v>5340</v>
      </c>
      <c r="K1430" s="6" t="s">
        <v>3331</v>
      </c>
      <c r="L1430" s="6">
        <v>14398068</v>
      </c>
      <c r="M1430" s="6" t="s">
        <v>41</v>
      </c>
      <c r="N1430" s="6" t="s">
        <v>1650</v>
      </c>
      <c r="O1430" s="6">
        <v>205</v>
      </c>
      <c r="P1430" s="6" t="s">
        <v>197</v>
      </c>
      <c r="Q1430" s="6" t="s">
        <v>3332</v>
      </c>
      <c r="R1430" s="8" t="s">
        <v>1808</v>
      </c>
      <c r="S1430" s="6"/>
    </row>
    <row r="1431" spans="1:19" ht="25.5" x14ac:dyDescent="0.25">
      <c r="A1431" s="5" t="s">
        <v>3872</v>
      </c>
      <c r="B1431" s="5">
        <v>1430</v>
      </c>
      <c r="C1431" s="6" t="s">
        <v>3236</v>
      </c>
      <c r="D1431" s="6" t="s">
        <v>5096</v>
      </c>
      <c r="E1431" s="6">
        <v>9</v>
      </c>
      <c r="F1431" s="6" t="s">
        <v>1757</v>
      </c>
      <c r="G1431" s="6">
        <v>163</v>
      </c>
      <c r="H1431" s="6" t="s">
        <v>1758</v>
      </c>
      <c r="I1431" s="6" t="s">
        <v>5341</v>
      </c>
      <c r="J1431" s="6" t="s">
        <v>5342</v>
      </c>
      <c r="K1431" s="6" t="s">
        <v>3331</v>
      </c>
      <c r="L1431" s="6">
        <v>93363806</v>
      </c>
      <c r="M1431" s="6" t="s">
        <v>41</v>
      </c>
      <c r="N1431" s="6" t="s">
        <v>1650</v>
      </c>
      <c r="O1431" s="6">
        <v>136</v>
      </c>
      <c r="P1431" s="6" t="s">
        <v>1759</v>
      </c>
      <c r="Q1431" s="6" t="s">
        <v>3332</v>
      </c>
      <c r="R1431" s="8" t="s">
        <v>1808</v>
      </c>
      <c r="S1431" s="6"/>
    </row>
    <row r="1432" spans="1:19" ht="25.5" x14ac:dyDescent="0.25">
      <c r="A1432" s="5" t="s">
        <v>3872</v>
      </c>
      <c r="B1432" s="5">
        <v>1431</v>
      </c>
      <c r="C1432" s="6" t="s">
        <v>3237</v>
      </c>
      <c r="D1432" s="6" t="s">
        <v>5096</v>
      </c>
      <c r="E1432" s="6">
        <v>18</v>
      </c>
      <c r="F1432" s="6" t="s">
        <v>1440</v>
      </c>
      <c r="G1432" s="6">
        <v>389</v>
      </c>
      <c r="H1432" s="6" t="s">
        <v>1441</v>
      </c>
      <c r="I1432" s="6" t="s">
        <v>5343</v>
      </c>
      <c r="J1432" s="6" t="s">
        <v>5344</v>
      </c>
      <c r="K1432" s="6" t="s">
        <v>3331</v>
      </c>
      <c r="L1432" s="6">
        <v>38361427</v>
      </c>
      <c r="M1432" s="6" t="s">
        <v>41</v>
      </c>
      <c r="N1432" s="6" t="s">
        <v>1650</v>
      </c>
      <c r="O1432" s="6">
        <v>209</v>
      </c>
      <c r="P1432" s="6" t="s">
        <v>1760</v>
      </c>
      <c r="Q1432" s="6" t="s">
        <v>3332</v>
      </c>
      <c r="R1432" s="8" t="s">
        <v>1808</v>
      </c>
      <c r="S1432" s="6"/>
    </row>
    <row r="1433" spans="1:19" ht="25.5" x14ac:dyDescent="0.25">
      <c r="A1433" s="5" t="s">
        <v>3872</v>
      </c>
      <c r="B1433" s="5">
        <v>1432</v>
      </c>
      <c r="C1433" s="6" t="s">
        <v>3238</v>
      </c>
      <c r="D1433" s="6" t="s">
        <v>5096</v>
      </c>
      <c r="E1433" s="6">
        <v>18</v>
      </c>
      <c r="F1433" s="6" t="s">
        <v>1440</v>
      </c>
      <c r="G1433" s="6">
        <v>389</v>
      </c>
      <c r="H1433" s="6" t="s">
        <v>1441</v>
      </c>
      <c r="I1433" s="6" t="s">
        <v>5345</v>
      </c>
      <c r="J1433" s="6" t="s">
        <v>5346</v>
      </c>
      <c r="K1433" s="6" t="s">
        <v>3331</v>
      </c>
      <c r="L1433" s="6">
        <v>93085525</v>
      </c>
      <c r="M1433" s="6" t="s">
        <v>41</v>
      </c>
      <c r="N1433" s="6" t="s">
        <v>1650</v>
      </c>
      <c r="O1433" s="6">
        <v>186</v>
      </c>
      <c r="P1433" s="6" t="s">
        <v>1377</v>
      </c>
      <c r="Q1433" s="6" t="s">
        <v>3332</v>
      </c>
      <c r="R1433" s="8" t="s">
        <v>1808</v>
      </c>
      <c r="S1433" s="6"/>
    </row>
    <row r="1434" spans="1:19" ht="25.5" x14ac:dyDescent="0.25">
      <c r="A1434" s="5" t="s">
        <v>3872</v>
      </c>
      <c r="B1434" s="5">
        <v>1433</v>
      </c>
      <c r="C1434" s="6" t="s">
        <v>3239</v>
      </c>
      <c r="D1434" s="6" t="s">
        <v>5096</v>
      </c>
      <c r="E1434" s="6">
        <v>21</v>
      </c>
      <c r="F1434" s="6" t="s">
        <v>1761</v>
      </c>
      <c r="G1434" s="6">
        <v>467</v>
      </c>
      <c r="H1434" s="6" t="s">
        <v>1762</v>
      </c>
      <c r="I1434" s="6" t="s">
        <v>5347</v>
      </c>
      <c r="J1434" s="6" t="s">
        <v>5348</v>
      </c>
      <c r="K1434" s="6" t="s">
        <v>3331</v>
      </c>
      <c r="L1434" s="6">
        <v>93377891</v>
      </c>
      <c r="M1434" s="6" t="s">
        <v>41</v>
      </c>
      <c r="N1434" s="6" t="s">
        <v>1650</v>
      </c>
      <c r="O1434" s="6">
        <v>174</v>
      </c>
      <c r="P1434" s="6" t="s">
        <v>103</v>
      </c>
      <c r="Q1434" s="6" t="s">
        <v>3332</v>
      </c>
      <c r="R1434" s="8" t="s">
        <v>1808</v>
      </c>
      <c r="S1434" s="6"/>
    </row>
    <row r="1435" spans="1:19" ht="25.5" x14ac:dyDescent="0.25">
      <c r="A1435" s="5" t="s">
        <v>3872</v>
      </c>
      <c r="B1435" s="5">
        <v>1434</v>
      </c>
      <c r="C1435" s="6" t="s">
        <v>3240</v>
      </c>
      <c r="D1435" s="6" t="s">
        <v>5096</v>
      </c>
      <c r="E1435" s="6">
        <v>21</v>
      </c>
      <c r="F1435" s="6" t="s">
        <v>1761</v>
      </c>
      <c r="G1435" s="6">
        <v>467</v>
      </c>
      <c r="H1435" s="6" t="s">
        <v>1762</v>
      </c>
      <c r="I1435" s="6" t="s">
        <v>5349</v>
      </c>
      <c r="J1435" s="6" t="s">
        <v>5350</v>
      </c>
      <c r="K1435" s="6" t="s">
        <v>3331</v>
      </c>
      <c r="L1435" s="6">
        <v>93478153</v>
      </c>
      <c r="M1435" s="6" t="s">
        <v>41</v>
      </c>
      <c r="N1435" s="6" t="s">
        <v>1650</v>
      </c>
      <c r="O1435" s="6">
        <v>201</v>
      </c>
      <c r="P1435" s="6" t="s">
        <v>1749</v>
      </c>
      <c r="Q1435" s="6" t="s">
        <v>3332</v>
      </c>
      <c r="R1435" s="8" t="s">
        <v>1808</v>
      </c>
      <c r="S1435" s="6"/>
    </row>
    <row r="1436" spans="1:19" ht="25.5" x14ac:dyDescent="0.25">
      <c r="A1436" s="5" t="s">
        <v>3872</v>
      </c>
      <c r="B1436" s="5">
        <v>1435</v>
      </c>
      <c r="C1436" s="6" t="s">
        <v>3241</v>
      </c>
      <c r="D1436" s="6" t="s">
        <v>5096</v>
      </c>
      <c r="E1436" s="6">
        <v>31</v>
      </c>
      <c r="F1436" s="6" t="s">
        <v>1763</v>
      </c>
      <c r="G1436" s="6">
        <v>670</v>
      </c>
      <c r="H1436" s="6" t="s">
        <v>968</v>
      </c>
      <c r="I1436" s="6" t="s">
        <v>5351</v>
      </c>
      <c r="J1436" s="6" t="s">
        <v>5352</v>
      </c>
      <c r="K1436" s="6" t="s">
        <v>3331</v>
      </c>
      <c r="L1436" s="6">
        <v>93410023</v>
      </c>
      <c r="M1436" s="6" t="s">
        <v>41</v>
      </c>
      <c r="N1436" s="6" t="s">
        <v>1650</v>
      </c>
      <c r="O1436" s="6">
        <v>196</v>
      </c>
      <c r="P1436" s="6" t="s">
        <v>1743</v>
      </c>
      <c r="Q1436" s="6" t="s">
        <v>3332</v>
      </c>
      <c r="R1436" s="8" t="s">
        <v>1808</v>
      </c>
      <c r="S1436" s="6"/>
    </row>
    <row r="1437" spans="1:19" ht="25.5" x14ac:dyDescent="0.25">
      <c r="A1437" s="5" t="s">
        <v>3872</v>
      </c>
      <c r="B1437" s="5">
        <v>1436</v>
      </c>
      <c r="C1437" s="6" t="s">
        <v>3242</v>
      </c>
      <c r="D1437" s="6" t="s">
        <v>5096</v>
      </c>
      <c r="E1437" s="6">
        <v>31</v>
      </c>
      <c r="F1437" s="6" t="s">
        <v>1763</v>
      </c>
      <c r="G1437" s="6">
        <v>670</v>
      </c>
      <c r="H1437" s="6" t="s">
        <v>968</v>
      </c>
      <c r="I1437" s="6" t="s">
        <v>5353</v>
      </c>
      <c r="J1437" s="6" t="s">
        <v>5354</v>
      </c>
      <c r="K1437" s="6" t="s">
        <v>3331</v>
      </c>
      <c r="L1437" s="6">
        <v>13993580</v>
      </c>
      <c r="M1437" s="6" t="s">
        <v>41</v>
      </c>
      <c r="N1437" s="6" t="s">
        <v>1650</v>
      </c>
      <c r="O1437" s="6">
        <v>209</v>
      </c>
      <c r="P1437" s="6" t="s">
        <v>1760</v>
      </c>
      <c r="Q1437" s="6" t="s">
        <v>3332</v>
      </c>
      <c r="R1437" s="8" t="s">
        <v>1808</v>
      </c>
      <c r="S1437" s="6"/>
    </row>
    <row r="1438" spans="1:19" ht="25.5" x14ac:dyDescent="0.25">
      <c r="A1438" s="5" t="s">
        <v>3872</v>
      </c>
      <c r="B1438" s="5">
        <v>1437</v>
      </c>
      <c r="C1438" s="6" t="s">
        <v>3243</v>
      </c>
      <c r="D1438" s="6" t="s">
        <v>5096</v>
      </c>
      <c r="E1438" s="6">
        <v>15</v>
      </c>
      <c r="F1438" s="6" t="s">
        <v>1764</v>
      </c>
      <c r="G1438" s="6">
        <v>343</v>
      </c>
      <c r="H1438" s="6" t="s">
        <v>800</v>
      </c>
      <c r="I1438" s="6" t="s">
        <v>5355</v>
      </c>
      <c r="J1438" s="6" t="s">
        <v>5356</v>
      </c>
      <c r="K1438" s="6" t="s">
        <v>3331</v>
      </c>
      <c r="L1438" s="6">
        <v>28558513</v>
      </c>
      <c r="M1438" s="6" t="s">
        <v>41</v>
      </c>
      <c r="N1438" s="6" t="s">
        <v>1650</v>
      </c>
      <c r="O1438" s="6">
        <v>209</v>
      </c>
      <c r="P1438" s="6" t="s">
        <v>1760</v>
      </c>
      <c r="Q1438" s="6" t="s">
        <v>3332</v>
      </c>
      <c r="R1438" s="8" t="s">
        <v>1808</v>
      </c>
      <c r="S1438" s="6"/>
    </row>
    <row r="1439" spans="1:19" ht="25.5" x14ac:dyDescent="0.25">
      <c r="A1439" s="5" t="s">
        <v>3872</v>
      </c>
      <c r="B1439" s="5">
        <v>1438</v>
      </c>
      <c r="C1439" s="6" t="s">
        <v>3244</v>
      </c>
      <c r="D1439" s="6" t="s">
        <v>5096</v>
      </c>
      <c r="E1439" s="6">
        <v>21</v>
      </c>
      <c r="F1439" s="6" t="s">
        <v>1765</v>
      </c>
      <c r="G1439" s="6">
        <v>487</v>
      </c>
      <c r="H1439" s="6" t="s">
        <v>1766</v>
      </c>
      <c r="I1439" s="6" t="s">
        <v>5357</v>
      </c>
      <c r="J1439" s="6" t="s">
        <v>5358</v>
      </c>
      <c r="K1439" s="6" t="s">
        <v>3331</v>
      </c>
      <c r="L1439" s="6">
        <v>14398740</v>
      </c>
      <c r="M1439" s="6" t="s">
        <v>41</v>
      </c>
      <c r="N1439" s="6" t="s">
        <v>1650</v>
      </c>
      <c r="O1439" s="6">
        <v>211</v>
      </c>
      <c r="P1439" s="6" t="s">
        <v>1767</v>
      </c>
      <c r="Q1439" s="6" t="s">
        <v>3332</v>
      </c>
      <c r="R1439" s="8" t="s">
        <v>1808</v>
      </c>
      <c r="S1439" s="6"/>
    </row>
    <row r="1440" spans="1:19" ht="25.5" x14ac:dyDescent="0.25">
      <c r="A1440" s="5" t="s">
        <v>3872</v>
      </c>
      <c r="B1440" s="5">
        <v>1439</v>
      </c>
      <c r="C1440" s="6" t="s">
        <v>3245</v>
      </c>
      <c r="D1440" s="6" t="s">
        <v>5096</v>
      </c>
      <c r="E1440" s="6">
        <v>38</v>
      </c>
      <c r="F1440" s="6" t="s">
        <v>1768</v>
      </c>
      <c r="G1440" s="6">
        <v>58</v>
      </c>
      <c r="H1440" s="6" t="s">
        <v>941</v>
      </c>
      <c r="I1440" s="6" t="s">
        <v>5359</v>
      </c>
      <c r="J1440" s="6" t="s">
        <v>5360</v>
      </c>
      <c r="K1440" s="6" t="s">
        <v>3331</v>
      </c>
      <c r="L1440" s="6">
        <v>93393647</v>
      </c>
      <c r="M1440" s="6" t="s">
        <v>41</v>
      </c>
      <c r="N1440" s="6" t="s">
        <v>1650</v>
      </c>
      <c r="O1440" s="6">
        <v>187</v>
      </c>
      <c r="P1440" s="6" t="s">
        <v>1732</v>
      </c>
      <c r="Q1440" s="6" t="s">
        <v>3332</v>
      </c>
      <c r="R1440" s="8" t="s">
        <v>1808</v>
      </c>
      <c r="S1440" s="6"/>
    </row>
    <row r="1441" spans="1:19" ht="25.5" x14ac:dyDescent="0.25">
      <c r="A1441" s="5" t="s">
        <v>3872</v>
      </c>
      <c r="B1441" s="5">
        <v>1440</v>
      </c>
      <c r="C1441" s="6" t="s">
        <v>3246</v>
      </c>
      <c r="D1441" s="6" t="s">
        <v>5096</v>
      </c>
      <c r="E1441" s="6">
        <v>2</v>
      </c>
      <c r="F1441" s="6" t="s">
        <v>1769</v>
      </c>
      <c r="G1441" s="6">
        <v>152</v>
      </c>
      <c r="H1441" s="6" t="s">
        <v>426</v>
      </c>
      <c r="I1441" s="6" t="s">
        <v>5361</v>
      </c>
      <c r="J1441" s="6" t="s">
        <v>5362</v>
      </c>
      <c r="K1441" s="6" t="s">
        <v>3331</v>
      </c>
      <c r="L1441" s="6">
        <v>93238046</v>
      </c>
      <c r="M1441" s="6" t="s">
        <v>41</v>
      </c>
      <c r="N1441" s="6" t="s">
        <v>1650</v>
      </c>
      <c r="O1441" s="6">
        <v>212</v>
      </c>
      <c r="P1441" s="6" t="s">
        <v>1699</v>
      </c>
      <c r="Q1441" s="6" t="s">
        <v>3332</v>
      </c>
      <c r="R1441" s="8" t="s">
        <v>1808</v>
      </c>
      <c r="S1441" s="6"/>
    </row>
    <row r="1442" spans="1:19" ht="25.5" x14ac:dyDescent="0.25">
      <c r="A1442" s="5" t="s">
        <v>3872</v>
      </c>
      <c r="B1442" s="5">
        <v>1441</v>
      </c>
      <c r="C1442" s="6" t="s">
        <v>3247</v>
      </c>
      <c r="D1442" s="6" t="s">
        <v>5096</v>
      </c>
      <c r="E1442" s="6">
        <v>5</v>
      </c>
      <c r="F1442" s="6" t="s">
        <v>1770</v>
      </c>
      <c r="G1442" s="6">
        <v>250</v>
      </c>
      <c r="H1442" s="6" t="s">
        <v>1771</v>
      </c>
      <c r="I1442" s="6" t="s">
        <v>5363</v>
      </c>
      <c r="J1442" s="6" t="s">
        <v>4457</v>
      </c>
      <c r="K1442" s="6" t="s">
        <v>3331</v>
      </c>
      <c r="L1442" s="6">
        <v>80127215</v>
      </c>
      <c r="M1442" s="6" t="s">
        <v>41</v>
      </c>
      <c r="N1442" s="6" t="s">
        <v>1650</v>
      </c>
      <c r="O1442" s="6">
        <v>211</v>
      </c>
      <c r="P1442" s="6" t="s">
        <v>1767</v>
      </c>
      <c r="Q1442" s="6" t="s">
        <v>3332</v>
      </c>
      <c r="R1442" s="8" t="s">
        <v>1808</v>
      </c>
      <c r="S1442" s="6"/>
    </row>
    <row r="1443" spans="1:19" ht="25.5" x14ac:dyDescent="0.25">
      <c r="A1443" s="5" t="s">
        <v>3872</v>
      </c>
      <c r="B1443" s="5">
        <v>1442</v>
      </c>
      <c r="C1443" s="6" t="s">
        <v>3248</v>
      </c>
      <c r="D1443" s="6" t="s">
        <v>5096</v>
      </c>
      <c r="E1443" s="6">
        <v>5</v>
      </c>
      <c r="F1443" s="6" t="s">
        <v>1770</v>
      </c>
      <c r="G1443" s="6">
        <v>250</v>
      </c>
      <c r="H1443" s="6" t="s">
        <v>1771</v>
      </c>
      <c r="I1443" s="6" t="s">
        <v>5364</v>
      </c>
      <c r="J1443" s="6" t="s">
        <v>5365</v>
      </c>
      <c r="K1443" s="6" t="s">
        <v>3331</v>
      </c>
      <c r="L1443" s="6">
        <v>93236474</v>
      </c>
      <c r="M1443" s="6" t="s">
        <v>41</v>
      </c>
      <c r="N1443" s="6" t="s">
        <v>1650</v>
      </c>
      <c r="O1443" s="6">
        <v>210</v>
      </c>
      <c r="P1443" s="6" t="s">
        <v>1772</v>
      </c>
      <c r="Q1443" s="6" t="s">
        <v>3332</v>
      </c>
      <c r="R1443" s="8" t="s">
        <v>1808</v>
      </c>
      <c r="S1443" s="6"/>
    </row>
    <row r="1444" spans="1:19" ht="25.5" x14ac:dyDescent="0.25">
      <c r="A1444" s="5" t="s">
        <v>3872</v>
      </c>
      <c r="B1444" s="5">
        <v>1443</v>
      </c>
      <c r="C1444" s="6" t="s">
        <v>3249</v>
      </c>
      <c r="D1444" s="6" t="s">
        <v>5096</v>
      </c>
      <c r="E1444" s="6">
        <v>19</v>
      </c>
      <c r="F1444" s="6" t="s">
        <v>1773</v>
      </c>
      <c r="G1444" s="6">
        <v>745</v>
      </c>
      <c r="H1444" s="6" t="s">
        <v>902</v>
      </c>
      <c r="I1444" s="6" t="s">
        <v>5366</v>
      </c>
      <c r="J1444" s="6" t="s">
        <v>3461</v>
      </c>
      <c r="K1444" s="6" t="s">
        <v>3331</v>
      </c>
      <c r="L1444" s="6">
        <v>14395608</v>
      </c>
      <c r="M1444" s="6" t="s">
        <v>41</v>
      </c>
      <c r="N1444" s="6" t="s">
        <v>1650</v>
      </c>
      <c r="O1444" s="6">
        <v>212</v>
      </c>
      <c r="P1444" s="6" t="s">
        <v>1699</v>
      </c>
      <c r="Q1444" s="6" t="s">
        <v>3332</v>
      </c>
      <c r="R1444" s="8" t="s">
        <v>1808</v>
      </c>
      <c r="S1444" s="6"/>
    </row>
    <row r="1445" spans="1:19" ht="25.5" x14ac:dyDescent="0.25">
      <c r="A1445" s="5" t="s">
        <v>3872</v>
      </c>
      <c r="B1445" s="5">
        <v>1444</v>
      </c>
      <c r="C1445" s="6" t="s">
        <v>3250</v>
      </c>
      <c r="D1445" s="6" t="s">
        <v>5096</v>
      </c>
      <c r="E1445" s="6">
        <v>19</v>
      </c>
      <c r="F1445" s="6" t="s">
        <v>1773</v>
      </c>
      <c r="G1445" s="6">
        <v>745</v>
      </c>
      <c r="H1445" s="6" t="s">
        <v>902</v>
      </c>
      <c r="I1445" s="6" t="s">
        <v>5367</v>
      </c>
      <c r="J1445" s="6" t="s">
        <v>5368</v>
      </c>
      <c r="K1445" s="6" t="s">
        <v>3331</v>
      </c>
      <c r="L1445" s="6">
        <v>93405441</v>
      </c>
      <c r="M1445" s="6" t="s">
        <v>41</v>
      </c>
      <c r="N1445" s="6" t="s">
        <v>1650</v>
      </c>
      <c r="O1445" s="6">
        <v>212</v>
      </c>
      <c r="P1445" s="6" t="s">
        <v>1699</v>
      </c>
      <c r="Q1445" s="6" t="s">
        <v>3332</v>
      </c>
      <c r="R1445" s="8" t="s">
        <v>1808</v>
      </c>
      <c r="S1445" s="6"/>
    </row>
    <row r="1446" spans="1:19" ht="25.5" x14ac:dyDescent="0.25">
      <c r="A1446" s="5" t="s">
        <v>3872</v>
      </c>
      <c r="B1446" s="5">
        <v>1445</v>
      </c>
      <c r="C1446" s="6" t="s">
        <v>3251</v>
      </c>
      <c r="D1446" s="6" t="s">
        <v>5096</v>
      </c>
      <c r="E1446" s="6">
        <v>22</v>
      </c>
      <c r="F1446" s="6" t="s">
        <v>1774</v>
      </c>
      <c r="G1446" s="6">
        <v>873</v>
      </c>
      <c r="H1446" s="6" t="s">
        <v>555</v>
      </c>
      <c r="I1446" s="6" t="s">
        <v>5369</v>
      </c>
      <c r="J1446" s="6" t="s">
        <v>5370</v>
      </c>
      <c r="K1446" s="6" t="s">
        <v>3331</v>
      </c>
      <c r="L1446" s="6">
        <v>11307820</v>
      </c>
      <c r="M1446" s="6" t="s">
        <v>41</v>
      </c>
      <c r="N1446" s="6" t="s">
        <v>1650</v>
      </c>
      <c r="O1446" s="6">
        <v>123</v>
      </c>
      <c r="P1446" s="6" t="s">
        <v>1775</v>
      </c>
      <c r="Q1446" s="6" t="s">
        <v>3332</v>
      </c>
      <c r="R1446" s="8" t="s">
        <v>1808</v>
      </c>
      <c r="S1446" s="6"/>
    </row>
    <row r="1447" spans="1:19" ht="25.5" x14ac:dyDescent="0.25">
      <c r="A1447" s="5" t="s">
        <v>3872</v>
      </c>
      <c r="B1447" s="5">
        <v>1446</v>
      </c>
      <c r="C1447" s="6" t="s">
        <v>3252</v>
      </c>
      <c r="D1447" s="6" t="s">
        <v>5096</v>
      </c>
      <c r="E1447" s="6">
        <v>9</v>
      </c>
      <c r="F1447" s="6" t="s">
        <v>1776</v>
      </c>
      <c r="G1447" s="6">
        <v>1593</v>
      </c>
      <c r="H1447" s="6" t="s">
        <v>857</v>
      </c>
      <c r="I1447" s="6" t="s">
        <v>5371</v>
      </c>
      <c r="J1447" s="6" t="s">
        <v>5372</v>
      </c>
      <c r="K1447" s="6" t="s">
        <v>3331</v>
      </c>
      <c r="L1447" s="6">
        <v>14214485</v>
      </c>
      <c r="M1447" s="6" t="s">
        <v>41</v>
      </c>
      <c r="N1447" s="6" t="s">
        <v>1650</v>
      </c>
      <c r="O1447" s="6">
        <v>81</v>
      </c>
      <c r="P1447" s="6" t="s">
        <v>21</v>
      </c>
      <c r="Q1447" s="6" t="s">
        <v>3332</v>
      </c>
      <c r="R1447" s="8" t="s">
        <v>1808</v>
      </c>
      <c r="S1447" s="6"/>
    </row>
    <row r="1448" spans="1:19" ht="25.5" x14ac:dyDescent="0.25">
      <c r="A1448" s="5" t="s">
        <v>3872</v>
      </c>
      <c r="B1448" s="5">
        <v>1447</v>
      </c>
      <c r="C1448" s="6" t="s">
        <v>3253</v>
      </c>
      <c r="D1448" s="6" t="s">
        <v>5096</v>
      </c>
      <c r="E1448" s="6">
        <v>9</v>
      </c>
      <c r="F1448" s="6" t="s">
        <v>1776</v>
      </c>
      <c r="G1448" s="6">
        <v>1593</v>
      </c>
      <c r="H1448" s="6" t="s">
        <v>857</v>
      </c>
      <c r="I1448" s="6" t="s">
        <v>5373</v>
      </c>
      <c r="J1448" s="6" t="s">
        <v>5263</v>
      </c>
      <c r="K1448" s="6" t="s">
        <v>3331</v>
      </c>
      <c r="L1448" s="6">
        <v>65783311</v>
      </c>
      <c r="M1448" s="6" t="s">
        <v>1643</v>
      </c>
      <c r="N1448" s="6" t="s">
        <v>1650</v>
      </c>
      <c r="O1448" s="6" t="s">
        <v>21</v>
      </c>
      <c r="P1448" s="6" t="s">
        <v>21</v>
      </c>
      <c r="Q1448" s="6" t="s">
        <v>3332</v>
      </c>
      <c r="R1448" s="8" t="s">
        <v>1808</v>
      </c>
      <c r="S1448" s="6"/>
    </row>
    <row r="1449" spans="1:19" ht="25.5" x14ac:dyDescent="0.25">
      <c r="A1449" s="5" t="s">
        <v>3872</v>
      </c>
      <c r="B1449" s="5">
        <v>1448</v>
      </c>
      <c r="C1449" s="6" t="s">
        <v>3254</v>
      </c>
      <c r="D1449" s="6" t="s">
        <v>5096</v>
      </c>
      <c r="E1449" s="6">
        <v>14</v>
      </c>
      <c r="F1449" s="6" t="s">
        <v>1230</v>
      </c>
      <c r="G1449" s="6">
        <v>1593</v>
      </c>
      <c r="H1449" s="6" t="s">
        <v>857</v>
      </c>
      <c r="I1449" s="6" t="s">
        <v>5374</v>
      </c>
      <c r="J1449" s="6" t="s">
        <v>5375</v>
      </c>
      <c r="K1449" s="6" t="s">
        <v>3331</v>
      </c>
      <c r="L1449" s="6">
        <v>93375214</v>
      </c>
      <c r="M1449" s="6" t="s">
        <v>41</v>
      </c>
      <c r="N1449" s="6" t="s">
        <v>1650</v>
      </c>
      <c r="O1449" s="6">
        <v>150</v>
      </c>
      <c r="P1449" s="6" t="s">
        <v>21</v>
      </c>
      <c r="Q1449" s="6" t="s">
        <v>3332</v>
      </c>
      <c r="R1449" s="8" t="s">
        <v>1808</v>
      </c>
      <c r="S1449" s="6"/>
    </row>
    <row r="1450" spans="1:19" ht="25.5" x14ac:dyDescent="0.25">
      <c r="A1450" s="5" t="s">
        <v>3872</v>
      </c>
      <c r="B1450" s="5">
        <v>1449</v>
      </c>
      <c r="C1450" s="6" t="s">
        <v>3255</v>
      </c>
      <c r="D1450" s="6" t="s">
        <v>5096</v>
      </c>
      <c r="E1450" s="6">
        <v>14</v>
      </c>
      <c r="F1450" s="6" t="s">
        <v>1230</v>
      </c>
      <c r="G1450" s="6">
        <v>1593</v>
      </c>
      <c r="H1450" s="6" t="s">
        <v>857</v>
      </c>
      <c r="I1450" s="6" t="s">
        <v>5376</v>
      </c>
      <c r="J1450" s="6" t="s">
        <v>5377</v>
      </c>
      <c r="K1450" s="6" t="s">
        <v>3331</v>
      </c>
      <c r="L1450" s="6">
        <v>93129910</v>
      </c>
      <c r="M1450" s="6" t="s">
        <v>41</v>
      </c>
      <c r="N1450" s="6" t="s">
        <v>1650</v>
      </c>
      <c r="O1450" s="6">
        <v>178</v>
      </c>
      <c r="P1450" s="6" t="s">
        <v>21</v>
      </c>
      <c r="Q1450" s="6" t="s">
        <v>3332</v>
      </c>
      <c r="R1450" s="8" t="s">
        <v>1808</v>
      </c>
      <c r="S1450" s="6"/>
    </row>
    <row r="1451" spans="1:19" ht="25.5" x14ac:dyDescent="0.25">
      <c r="A1451" s="5" t="s">
        <v>3872</v>
      </c>
      <c r="B1451" s="5">
        <v>1450</v>
      </c>
      <c r="C1451" s="6" t="s">
        <v>3256</v>
      </c>
      <c r="D1451" s="6" t="s">
        <v>5096</v>
      </c>
      <c r="E1451" s="6">
        <v>12</v>
      </c>
      <c r="F1451" s="6" t="s">
        <v>1777</v>
      </c>
      <c r="G1451" s="6">
        <v>1941</v>
      </c>
      <c r="H1451" s="6" t="s">
        <v>1234</v>
      </c>
      <c r="I1451" s="6" t="s">
        <v>5378</v>
      </c>
      <c r="J1451" s="6" t="s">
        <v>5379</v>
      </c>
      <c r="K1451" s="6" t="s">
        <v>3331</v>
      </c>
      <c r="L1451" s="6">
        <v>65500583</v>
      </c>
      <c r="M1451" s="6" t="s">
        <v>1643</v>
      </c>
      <c r="N1451" s="6" t="s">
        <v>1650</v>
      </c>
      <c r="O1451" s="6" t="s">
        <v>21</v>
      </c>
      <c r="P1451" s="6" t="s">
        <v>21</v>
      </c>
      <c r="Q1451" s="6" t="s">
        <v>3332</v>
      </c>
      <c r="R1451" s="8" t="s">
        <v>1808</v>
      </c>
      <c r="S1451" s="6"/>
    </row>
    <row r="1452" spans="1:19" ht="25.5" x14ac:dyDescent="0.25">
      <c r="A1452" s="5" t="s">
        <v>3872</v>
      </c>
      <c r="B1452" s="5">
        <v>1451</v>
      </c>
      <c r="C1452" s="6" t="s">
        <v>3257</v>
      </c>
      <c r="D1452" s="6" t="s">
        <v>5096</v>
      </c>
      <c r="E1452" s="6">
        <v>21</v>
      </c>
      <c r="F1452" s="6" t="s">
        <v>1778</v>
      </c>
      <c r="G1452" s="6">
        <v>3197</v>
      </c>
      <c r="H1452" s="6" t="s">
        <v>1779</v>
      </c>
      <c r="I1452" s="6" t="s">
        <v>5380</v>
      </c>
      <c r="J1452" s="6" t="s">
        <v>3521</v>
      </c>
      <c r="K1452" s="6" t="s">
        <v>3331</v>
      </c>
      <c r="L1452" s="6">
        <v>65762346</v>
      </c>
      <c r="M1452" s="6" t="s">
        <v>41</v>
      </c>
      <c r="N1452" s="6" t="s">
        <v>1650</v>
      </c>
      <c r="O1452" s="6">
        <v>191</v>
      </c>
      <c r="P1452" s="6" t="s">
        <v>1676</v>
      </c>
      <c r="Q1452" s="6" t="s">
        <v>3332</v>
      </c>
      <c r="R1452" s="8" t="s">
        <v>1808</v>
      </c>
      <c r="S1452" s="6"/>
    </row>
    <row r="1453" spans="1:19" ht="25.5" x14ac:dyDescent="0.25">
      <c r="A1453" s="5" t="s">
        <v>3872</v>
      </c>
      <c r="B1453" s="5">
        <v>1452</v>
      </c>
      <c r="C1453" s="6" t="s">
        <v>3258</v>
      </c>
      <c r="D1453" s="6" t="s">
        <v>5096</v>
      </c>
      <c r="E1453" s="6">
        <v>21</v>
      </c>
      <c r="F1453" s="6" t="s">
        <v>1778</v>
      </c>
      <c r="G1453" s="6">
        <v>3197</v>
      </c>
      <c r="H1453" s="6" t="s">
        <v>1779</v>
      </c>
      <c r="I1453" s="6" t="s">
        <v>5288</v>
      </c>
      <c r="J1453" s="6" t="s">
        <v>5381</v>
      </c>
      <c r="K1453" s="6" t="s">
        <v>3331</v>
      </c>
      <c r="L1453" s="6">
        <v>65773439</v>
      </c>
      <c r="M1453" s="6" t="s">
        <v>1643</v>
      </c>
      <c r="N1453" s="6" t="s">
        <v>1650</v>
      </c>
      <c r="O1453" s="6" t="s">
        <v>21</v>
      </c>
      <c r="P1453" s="6" t="s">
        <v>563</v>
      </c>
      <c r="Q1453" s="6" t="s">
        <v>3332</v>
      </c>
      <c r="R1453" s="8" t="s">
        <v>1808</v>
      </c>
      <c r="S1453" s="6"/>
    </row>
    <row r="1454" spans="1:19" ht="25.5" x14ac:dyDescent="0.25">
      <c r="A1454" s="5" t="s">
        <v>3872</v>
      </c>
      <c r="B1454" s="5">
        <v>1453</v>
      </c>
      <c r="C1454" s="6" t="s">
        <v>5382</v>
      </c>
      <c r="D1454" s="6" t="s">
        <v>5096</v>
      </c>
      <c r="E1454" s="6">
        <v>11</v>
      </c>
      <c r="F1454" s="6" t="s">
        <v>5383</v>
      </c>
      <c r="G1454" s="6">
        <v>1911</v>
      </c>
      <c r="H1454" s="6" t="s">
        <v>501</v>
      </c>
      <c r="I1454" s="6" t="s">
        <v>5384</v>
      </c>
      <c r="J1454" s="6" t="s">
        <v>5385</v>
      </c>
      <c r="K1454" s="6" t="s">
        <v>3331</v>
      </c>
      <c r="L1454" s="6">
        <v>93396826</v>
      </c>
      <c r="M1454" s="6" t="s">
        <v>41</v>
      </c>
      <c r="N1454" s="6" t="s">
        <v>1650</v>
      </c>
      <c r="O1454" s="6">
        <v>181</v>
      </c>
      <c r="P1454" s="6" t="s">
        <v>21</v>
      </c>
      <c r="Q1454" s="6" t="s">
        <v>3332</v>
      </c>
      <c r="R1454" s="8" t="s">
        <v>1808</v>
      </c>
      <c r="S1454" s="6"/>
    </row>
    <row r="1455" spans="1:19" ht="25.5" x14ac:dyDescent="0.25">
      <c r="A1455" s="5" t="s">
        <v>3872</v>
      </c>
      <c r="B1455" s="5">
        <v>1454</v>
      </c>
      <c r="C1455" s="6" t="s">
        <v>3259</v>
      </c>
      <c r="D1455" s="6" t="s">
        <v>5096</v>
      </c>
      <c r="E1455" s="6">
        <v>14</v>
      </c>
      <c r="F1455" s="6" t="s">
        <v>1780</v>
      </c>
      <c r="G1455" s="6">
        <v>1999</v>
      </c>
      <c r="H1455" s="6" t="s">
        <v>529</v>
      </c>
      <c r="I1455" s="6" t="s">
        <v>5386</v>
      </c>
      <c r="J1455" s="6" t="s">
        <v>4048</v>
      </c>
      <c r="K1455" s="6" t="s">
        <v>3331</v>
      </c>
      <c r="L1455" s="6">
        <v>14240216</v>
      </c>
      <c r="M1455" s="6" t="s">
        <v>41</v>
      </c>
      <c r="N1455" s="6" t="s">
        <v>1650</v>
      </c>
      <c r="O1455" s="6">
        <v>136</v>
      </c>
      <c r="P1455" s="6" t="s">
        <v>21</v>
      </c>
      <c r="Q1455" s="6" t="s">
        <v>3332</v>
      </c>
      <c r="R1455" s="8" t="s">
        <v>1808</v>
      </c>
      <c r="S1455" s="6"/>
    </row>
    <row r="1456" spans="1:19" ht="25.5" x14ac:dyDescent="0.25">
      <c r="A1456" s="5" t="s">
        <v>3872</v>
      </c>
      <c r="B1456" s="5">
        <v>1455</v>
      </c>
      <c r="C1456" s="6" t="s">
        <v>3260</v>
      </c>
      <c r="D1456" s="6" t="s">
        <v>5096</v>
      </c>
      <c r="E1456" s="6">
        <v>14</v>
      </c>
      <c r="F1456" s="6" t="s">
        <v>1780</v>
      </c>
      <c r="G1456" s="6">
        <v>1999</v>
      </c>
      <c r="H1456" s="6" t="s">
        <v>529</v>
      </c>
      <c r="I1456" s="6" t="s">
        <v>5387</v>
      </c>
      <c r="J1456" s="6" t="s">
        <v>5388</v>
      </c>
      <c r="K1456" s="6" t="s">
        <v>3331</v>
      </c>
      <c r="L1456" s="6">
        <v>11220329</v>
      </c>
      <c r="M1456" s="6" t="s">
        <v>41</v>
      </c>
      <c r="N1456" s="6" t="s">
        <v>1650</v>
      </c>
      <c r="O1456" s="6">
        <v>183</v>
      </c>
      <c r="P1456" s="6" t="s">
        <v>21</v>
      </c>
      <c r="Q1456" s="6" t="s">
        <v>3332</v>
      </c>
      <c r="R1456" s="8" t="s">
        <v>1808</v>
      </c>
      <c r="S1456" s="6"/>
    </row>
    <row r="1457" spans="1:19" ht="25.5" x14ac:dyDescent="0.25">
      <c r="A1457" s="5" t="s">
        <v>3872</v>
      </c>
      <c r="B1457" s="5">
        <v>1456</v>
      </c>
      <c r="C1457" s="6" t="s">
        <v>3261</v>
      </c>
      <c r="D1457" s="6" t="s">
        <v>5096</v>
      </c>
      <c r="E1457" s="6">
        <v>18</v>
      </c>
      <c r="F1457" s="6" t="s">
        <v>1781</v>
      </c>
      <c r="G1457" s="6">
        <v>2037</v>
      </c>
      <c r="H1457" s="6" t="s">
        <v>533</v>
      </c>
      <c r="I1457" s="6" t="s">
        <v>5389</v>
      </c>
      <c r="J1457" s="6" t="s">
        <v>5390</v>
      </c>
      <c r="K1457" s="6" t="s">
        <v>3331</v>
      </c>
      <c r="L1457" s="6">
        <v>93357813</v>
      </c>
      <c r="M1457" s="6" t="s">
        <v>41</v>
      </c>
      <c r="N1457" s="6" t="s">
        <v>1650</v>
      </c>
      <c r="O1457" s="6">
        <v>157</v>
      </c>
      <c r="P1457" s="6" t="s">
        <v>21</v>
      </c>
      <c r="Q1457" s="6" t="s">
        <v>3332</v>
      </c>
      <c r="R1457" s="8" t="s">
        <v>1808</v>
      </c>
      <c r="S1457" s="6"/>
    </row>
    <row r="1458" spans="1:19" ht="25.5" x14ac:dyDescent="0.25">
      <c r="A1458" s="5" t="s">
        <v>3872</v>
      </c>
      <c r="B1458" s="5">
        <v>1457</v>
      </c>
      <c r="C1458" s="6" t="s">
        <v>3262</v>
      </c>
      <c r="D1458" s="6" t="s">
        <v>5391</v>
      </c>
      <c r="E1458" s="6">
        <v>2694</v>
      </c>
      <c r="F1458" s="6" t="s">
        <v>1782</v>
      </c>
      <c r="G1458" s="6">
        <v>2</v>
      </c>
      <c r="H1458" s="6" t="s">
        <v>1100</v>
      </c>
      <c r="I1458" s="6" t="s">
        <v>5392</v>
      </c>
      <c r="J1458" s="6" t="s">
        <v>4237</v>
      </c>
      <c r="K1458" s="6" t="s">
        <v>3331</v>
      </c>
      <c r="L1458" s="6">
        <v>31922247</v>
      </c>
      <c r="M1458" s="6" t="s">
        <v>1783</v>
      </c>
      <c r="N1458" s="6" t="s">
        <v>1784</v>
      </c>
      <c r="O1458" s="6" t="s">
        <v>21</v>
      </c>
      <c r="P1458" s="6" t="s">
        <v>21</v>
      </c>
      <c r="Q1458" s="6" t="s">
        <v>3332</v>
      </c>
      <c r="R1458" s="8" t="s">
        <v>1808</v>
      </c>
      <c r="S1458" s="6"/>
    </row>
    <row r="1459" spans="1:19" ht="25.5" x14ac:dyDescent="0.25">
      <c r="A1459" s="5" t="s">
        <v>3872</v>
      </c>
      <c r="B1459" s="5">
        <v>1458</v>
      </c>
      <c r="C1459" s="6" t="s">
        <v>3263</v>
      </c>
      <c r="D1459" s="6" t="s">
        <v>5391</v>
      </c>
      <c r="E1459" s="6">
        <v>3</v>
      </c>
      <c r="F1459" s="6" t="s">
        <v>1785</v>
      </c>
      <c r="G1459" s="6">
        <v>55</v>
      </c>
      <c r="H1459" s="6" t="s">
        <v>1524</v>
      </c>
      <c r="I1459" s="6" t="s">
        <v>5393</v>
      </c>
      <c r="J1459" s="6" t="s">
        <v>5394</v>
      </c>
      <c r="K1459" s="6" t="s">
        <v>3331</v>
      </c>
      <c r="L1459" s="6">
        <v>16618223</v>
      </c>
      <c r="M1459" s="6" t="s">
        <v>50</v>
      </c>
      <c r="N1459" s="6" t="s">
        <v>270</v>
      </c>
      <c r="O1459" s="6">
        <v>182116</v>
      </c>
      <c r="P1459" s="6" t="s">
        <v>1786</v>
      </c>
      <c r="Q1459" s="6" t="s">
        <v>3332</v>
      </c>
      <c r="R1459" s="8" t="s">
        <v>1808</v>
      </c>
      <c r="S1459" s="6"/>
    </row>
    <row r="1460" spans="1:19" ht="25.5" x14ac:dyDescent="0.25">
      <c r="A1460" s="5" t="s">
        <v>3872</v>
      </c>
      <c r="B1460" s="5">
        <v>1459</v>
      </c>
      <c r="C1460" s="6" t="s">
        <v>3264</v>
      </c>
      <c r="D1460" s="6" t="s">
        <v>5391</v>
      </c>
      <c r="E1460" s="6">
        <v>27</v>
      </c>
      <c r="F1460" s="6" t="s">
        <v>1787</v>
      </c>
      <c r="G1460" s="6">
        <v>906</v>
      </c>
      <c r="H1460" s="6" t="s">
        <v>1693</v>
      </c>
      <c r="I1460" s="6" t="s">
        <v>5395</v>
      </c>
      <c r="J1460" s="6" t="s">
        <v>3694</v>
      </c>
      <c r="K1460" s="6" t="s">
        <v>3331</v>
      </c>
      <c r="L1460" s="6">
        <v>1130642412</v>
      </c>
      <c r="M1460" s="6" t="s">
        <v>50</v>
      </c>
      <c r="N1460" s="6" t="s">
        <v>270</v>
      </c>
      <c r="O1460" s="6" t="s">
        <v>5396</v>
      </c>
      <c r="P1460" s="6" t="s">
        <v>1788</v>
      </c>
      <c r="Q1460" s="6" t="s">
        <v>3332</v>
      </c>
      <c r="R1460" s="8" t="s">
        <v>1808</v>
      </c>
      <c r="S1460" s="6"/>
    </row>
    <row r="1461" spans="1:19" ht="25.5" x14ac:dyDescent="0.25">
      <c r="A1461" s="5" t="s">
        <v>3872</v>
      </c>
      <c r="B1461" s="5">
        <v>1460</v>
      </c>
      <c r="C1461" s="6" t="s">
        <v>3265</v>
      </c>
      <c r="D1461" s="6" t="s">
        <v>5391</v>
      </c>
      <c r="E1461" s="6">
        <v>79</v>
      </c>
      <c r="F1461" s="6" t="s">
        <v>1789</v>
      </c>
      <c r="G1461" s="6">
        <v>2111</v>
      </c>
      <c r="H1461" s="6" t="s">
        <v>289</v>
      </c>
      <c r="I1461" s="6" t="s">
        <v>5397</v>
      </c>
      <c r="J1461" s="6" t="s">
        <v>5398</v>
      </c>
      <c r="K1461" s="6" t="s">
        <v>3331</v>
      </c>
      <c r="L1461" s="6">
        <v>1144146109</v>
      </c>
      <c r="M1461" s="6" t="s">
        <v>50</v>
      </c>
      <c r="N1461" s="6" t="s">
        <v>270</v>
      </c>
      <c r="O1461" s="6">
        <v>182381</v>
      </c>
      <c r="P1461" s="6" t="s">
        <v>1790</v>
      </c>
      <c r="Q1461" s="6" t="s">
        <v>3332</v>
      </c>
      <c r="R1461" s="8" t="s">
        <v>1808</v>
      </c>
      <c r="S1461" s="6"/>
    </row>
    <row r="1462" spans="1:19" ht="25.5" x14ac:dyDescent="0.25">
      <c r="A1462" s="5" t="s">
        <v>3872</v>
      </c>
      <c r="B1462" s="5">
        <v>1461</v>
      </c>
      <c r="C1462" s="6" t="s">
        <v>3266</v>
      </c>
      <c r="D1462" s="6" t="s">
        <v>5391</v>
      </c>
      <c r="E1462" s="6">
        <v>2764</v>
      </c>
      <c r="F1462" s="6" t="s">
        <v>1791</v>
      </c>
      <c r="G1462" s="6">
        <v>306</v>
      </c>
      <c r="H1462" s="6" t="s">
        <v>873</v>
      </c>
      <c r="I1462" s="6" t="s">
        <v>5399</v>
      </c>
      <c r="J1462" s="6" t="s">
        <v>5400</v>
      </c>
      <c r="K1462" s="6" t="s">
        <v>3331</v>
      </c>
      <c r="L1462" s="6">
        <v>16251079</v>
      </c>
      <c r="M1462" s="6" t="s">
        <v>1792</v>
      </c>
      <c r="N1462" s="6" t="s">
        <v>1784</v>
      </c>
      <c r="O1462" s="6" t="s">
        <v>21</v>
      </c>
      <c r="P1462" s="6" t="s">
        <v>21</v>
      </c>
      <c r="Q1462" s="6" t="s">
        <v>3332</v>
      </c>
      <c r="R1462" s="8" t="s">
        <v>1808</v>
      </c>
      <c r="S1462" s="6"/>
    </row>
    <row r="1463" spans="1:19" ht="25.5" x14ac:dyDescent="0.25">
      <c r="A1463" s="5" t="s">
        <v>3872</v>
      </c>
      <c r="B1463" s="5">
        <v>1462</v>
      </c>
      <c r="C1463" s="6" t="s">
        <v>3267</v>
      </c>
      <c r="D1463" s="6" t="s">
        <v>5391</v>
      </c>
      <c r="E1463" s="6">
        <v>2781</v>
      </c>
      <c r="F1463" s="6" t="s">
        <v>1793</v>
      </c>
      <c r="G1463" s="6">
        <v>437</v>
      </c>
      <c r="H1463" s="6" t="s">
        <v>266</v>
      </c>
      <c r="I1463" s="6" t="s">
        <v>5401</v>
      </c>
      <c r="J1463" s="6" t="s">
        <v>4237</v>
      </c>
      <c r="K1463" s="6" t="s">
        <v>3331</v>
      </c>
      <c r="L1463" s="6">
        <v>29814071</v>
      </c>
      <c r="M1463" s="6" t="s">
        <v>1792</v>
      </c>
      <c r="N1463" s="6" t="s">
        <v>1794</v>
      </c>
      <c r="O1463" s="6" t="s">
        <v>21</v>
      </c>
      <c r="P1463" s="6" t="s">
        <v>21</v>
      </c>
      <c r="Q1463" s="6" t="s">
        <v>3332</v>
      </c>
      <c r="R1463" s="8" t="s">
        <v>1808</v>
      </c>
      <c r="S1463" s="6"/>
    </row>
    <row r="1464" spans="1:19" ht="25.5" x14ac:dyDescent="0.25">
      <c r="A1464" s="5" t="s">
        <v>3872</v>
      </c>
      <c r="B1464" s="5">
        <v>1463</v>
      </c>
      <c r="C1464" s="6" t="s">
        <v>3268</v>
      </c>
      <c r="D1464" s="6" t="s">
        <v>5391</v>
      </c>
      <c r="E1464" s="6">
        <v>2814</v>
      </c>
      <c r="F1464" s="6" t="s">
        <v>1795</v>
      </c>
      <c r="G1464" s="6">
        <v>681</v>
      </c>
      <c r="H1464" s="6" t="s">
        <v>882</v>
      </c>
      <c r="I1464" s="6" t="s">
        <v>5402</v>
      </c>
      <c r="J1464" s="6" t="s">
        <v>5329</v>
      </c>
      <c r="K1464" s="6" t="s">
        <v>3331</v>
      </c>
      <c r="L1464" s="6">
        <v>14898156</v>
      </c>
      <c r="M1464" s="6" t="s">
        <v>1792</v>
      </c>
      <c r="N1464" s="6" t="s">
        <v>1784</v>
      </c>
      <c r="O1464" s="6" t="s">
        <v>21</v>
      </c>
      <c r="P1464" s="6" t="s">
        <v>21</v>
      </c>
      <c r="Q1464" s="6" t="s">
        <v>3332</v>
      </c>
      <c r="R1464" s="8" t="s">
        <v>1808</v>
      </c>
      <c r="S1464" s="6"/>
    </row>
    <row r="1465" spans="1:19" ht="25.5" x14ac:dyDescent="0.25">
      <c r="A1465" s="5" t="s">
        <v>3872</v>
      </c>
      <c r="B1465" s="5">
        <v>1464</v>
      </c>
      <c r="C1465" s="6" t="s">
        <v>3269</v>
      </c>
      <c r="D1465" s="6" t="s">
        <v>5391</v>
      </c>
      <c r="E1465" s="6">
        <v>2814</v>
      </c>
      <c r="F1465" s="6" t="s">
        <v>1795</v>
      </c>
      <c r="G1465" s="6">
        <v>681</v>
      </c>
      <c r="H1465" s="6" t="s">
        <v>882</v>
      </c>
      <c r="I1465" s="6" t="s">
        <v>5403</v>
      </c>
      <c r="J1465" s="6" t="s">
        <v>5404</v>
      </c>
      <c r="K1465" s="6" t="s">
        <v>3331</v>
      </c>
      <c r="L1465" s="6">
        <v>16666902</v>
      </c>
      <c r="M1465" s="6" t="s">
        <v>1792</v>
      </c>
      <c r="N1465" s="6" t="s">
        <v>1794</v>
      </c>
      <c r="O1465" s="6" t="s">
        <v>21</v>
      </c>
      <c r="P1465" s="6" t="s">
        <v>21</v>
      </c>
      <c r="Q1465" s="6" t="s">
        <v>3332</v>
      </c>
      <c r="R1465" s="8" t="s">
        <v>1808</v>
      </c>
      <c r="S1465" s="6"/>
    </row>
    <row r="1466" spans="1:19" ht="25.5" x14ac:dyDescent="0.25">
      <c r="A1466" s="5" t="s">
        <v>3872</v>
      </c>
      <c r="B1466" s="5">
        <v>1465</v>
      </c>
      <c r="C1466" s="6" t="s">
        <v>3270</v>
      </c>
      <c r="D1466" s="6" t="s">
        <v>5391</v>
      </c>
      <c r="E1466" s="6">
        <v>2820</v>
      </c>
      <c r="F1466" s="6" t="s">
        <v>1796</v>
      </c>
      <c r="G1466" s="6">
        <v>740</v>
      </c>
      <c r="H1466" s="6" t="s">
        <v>100</v>
      </c>
      <c r="I1466" s="6" t="s">
        <v>5405</v>
      </c>
      <c r="J1466" s="6" t="s">
        <v>5406</v>
      </c>
      <c r="K1466" s="6" t="s">
        <v>3331</v>
      </c>
      <c r="L1466" s="6">
        <v>16826098</v>
      </c>
      <c r="M1466" s="6" t="s">
        <v>1792</v>
      </c>
      <c r="N1466" s="6" t="s">
        <v>1794</v>
      </c>
      <c r="O1466" s="6" t="s">
        <v>21</v>
      </c>
      <c r="P1466" s="6" t="s">
        <v>21</v>
      </c>
      <c r="Q1466" s="6" t="s">
        <v>3332</v>
      </c>
      <c r="R1466" s="8" t="s">
        <v>1808</v>
      </c>
      <c r="S1466" s="6"/>
    </row>
    <row r="1467" spans="1:19" ht="25.5" x14ac:dyDescent="0.25">
      <c r="A1467" s="5" t="s">
        <v>3872</v>
      </c>
      <c r="B1467" s="5">
        <v>1466</v>
      </c>
      <c r="C1467" s="6" t="s">
        <v>3271</v>
      </c>
      <c r="D1467" s="6" t="s">
        <v>5391</v>
      </c>
      <c r="E1467" s="6">
        <v>2820</v>
      </c>
      <c r="F1467" s="6" t="s">
        <v>1796</v>
      </c>
      <c r="G1467" s="6">
        <v>740</v>
      </c>
      <c r="H1467" s="6" t="s">
        <v>100</v>
      </c>
      <c r="I1467" s="6" t="s">
        <v>5407</v>
      </c>
      <c r="J1467" s="6" t="s">
        <v>5408</v>
      </c>
      <c r="K1467" s="6" t="s">
        <v>3331</v>
      </c>
      <c r="L1467" s="6">
        <v>14891944</v>
      </c>
      <c r="M1467" s="6" t="s">
        <v>1792</v>
      </c>
      <c r="N1467" s="6" t="s">
        <v>1794</v>
      </c>
      <c r="O1467" s="6" t="s">
        <v>21</v>
      </c>
      <c r="P1467" s="6" t="s">
        <v>21</v>
      </c>
      <c r="Q1467" s="6" t="s">
        <v>3332</v>
      </c>
      <c r="R1467" s="8" t="s">
        <v>1808</v>
      </c>
      <c r="S1467" s="6"/>
    </row>
    <row r="1468" spans="1:19" ht="25.5" x14ac:dyDescent="0.25">
      <c r="A1468" s="5" t="s">
        <v>3872</v>
      </c>
      <c r="B1468" s="5">
        <v>1467</v>
      </c>
      <c r="C1468" s="6" t="s">
        <v>3272</v>
      </c>
      <c r="D1468" s="6" t="s">
        <v>5391</v>
      </c>
      <c r="E1468" s="6">
        <v>2854</v>
      </c>
      <c r="F1468" s="6" t="s">
        <v>1724</v>
      </c>
      <c r="G1468" s="6">
        <v>928</v>
      </c>
      <c r="H1468" s="6" t="s">
        <v>330</v>
      </c>
      <c r="I1468" s="6" t="s">
        <v>5409</v>
      </c>
      <c r="J1468" s="6" t="s">
        <v>3904</v>
      </c>
      <c r="K1468" s="6" t="s">
        <v>3331</v>
      </c>
      <c r="L1468" s="6">
        <v>38875261</v>
      </c>
      <c r="M1468" s="6" t="s">
        <v>1792</v>
      </c>
      <c r="N1468" s="6" t="s">
        <v>1784</v>
      </c>
      <c r="O1468" s="6">
        <v>4034</v>
      </c>
      <c r="P1468" s="6" t="s">
        <v>21</v>
      </c>
      <c r="Q1468" s="6" t="s">
        <v>3332</v>
      </c>
      <c r="R1468" s="8" t="s">
        <v>1808</v>
      </c>
      <c r="S1468" s="6"/>
    </row>
    <row r="1469" spans="1:19" ht="25.5" x14ac:dyDescent="0.25">
      <c r="A1469" s="5" t="s">
        <v>3872</v>
      </c>
      <c r="B1469" s="5">
        <v>1468</v>
      </c>
      <c r="C1469" s="6" t="s">
        <v>3273</v>
      </c>
      <c r="D1469" s="6" t="s">
        <v>5391</v>
      </c>
      <c r="E1469" s="6">
        <v>2888</v>
      </c>
      <c r="F1469" s="6" t="s">
        <v>1215</v>
      </c>
      <c r="G1469" s="6">
        <v>1105</v>
      </c>
      <c r="H1469" s="6" t="s">
        <v>119</v>
      </c>
      <c r="I1469" s="6" t="s">
        <v>5410</v>
      </c>
      <c r="J1469" s="6" t="s">
        <v>5411</v>
      </c>
      <c r="K1469" s="6" t="s">
        <v>3331</v>
      </c>
      <c r="L1469" s="6">
        <v>66817413</v>
      </c>
      <c r="M1469" s="6" t="s">
        <v>1792</v>
      </c>
      <c r="N1469" s="6" t="s">
        <v>1794</v>
      </c>
      <c r="O1469" s="6" t="s">
        <v>21</v>
      </c>
      <c r="P1469" s="6" t="s">
        <v>21</v>
      </c>
      <c r="Q1469" s="6" t="s">
        <v>3332</v>
      </c>
      <c r="R1469" s="8" t="s">
        <v>1808</v>
      </c>
      <c r="S1469" s="6"/>
    </row>
    <row r="1470" spans="1:19" ht="25.5" x14ac:dyDescent="0.25">
      <c r="A1470" s="5" t="s">
        <v>3872</v>
      </c>
      <c r="B1470" s="5">
        <v>1469</v>
      </c>
      <c r="C1470" s="6" t="s">
        <v>3274</v>
      </c>
      <c r="D1470" s="6" t="s">
        <v>5391</v>
      </c>
      <c r="E1470" s="6">
        <v>2888</v>
      </c>
      <c r="F1470" s="6" t="s">
        <v>1215</v>
      </c>
      <c r="G1470" s="6">
        <v>1105</v>
      </c>
      <c r="H1470" s="6" t="s">
        <v>119</v>
      </c>
      <c r="I1470" s="6" t="s">
        <v>5412</v>
      </c>
      <c r="J1470" s="6" t="s">
        <v>5413</v>
      </c>
      <c r="K1470" s="6" t="s">
        <v>3331</v>
      </c>
      <c r="L1470" s="6">
        <v>94402262</v>
      </c>
      <c r="M1470" s="6" t="s">
        <v>1792</v>
      </c>
      <c r="N1470" s="6" t="s">
        <v>1784</v>
      </c>
      <c r="O1470" s="6">
        <v>4484</v>
      </c>
      <c r="P1470" s="6" t="s">
        <v>21</v>
      </c>
      <c r="Q1470" s="6" t="s">
        <v>3332</v>
      </c>
      <c r="R1470" s="8" t="s">
        <v>1808</v>
      </c>
      <c r="S1470" s="6"/>
    </row>
    <row r="1471" spans="1:19" ht="25.5" x14ac:dyDescent="0.25">
      <c r="A1471" s="5" t="s">
        <v>3872</v>
      </c>
      <c r="B1471" s="5">
        <v>1470</v>
      </c>
      <c r="C1471" s="6" t="s">
        <v>3275</v>
      </c>
      <c r="D1471" s="6" t="s">
        <v>5391</v>
      </c>
      <c r="E1471" s="6">
        <v>13</v>
      </c>
      <c r="F1471" s="6" t="s">
        <v>1146</v>
      </c>
      <c r="G1471" s="6">
        <v>1182</v>
      </c>
      <c r="H1471" s="6" t="s">
        <v>1147</v>
      </c>
      <c r="I1471" s="6" t="s">
        <v>5414</v>
      </c>
      <c r="J1471" s="6" t="s">
        <v>5415</v>
      </c>
      <c r="K1471" s="6" t="s">
        <v>3331</v>
      </c>
      <c r="L1471" s="6">
        <v>31949626</v>
      </c>
      <c r="M1471" s="6" t="s">
        <v>1792</v>
      </c>
      <c r="N1471" s="6" t="s">
        <v>1784</v>
      </c>
      <c r="O1471" s="6">
        <v>2346</v>
      </c>
      <c r="P1471" s="6" t="s">
        <v>21</v>
      </c>
      <c r="Q1471" s="6" t="s">
        <v>3332</v>
      </c>
      <c r="R1471" s="8" t="s">
        <v>1808</v>
      </c>
      <c r="S1471" s="6"/>
    </row>
    <row r="1472" spans="1:19" ht="25.5" x14ac:dyDescent="0.25">
      <c r="A1472" s="5" t="s">
        <v>3872</v>
      </c>
      <c r="B1472" s="5">
        <v>1471</v>
      </c>
      <c r="C1472" s="6" t="s">
        <v>3276</v>
      </c>
      <c r="D1472" s="6" t="s">
        <v>5391</v>
      </c>
      <c r="E1472" s="6">
        <v>22</v>
      </c>
      <c r="F1472" s="6" t="s">
        <v>1797</v>
      </c>
      <c r="G1472" s="6">
        <v>1201</v>
      </c>
      <c r="H1472" s="6" t="s">
        <v>1093</v>
      </c>
      <c r="I1472" s="6" t="s">
        <v>5416</v>
      </c>
      <c r="J1472" s="6" t="s">
        <v>5417</v>
      </c>
      <c r="K1472" s="6" t="s">
        <v>3331</v>
      </c>
      <c r="L1472" s="6">
        <v>94449484</v>
      </c>
      <c r="M1472" s="6" t="s">
        <v>1792</v>
      </c>
      <c r="N1472" s="6" t="s">
        <v>1798</v>
      </c>
      <c r="O1472" s="6" t="s">
        <v>21</v>
      </c>
      <c r="P1472" s="6" t="s">
        <v>21</v>
      </c>
      <c r="Q1472" s="6" t="s">
        <v>3332</v>
      </c>
      <c r="R1472" s="8" t="s">
        <v>1808</v>
      </c>
      <c r="S1472" s="6"/>
    </row>
    <row r="1473" spans="1:19" ht="25.5" x14ac:dyDescent="0.25">
      <c r="A1473" s="5" t="s">
        <v>3872</v>
      </c>
      <c r="B1473" s="5">
        <v>1472</v>
      </c>
      <c r="C1473" s="6" t="s">
        <v>3277</v>
      </c>
      <c r="D1473" s="6" t="s">
        <v>5391</v>
      </c>
      <c r="E1473" s="6">
        <v>27</v>
      </c>
      <c r="F1473" s="6" t="s">
        <v>1799</v>
      </c>
      <c r="G1473" s="6">
        <v>1228</v>
      </c>
      <c r="H1473" s="6" t="s">
        <v>349</v>
      </c>
      <c r="I1473" s="6" t="s">
        <v>5418</v>
      </c>
      <c r="J1473" s="6" t="s">
        <v>5419</v>
      </c>
      <c r="K1473" s="6" t="s">
        <v>3331</v>
      </c>
      <c r="L1473" s="6">
        <v>94450200</v>
      </c>
      <c r="M1473" s="6" t="s">
        <v>1792</v>
      </c>
      <c r="N1473" s="6" t="s">
        <v>1784</v>
      </c>
      <c r="O1473" s="6">
        <v>4479</v>
      </c>
      <c r="P1473" s="6" t="s">
        <v>21</v>
      </c>
      <c r="Q1473" s="6" t="s">
        <v>3332</v>
      </c>
      <c r="R1473" s="8" t="s">
        <v>1808</v>
      </c>
      <c r="S1473" s="6"/>
    </row>
    <row r="1474" spans="1:19" ht="25.5" x14ac:dyDescent="0.25">
      <c r="A1474" s="5" t="s">
        <v>3872</v>
      </c>
      <c r="B1474" s="5">
        <v>1473</v>
      </c>
      <c r="C1474" s="6" t="s">
        <v>3278</v>
      </c>
      <c r="D1474" s="6" t="s">
        <v>5391</v>
      </c>
      <c r="E1474" s="6">
        <v>27</v>
      </c>
      <c r="F1474" s="6" t="s">
        <v>1799</v>
      </c>
      <c r="G1474" s="6">
        <v>1228</v>
      </c>
      <c r="H1474" s="6" t="s">
        <v>349</v>
      </c>
      <c r="I1474" s="6" t="s">
        <v>5420</v>
      </c>
      <c r="J1474" s="6" t="s">
        <v>3461</v>
      </c>
      <c r="K1474" s="6" t="s">
        <v>3331</v>
      </c>
      <c r="L1474" s="6">
        <v>16796472</v>
      </c>
      <c r="M1474" s="6" t="s">
        <v>1792</v>
      </c>
      <c r="N1474" s="6" t="s">
        <v>1784</v>
      </c>
      <c r="O1474" s="6">
        <v>4484</v>
      </c>
      <c r="P1474" s="6" t="s">
        <v>21</v>
      </c>
      <c r="Q1474" s="6" t="s">
        <v>3332</v>
      </c>
      <c r="R1474" s="8" t="s">
        <v>1808</v>
      </c>
      <c r="S1474" s="6"/>
    </row>
    <row r="1475" spans="1:19" ht="25.5" x14ac:dyDescent="0.25">
      <c r="A1475" s="5" t="s">
        <v>3872</v>
      </c>
      <c r="B1475" s="5">
        <v>1474</v>
      </c>
      <c r="C1475" s="6" t="s">
        <v>3279</v>
      </c>
      <c r="D1475" s="6" t="s">
        <v>5391</v>
      </c>
      <c r="E1475" s="6">
        <v>34</v>
      </c>
      <c r="F1475" s="6" t="s">
        <v>1800</v>
      </c>
      <c r="G1475" s="6">
        <v>1295</v>
      </c>
      <c r="H1475" s="6" t="s">
        <v>367</v>
      </c>
      <c r="I1475" s="6" t="s">
        <v>5421</v>
      </c>
      <c r="J1475" s="6" t="s">
        <v>4370</v>
      </c>
      <c r="K1475" s="6" t="s">
        <v>3331</v>
      </c>
      <c r="L1475" s="6">
        <v>94396504</v>
      </c>
      <c r="M1475" s="6" t="s">
        <v>1792</v>
      </c>
      <c r="N1475" s="6" t="s">
        <v>1784</v>
      </c>
      <c r="O1475" s="6">
        <v>4653</v>
      </c>
      <c r="P1475" s="6" t="s">
        <v>21</v>
      </c>
      <c r="Q1475" s="6" t="s">
        <v>3332</v>
      </c>
      <c r="R1475" s="8" t="s">
        <v>1808</v>
      </c>
      <c r="S1475" s="6"/>
    </row>
    <row r="1476" spans="1:19" ht="25.5" x14ac:dyDescent="0.25">
      <c r="A1476" s="5" t="s">
        <v>3872</v>
      </c>
      <c r="B1476" s="5">
        <v>1475</v>
      </c>
      <c r="C1476" s="6" t="s">
        <v>3280</v>
      </c>
      <c r="D1476" s="6" t="s">
        <v>5391</v>
      </c>
      <c r="E1476" s="6">
        <v>34</v>
      </c>
      <c r="F1476" s="6" t="s">
        <v>1800</v>
      </c>
      <c r="G1476" s="6">
        <v>1295</v>
      </c>
      <c r="H1476" s="6" t="s">
        <v>367</v>
      </c>
      <c r="I1476" s="6" t="s">
        <v>5422</v>
      </c>
      <c r="J1476" s="6" t="s">
        <v>5423</v>
      </c>
      <c r="K1476" s="6" t="s">
        <v>3331</v>
      </c>
      <c r="L1476" s="6">
        <v>16890591</v>
      </c>
      <c r="M1476" s="6" t="s">
        <v>1792</v>
      </c>
      <c r="N1476" s="6" t="s">
        <v>1784</v>
      </c>
      <c r="O1476" s="6">
        <v>4779</v>
      </c>
      <c r="P1476" s="6" t="s">
        <v>21</v>
      </c>
      <c r="Q1476" s="6" t="s">
        <v>3332</v>
      </c>
      <c r="R1476" s="8" t="s">
        <v>1808</v>
      </c>
      <c r="S1476" s="6"/>
    </row>
    <row r="1477" spans="1:19" ht="25.5" x14ac:dyDescent="0.25">
      <c r="A1477" s="5" t="s">
        <v>3872</v>
      </c>
      <c r="B1477" s="5">
        <v>1476</v>
      </c>
      <c r="C1477" s="6" t="s">
        <v>3281</v>
      </c>
      <c r="D1477" s="6" t="s">
        <v>5391</v>
      </c>
      <c r="E1477" s="6">
        <v>34</v>
      </c>
      <c r="F1477" s="6" t="s">
        <v>1800</v>
      </c>
      <c r="G1477" s="6">
        <v>1295</v>
      </c>
      <c r="H1477" s="6" t="s">
        <v>367</v>
      </c>
      <c r="I1477" s="6" t="s">
        <v>5424</v>
      </c>
      <c r="J1477" s="6" t="s">
        <v>5425</v>
      </c>
      <c r="K1477" s="6" t="s">
        <v>3331</v>
      </c>
      <c r="L1477" s="6">
        <v>94430420</v>
      </c>
      <c r="M1477" s="6" t="s">
        <v>1792</v>
      </c>
      <c r="N1477" s="6" t="s">
        <v>1784</v>
      </c>
      <c r="O1477" s="6">
        <v>4779</v>
      </c>
      <c r="P1477" s="6" t="s">
        <v>21</v>
      </c>
      <c r="Q1477" s="6" t="s">
        <v>3332</v>
      </c>
      <c r="R1477" s="8" t="s">
        <v>1808</v>
      </c>
      <c r="S1477" s="6"/>
    </row>
    <row r="1478" spans="1:19" ht="25.5" x14ac:dyDescent="0.25">
      <c r="A1478" s="5" t="s">
        <v>3872</v>
      </c>
      <c r="B1478" s="5">
        <v>1477</v>
      </c>
      <c r="C1478" s="6" t="s">
        <v>3282</v>
      </c>
      <c r="D1478" s="6" t="s">
        <v>5391</v>
      </c>
      <c r="E1478" s="6">
        <v>34</v>
      </c>
      <c r="F1478" s="6" t="s">
        <v>1800</v>
      </c>
      <c r="G1478" s="6">
        <v>1295</v>
      </c>
      <c r="H1478" s="6" t="s">
        <v>367</v>
      </c>
      <c r="I1478" s="6" t="s">
        <v>5426</v>
      </c>
      <c r="J1478" s="6" t="s">
        <v>5427</v>
      </c>
      <c r="K1478" s="6" t="s">
        <v>3331</v>
      </c>
      <c r="L1478" s="6">
        <v>10558210</v>
      </c>
      <c r="M1478" s="6" t="s">
        <v>1792</v>
      </c>
      <c r="N1478" s="6" t="s">
        <v>1784</v>
      </c>
      <c r="O1478" s="6">
        <v>4823</v>
      </c>
      <c r="P1478" s="6" t="s">
        <v>21</v>
      </c>
      <c r="Q1478" s="6" t="s">
        <v>3332</v>
      </c>
      <c r="R1478" s="8" t="s">
        <v>1808</v>
      </c>
      <c r="S1478" s="6"/>
    </row>
    <row r="1479" spans="1:19" ht="25.5" x14ac:dyDescent="0.25">
      <c r="A1479" s="5" t="s">
        <v>3872</v>
      </c>
      <c r="B1479" s="5">
        <v>1478</v>
      </c>
      <c r="C1479" s="6" t="s">
        <v>3283</v>
      </c>
      <c r="D1479" s="6" t="s">
        <v>5391</v>
      </c>
      <c r="E1479" s="6">
        <v>34</v>
      </c>
      <c r="F1479" s="6" t="s">
        <v>1800</v>
      </c>
      <c r="G1479" s="6">
        <v>1295</v>
      </c>
      <c r="H1479" s="6" t="s">
        <v>367</v>
      </c>
      <c r="I1479" s="6" t="s">
        <v>5428</v>
      </c>
      <c r="J1479" s="6" t="s">
        <v>4111</v>
      </c>
      <c r="K1479" s="6" t="s">
        <v>3331</v>
      </c>
      <c r="L1479" s="6">
        <v>16503246</v>
      </c>
      <c r="M1479" s="6" t="s">
        <v>1792</v>
      </c>
      <c r="N1479" s="6" t="s">
        <v>1784</v>
      </c>
      <c r="O1479" s="6">
        <v>4779</v>
      </c>
      <c r="P1479" s="6" t="s">
        <v>21</v>
      </c>
      <c r="Q1479" s="6" t="s">
        <v>3332</v>
      </c>
      <c r="R1479" s="8" t="s">
        <v>1808</v>
      </c>
      <c r="S1479" s="6"/>
    </row>
    <row r="1480" spans="1:19" ht="25.5" x14ac:dyDescent="0.25">
      <c r="A1480" s="5" t="s">
        <v>3872</v>
      </c>
      <c r="B1480" s="5">
        <v>1479</v>
      </c>
      <c r="C1480" s="6" t="s">
        <v>3284</v>
      </c>
      <c r="D1480" s="6" t="s">
        <v>5391</v>
      </c>
      <c r="E1480" s="6">
        <v>56</v>
      </c>
      <c r="F1480" s="6" t="s">
        <v>1801</v>
      </c>
      <c r="G1480" s="6">
        <v>1334</v>
      </c>
      <c r="H1480" s="6" t="s">
        <v>622</v>
      </c>
      <c r="I1480" s="6" t="s">
        <v>5429</v>
      </c>
      <c r="J1480" s="6" t="s">
        <v>5430</v>
      </c>
      <c r="K1480" s="6" t="s">
        <v>3331</v>
      </c>
      <c r="L1480" s="6">
        <v>16731656</v>
      </c>
      <c r="M1480" s="6" t="s">
        <v>1792</v>
      </c>
      <c r="N1480" s="6" t="s">
        <v>1784</v>
      </c>
      <c r="O1480" s="6">
        <v>3609</v>
      </c>
      <c r="P1480" s="6" t="s">
        <v>21</v>
      </c>
      <c r="Q1480" s="6" t="s">
        <v>3332</v>
      </c>
      <c r="R1480" s="8" t="s">
        <v>1808</v>
      </c>
      <c r="S1480" s="6"/>
    </row>
    <row r="1481" spans="1:19" ht="25.5" x14ac:dyDescent="0.25">
      <c r="A1481" s="5" t="s">
        <v>3872</v>
      </c>
      <c r="B1481" s="5">
        <v>1480</v>
      </c>
      <c r="C1481" s="6" t="s">
        <v>3285</v>
      </c>
      <c r="D1481" s="6" t="s">
        <v>5391</v>
      </c>
      <c r="E1481" s="6">
        <v>53</v>
      </c>
      <c r="F1481" s="6" t="s">
        <v>1601</v>
      </c>
      <c r="G1481" s="6">
        <v>1709</v>
      </c>
      <c r="H1481" s="6" t="s">
        <v>224</v>
      </c>
      <c r="I1481" s="6" t="s">
        <v>5431</v>
      </c>
      <c r="J1481" s="6" t="s">
        <v>5432</v>
      </c>
      <c r="K1481" s="6" t="s">
        <v>3331</v>
      </c>
      <c r="L1481" s="6">
        <v>1130659035</v>
      </c>
      <c r="M1481" s="6" t="s">
        <v>269</v>
      </c>
      <c r="N1481" s="6" t="s">
        <v>270</v>
      </c>
      <c r="O1481" s="6">
        <v>207640</v>
      </c>
      <c r="P1481" s="6" t="s">
        <v>1802</v>
      </c>
      <c r="Q1481" s="6" t="s">
        <v>3332</v>
      </c>
      <c r="R1481" s="8" t="s">
        <v>1808</v>
      </c>
      <c r="S1481" s="6"/>
    </row>
    <row r="1482" spans="1:19" ht="25.5" x14ac:dyDescent="0.25">
      <c r="A1482" s="5" t="s">
        <v>3872</v>
      </c>
      <c r="B1482" s="5">
        <v>1481</v>
      </c>
      <c r="C1482" s="6" t="s">
        <v>3286</v>
      </c>
      <c r="D1482" s="6" t="s">
        <v>5391</v>
      </c>
      <c r="E1482" s="6">
        <v>2771</v>
      </c>
      <c r="F1482" s="6" t="s">
        <v>1803</v>
      </c>
      <c r="G1482" s="6">
        <v>383</v>
      </c>
      <c r="H1482" s="6" t="s">
        <v>76</v>
      </c>
      <c r="I1482" s="6" t="s">
        <v>5433</v>
      </c>
      <c r="J1482" s="6" t="s">
        <v>5434</v>
      </c>
      <c r="K1482" s="6" t="s">
        <v>3331</v>
      </c>
      <c r="L1482" s="6">
        <v>16476012</v>
      </c>
      <c r="M1482" s="6" t="s">
        <v>1783</v>
      </c>
      <c r="N1482" s="6" t="s">
        <v>1794</v>
      </c>
      <c r="O1482" s="6" t="s">
        <v>21</v>
      </c>
      <c r="P1482" s="6" t="s">
        <v>21</v>
      </c>
      <c r="Q1482" s="6" t="s">
        <v>3332</v>
      </c>
      <c r="R1482" s="8" t="s">
        <v>1808</v>
      </c>
      <c r="S1482" s="6"/>
    </row>
    <row r="1483" spans="1:19" ht="25.5" x14ac:dyDescent="0.25">
      <c r="A1483" s="5" t="s">
        <v>3872</v>
      </c>
      <c r="B1483" s="5">
        <v>1482</v>
      </c>
      <c r="C1483" s="6" t="s">
        <v>3287</v>
      </c>
      <c r="D1483" s="6" t="s">
        <v>5391</v>
      </c>
      <c r="E1483" s="6">
        <v>2809</v>
      </c>
      <c r="F1483" s="6" t="s">
        <v>1795</v>
      </c>
      <c r="G1483" s="6">
        <v>681</v>
      </c>
      <c r="H1483" s="6" t="s">
        <v>882</v>
      </c>
      <c r="I1483" s="6" t="s">
        <v>5435</v>
      </c>
      <c r="J1483" s="6" t="s">
        <v>5436</v>
      </c>
      <c r="K1483" s="6" t="s">
        <v>3331</v>
      </c>
      <c r="L1483" s="6">
        <v>16653729</v>
      </c>
      <c r="M1483" s="6" t="s">
        <v>1783</v>
      </c>
      <c r="N1483" s="6" t="s">
        <v>1794</v>
      </c>
      <c r="O1483" s="6" t="s">
        <v>21</v>
      </c>
      <c r="P1483" s="6" t="s">
        <v>21</v>
      </c>
      <c r="Q1483" s="6" t="s">
        <v>3332</v>
      </c>
      <c r="R1483" s="8" t="s">
        <v>1808</v>
      </c>
      <c r="S1483" s="6"/>
    </row>
    <row r="1484" spans="1:19" ht="25.5" x14ac:dyDescent="0.25">
      <c r="A1484" s="5" t="s">
        <v>3872</v>
      </c>
      <c r="B1484" s="5">
        <v>1483</v>
      </c>
      <c r="C1484" s="6" t="s">
        <v>3288</v>
      </c>
      <c r="D1484" s="6" t="s">
        <v>5391</v>
      </c>
      <c r="E1484" s="6">
        <v>2809</v>
      </c>
      <c r="F1484" s="6" t="s">
        <v>1795</v>
      </c>
      <c r="G1484" s="6">
        <v>681</v>
      </c>
      <c r="H1484" s="6" t="s">
        <v>882</v>
      </c>
      <c r="I1484" s="6" t="s">
        <v>5437</v>
      </c>
      <c r="J1484" s="6" t="s">
        <v>5438</v>
      </c>
      <c r="K1484" s="6" t="s">
        <v>3331</v>
      </c>
      <c r="L1484" s="6">
        <v>31265595</v>
      </c>
      <c r="M1484" s="6" t="s">
        <v>1783</v>
      </c>
      <c r="N1484" s="6" t="s">
        <v>1794</v>
      </c>
      <c r="O1484" s="6" t="s">
        <v>21</v>
      </c>
      <c r="P1484" s="6" t="s">
        <v>21</v>
      </c>
      <c r="Q1484" s="6" t="s">
        <v>3332</v>
      </c>
      <c r="R1484" s="8" t="s">
        <v>1808</v>
      </c>
      <c r="S1484" s="6"/>
    </row>
    <row r="1485" spans="1:19" ht="25.5" x14ac:dyDescent="0.25">
      <c r="A1485" s="5" t="s">
        <v>3872</v>
      </c>
      <c r="B1485" s="5">
        <v>1484</v>
      </c>
      <c r="C1485" s="6" t="s">
        <v>3289</v>
      </c>
      <c r="D1485" s="6" t="s">
        <v>5391</v>
      </c>
      <c r="E1485" s="6">
        <v>2809</v>
      </c>
      <c r="F1485" s="6" t="s">
        <v>1795</v>
      </c>
      <c r="G1485" s="6">
        <v>681</v>
      </c>
      <c r="H1485" s="6" t="s">
        <v>882</v>
      </c>
      <c r="I1485" s="6" t="s">
        <v>5439</v>
      </c>
      <c r="J1485" s="6" t="s">
        <v>5440</v>
      </c>
      <c r="K1485" s="6" t="s">
        <v>3331</v>
      </c>
      <c r="L1485" s="6">
        <v>29328063</v>
      </c>
      <c r="M1485" s="6" t="s">
        <v>1783</v>
      </c>
      <c r="N1485" s="6" t="s">
        <v>1794</v>
      </c>
      <c r="O1485" s="6" t="s">
        <v>21</v>
      </c>
      <c r="P1485" s="6" t="s">
        <v>21</v>
      </c>
      <c r="Q1485" s="6" t="s">
        <v>3332</v>
      </c>
      <c r="R1485" s="8" t="s">
        <v>1808</v>
      </c>
      <c r="S1485" s="6"/>
    </row>
    <row r="1486" spans="1:19" ht="25.5" x14ac:dyDescent="0.25">
      <c r="A1486" s="5" t="s">
        <v>3872</v>
      </c>
      <c r="B1486" s="5">
        <v>1485</v>
      </c>
      <c r="C1486" s="6" t="s">
        <v>3290</v>
      </c>
      <c r="D1486" s="6" t="s">
        <v>5391</v>
      </c>
      <c r="E1486" s="6">
        <v>2821</v>
      </c>
      <c r="F1486" s="6" t="s">
        <v>1796</v>
      </c>
      <c r="G1486" s="6">
        <v>740</v>
      </c>
      <c r="H1486" s="6" t="s">
        <v>100</v>
      </c>
      <c r="I1486" s="6" t="s">
        <v>5441</v>
      </c>
      <c r="J1486" s="6" t="s">
        <v>5442</v>
      </c>
      <c r="K1486" s="6" t="s">
        <v>3331</v>
      </c>
      <c r="L1486" s="6">
        <v>38858221</v>
      </c>
      <c r="M1486" s="6" t="s">
        <v>1804</v>
      </c>
      <c r="N1486" s="6" t="s">
        <v>1798</v>
      </c>
      <c r="O1486" s="6" t="s">
        <v>21</v>
      </c>
      <c r="P1486" s="6" t="s">
        <v>21</v>
      </c>
      <c r="Q1486" s="6" t="s">
        <v>3332</v>
      </c>
      <c r="R1486" s="8" t="s">
        <v>1808</v>
      </c>
      <c r="S1486" s="6"/>
    </row>
    <row r="1487" spans="1:19" ht="25.5" x14ac:dyDescent="0.25">
      <c r="A1487" s="5" t="s">
        <v>3872</v>
      </c>
      <c r="B1487" s="5">
        <v>1486</v>
      </c>
      <c r="C1487" s="6" t="s">
        <v>3291</v>
      </c>
      <c r="D1487" s="6" t="s">
        <v>5391</v>
      </c>
      <c r="E1487" s="6">
        <v>2860</v>
      </c>
      <c r="F1487" s="6" t="s">
        <v>1141</v>
      </c>
      <c r="G1487" s="6">
        <v>957</v>
      </c>
      <c r="H1487" s="6" t="s">
        <v>111</v>
      </c>
      <c r="I1487" s="6" t="s">
        <v>5443</v>
      </c>
      <c r="J1487" s="6" t="s">
        <v>5354</v>
      </c>
      <c r="K1487" s="6" t="s">
        <v>3331</v>
      </c>
      <c r="L1487" s="6">
        <v>16546215</v>
      </c>
      <c r="M1487" s="6" t="s">
        <v>1783</v>
      </c>
      <c r="N1487" s="6" t="s">
        <v>1784</v>
      </c>
      <c r="O1487" s="6" t="s">
        <v>21</v>
      </c>
      <c r="P1487" s="6" t="s">
        <v>21</v>
      </c>
      <c r="Q1487" s="6" t="s">
        <v>3332</v>
      </c>
      <c r="R1487" s="8" t="s">
        <v>1808</v>
      </c>
      <c r="S1487" s="6"/>
    </row>
    <row r="1488" spans="1:19" ht="25.5" x14ac:dyDescent="0.25">
      <c r="A1488" s="5" t="s">
        <v>3872</v>
      </c>
      <c r="B1488" s="5">
        <v>1487</v>
      </c>
      <c r="C1488" s="6" t="s">
        <v>3292</v>
      </c>
      <c r="D1488" s="6" t="s">
        <v>5391</v>
      </c>
      <c r="E1488" s="6">
        <v>34</v>
      </c>
      <c r="F1488" s="6" t="s">
        <v>1800</v>
      </c>
      <c r="G1488" s="6">
        <v>1295</v>
      </c>
      <c r="H1488" s="6" t="s">
        <v>367</v>
      </c>
      <c r="I1488" s="6" t="s">
        <v>4017</v>
      </c>
      <c r="J1488" s="6" t="s">
        <v>4722</v>
      </c>
      <c r="K1488" s="6" t="s">
        <v>3331</v>
      </c>
      <c r="L1488" s="6">
        <v>31284978</v>
      </c>
      <c r="M1488" s="6" t="s">
        <v>1783</v>
      </c>
      <c r="N1488" s="6" t="s">
        <v>1784</v>
      </c>
      <c r="O1488" s="6">
        <v>1453</v>
      </c>
      <c r="P1488" s="6" t="s">
        <v>21</v>
      </c>
      <c r="Q1488" s="6" t="s">
        <v>3332</v>
      </c>
      <c r="R1488" s="8" t="s">
        <v>1808</v>
      </c>
      <c r="S1488" s="6"/>
    </row>
    <row r="1489" spans="1:19" ht="25.5" x14ac:dyDescent="0.25">
      <c r="A1489" s="5" t="s">
        <v>3872</v>
      </c>
      <c r="B1489" s="5">
        <v>1488</v>
      </c>
      <c r="C1489" s="6" t="s">
        <v>3293</v>
      </c>
      <c r="D1489" s="6" t="s">
        <v>5391</v>
      </c>
      <c r="E1489" s="6">
        <v>50</v>
      </c>
      <c r="F1489" s="6" t="s">
        <v>1801</v>
      </c>
      <c r="G1489" s="6">
        <v>1334</v>
      </c>
      <c r="H1489" s="6" t="s">
        <v>622</v>
      </c>
      <c r="I1489" s="6" t="s">
        <v>5444</v>
      </c>
      <c r="J1489" s="6" t="s">
        <v>5445</v>
      </c>
      <c r="K1489" s="6" t="s">
        <v>3331</v>
      </c>
      <c r="L1489" s="6">
        <v>16988542</v>
      </c>
      <c r="M1489" s="6" t="s">
        <v>1804</v>
      </c>
      <c r="N1489" s="6" t="s">
        <v>1798</v>
      </c>
      <c r="O1489" s="6" t="s">
        <v>21</v>
      </c>
      <c r="P1489" s="6" t="s">
        <v>21</v>
      </c>
      <c r="Q1489" s="6" t="s">
        <v>3332</v>
      </c>
      <c r="R1489" s="8" t="s">
        <v>1808</v>
      </c>
      <c r="S1489" s="6"/>
    </row>
    <row r="1490" spans="1:19" ht="25.5" x14ac:dyDescent="0.25">
      <c r="A1490" s="5" t="s">
        <v>3872</v>
      </c>
      <c r="B1490" s="5">
        <v>1489</v>
      </c>
      <c r="C1490" s="6" t="s">
        <v>3294</v>
      </c>
      <c r="D1490" s="6" t="s">
        <v>5391</v>
      </c>
      <c r="E1490" s="6">
        <v>2810</v>
      </c>
      <c r="F1490" s="6" t="s">
        <v>1795</v>
      </c>
      <c r="G1490" s="6">
        <v>681</v>
      </c>
      <c r="H1490" s="6" t="s">
        <v>882</v>
      </c>
      <c r="I1490" s="6" t="s">
        <v>5446</v>
      </c>
      <c r="J1490" s="6" t="s">
        <v>5447</v>
      </c>
      <c r="K1490" s="6" t="s">
        <v>3331</v>
      </c>
      <c r="L1490" s="6">
        <v>16610569</v>
      </c>
      <c r="M1490" s="6" t="s">
        <v>1804</v>
      </c>
      <c r="N1490" s="6" t="s">
        <v>1798</v>
      </c>
      <c r="O1490" s="6" t="s">
        <v>21</v>
      </c>
      <c r="P1490" s="6" t="s">
        <v>21</v>
      </c>
      <c r="Q1490" s="6" t="s">
        <v>3332</v>
      </c>
      <c r="R1490" s="8" t="s">
        <v>1808</v>
      </c>
      <c r="S1490" s="6"/>
    </row>
    <row r="1491" spans="1:19" ht="25.5" x14ac:dyDescent="0.25">
      <c r="A1491" s="5" t="s">
        <v>3872</v>
      </c>
      <c r="B1491" s="5">
        <v>1490</v>
      </c>
      <c r="C1491" s="6" t="s">
        <v>3295</v>
      </c>
      <c r="D1491" s="6" t="s">
        <v>5391</v>
      </c>
      <c r="E1491" s="6">
        <v>2810</v>
      </c>
      <c r="F1491" s="6" t="s">
        <v>1795</v>
      </c>
      <c r="G1491" s="6">
        <v>681</v>
      </c>
      <c r="H1491" s="6" t="s">
        <v>882</v>
      </c>
      <c r="I1491" s="6" t="s">
        <v>5448</v>
      </c>
      <c r="J1491" s="6" t="s">
        <v>5449</v>
      </c>
      <c r="K1491" s="6" t="s">
        <v>3331</v>
      </c>
      <c r="L1491" s="6">
        <v>29083477</v>
      </c>
      <c r="M1491" s="6" t="s">
        <v>1804</v>
      </c>
      <c r="N1491" s="6" t="s">
        <v>1794</v>
      </c>
      <c r="O1491" s="6" t="s">
        <v>21</v>
      </c>
      <c r="P1491" s="6" t="s">
        <v>21</v>
      </c>
      <c r="Q1491" s="6" t="s">
        <v>3332</v>
      </c>
      <c r="R1491" s="8" t="s">
        <v>1808</v>
      </c>
      <c r="S1491" s="6"/>
    </row>
    <row r="1492" spans="1:19" ht="25.5" x14ac:dyDescent="0.25">
      <c r="A1492" s="5" t="s">
        <v>3872</v>
      </c>
      <c r="B1492" s="5">
        <v>1491</v>
      </c>
      <c r="C1492" s="6" t="s">
        <v>3296</v>
      </c>
      <c r="D1492" s="6" t="s">
        <v>5391</v>
      </c>
      <c r="E1492" s="6">
        <v>2810</v>
      </c>
      <c r="F1492" s="6" t="s">
        <v>1795</v>
      </c>
      <c r="G1492" s="6">
        <v>681</v>
      </c>
      <c r="H1492" s="6" t="s">
        <v>882</v>
      </c>
      <c r="I1492" s="6" t="s">
        <v>5450</v>
      </c>
      <c r="J1492" s="6" t="s">
        <v>5451</v>
      </c>
      <c r="K1492" s="6" t="s">
        <v>3331</v>
      </c>
      <c r="L1492" s="6">
        <v>16685637</v>
      </c>
      <c r="M1492" s="6" t="s">
        <v>1804</v>
      </c>
      <c r="N1492" s="6" t="s">
        <v>1798</v>
      </c>
      <c r="O1492" s="6" t="s">
        <v>21</v>
      </c>
      <c r="P1492" s="6" t="s">
        <v>21</v>
      </c>
      <c r="Q1492" s="6" t="s">
        <v>3332</v>
      </c>
      <c r="R1492" s="8" t="s">
        <v>1808</v>
      </c>
      <c r="S1492" s="6"/>
    </row>
    <row r="1493" spans="1:19" ht="25.5" x14ac:dyDescent="0.25">
      <c r="A1493" s="5" t="s">
        <v>3872</v>
      </c>
      <c r="B1493" s="5">
        <v>1492</v>
      </c>
      <c r="C1493" s="6" t="s">
        <v>3297</v>
      </c>
      <c r="D1493" s="6" t="s">
        <v>5391</v>
      </c>
      <c r="E1493" s="6">
        <v>42</v>
      </c>
      <c r="F1493" s="6" t="s">
        <v>1805</v>
      </c>
      <c r="G1493" s="6">
        <v>1265</v>
      </c>
      <c r="H1493" s="6" t="s">
        <v>202</v>
      </c>
      <c r="I1493" s="6" t="s">
        <v>5452</v>
      </c>
      <c r="J1493" s="6" t="s">
        <v>5453</v>
      </c>
      <c r="K1493" s="6" t="s">
        <v>3331</v>
      </c>
      <c r="L1493" s="6">
        <v>1112765554</v>
      </c>
      <c r="M1493" s="6" t="s">
        <v>392</v>
      </c>
      <c r="N1493" s="6" t="s">
        <v>270</v>
      </c>
      <c r="O1493" s="6" t="s">
        <v>5454</v>
      </c>
      <c r="P1493" s="6" t="s">
        <v>1806</v>
      </c>
      <c r="Q1493" s="6" t="s">
        <v>3332</v>
      </c>
      <c r="R1493" s="8" t="s">
        <v>1808</v>
      </c>
      <c r="S1493" s="13"/>
    </row>
    <row r="1494" spans="1:19" ht="25.5" x14ac:dyDescent="0.25">
      <c r="A1494" s="5" t="s">
        <v>3872</v>
      </c>
      <c r="B1494" s="5">
        <v>1493</v>
      </c>
      <c r="C1494" s="6" t="s">
        <v>5455</v>
      </c>
      <c r="D1494" s="6" t="s">
        <v>5456</v>
      </c>
      <c r="E1494" s="6">
        <v>150</v>
      </c>
      <c r="F1494" s="6" t="s">
        <v>289</v>
      </c>
      <c r="G1494" s="6">
        <v>2211</v>
      </c>
      <c r="H1494" s="6" t="s">
        <v>265</v>
      </c>
      <c r="I1494" s="6" t="s">
        <v>5457</v>
      </c>
      <c r="J1494" s="6" t="s">
        <v>5458</v>
      </c>
      <c r="K1494" s="6" t="s">
        <v>3331</v>
      </c>
      <c r="L1494" s="6">
        <v>6893313</v>
      </c>
      <c r="M1494" s="6" t="s">
        <v>5459</v>
      </c>
      <c r="N1494" s="6" t="s">
        <v>1178</v>
      </c>
      <c r="O1494" s="6" t="s">
        <v>21</v>
      </c>
      <c r="P1494" s="7">
        <v>32842</v>
      </c>
      <c r="Q1494" s="6" t="s">
        <v>3332</v>
      </c>
      <c r="R1494" s="8" t="s">
        <v>1808</v>
      </c>
      <c r="S1494" s="6"/>
    </row>
    <row r="1504" spans="1:19" x14ac:dyDescent="0.25">
      <c r="I1504" s="4">
        <f>583/3</f>
        <v>194.33333333333334</v>
      </c>
    </row>
    <row r="1513" spans="9:12" ht="63.75" x14ac:dyDescent="0.25">
      <c r="I1513" s="14" t="s">
        <v>3851</v>
      </c>
      <c r="J1513" s="15" t="s">
        <v>5460</v>
      </c>
      <c r="L1513" s="4" t="b">
        <f>I1513=J1513</f>
        <v>0</v>
      </c>
    </row>
  </sheetData>
  <pageMargins left="0.70866141732283472" right="0.70866141732283472" top="0.74803149606299213" bottom="0.74803149606299213" header="0.31496062992125984" footer="0.31496062992125984"/>
  <pageSetup paperSize="234" scale="40" orientation="landscape" horizontalDpi="1200" verticalDpi="1200" r:id="rId1"/>
  <headerFooter>
    <oddFooter>Página &amp;P</oddFooter>
  </headerFooter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7</vt:i4>
      </vt:variant>
    </vt:vector>
  </HeadingPairs>
  <TitlesOfParts>
    <vt:vector size="15" baseType="lpstr">
      <vt:lpstr>Cargue</vt:lpstr>
      <vt:lpstr>Tipos</vt:lpstr>
      <vt:lpstr>DimParametrosGenerales</vt:lpstr>
      <vt:lpstr>DimProfesiones</vt:lpstr>
      <vt:lpstr>DimUniverdidades</vt:lpstr>
      <vt:lpstr>Instrucciones de uso</vt:lpstr>
      <vt:lpstr>FUID</vt:lpstr>
      <vt:lpstr>Base de datos</vt:lpstr>
      <vt:lpstr>FUID!Área_de_impresión</vt:lpstr>
      <vt:lpstr>HOMOLOGACONSEJO</vt:lpstr>
      <vt:lpstr>PROFESIONES</vt:lpstr>
      <vt:lpstr>TIPO</vt:lpstr>
      <vt:lpstr>'Base de datos'!Títulos_a_imprimir</vt:lpstr>
      <vt:lpstr>FUID!Títulos_a_imprimir</vt:lpstr>
      <vt:lpstr>UNIVERSIDADES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Supervisor</dc:creator>
  <cp:lastModifiedBy>FREDY ALEJANDRO SARMIENTO TORRES</cp:lastModifiedBy>
  <cp:lastPrinted>2015-01-08T19:48:44Z</cp:lastPrinted>
  <dcterms:created xsi:type="dcterms:W3CDTF">2014-12-04T22:20:08Z</dcterms:created>
  <dcterms:modified xsi:type="dcterms:W3CDTF">2017-06-08T14:17:22Z</dcterms:modified>
</cp:coreProperties>
</file>